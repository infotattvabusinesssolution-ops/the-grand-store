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235" tabRatio="6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Volumetric Calculator" sheetId="2" state="visible" r:id="rId2"/>
    <sheet xmlns:r="http://schemas.openxmlformats.org/officeDocument/2006/relationships" name="Price Lookup (extended)" sheetId="3" state="hidden" r:id="rId3"/>
  </sheets>
  <definedNames/>
  <calcPr calcId="152511" fullCalcOnLoad="1"/>
</workbook>
</file>

<file path=xl/styles.xml><?xml version="1.0" encoding="utf-8"?>
<styleSheet xmlns="http://schemas.openxmlformats.org/spreadsheetml/2006/main">
  <numFmts count="3">
    <numFmt numFmtId="164" formatCode="#,##0.00;\(#,##0.00\);&quot;-&quot;"/>
    <numFmt numFmtId="165" formatCode="0.0"/>
    <numFmt numFmtId="166" formatCode="#,##0.00;(#,##0.00);&quot;-&quot;"/>
  </numFmts>
  <fonts count="13">
    <font>
      <name val="Calibri"/>
      <family val="2"/>
      <color theme="1"/>
      <sz val="11"/>
      <scheme val="minor"/>
    </font>
    <font>
      <name val="Arial"/>
      <b val="1"/>
      <color rgb="FF1F3864"/>
      <sz val="18"/>
    </font>
    <font>
      <name val="Arial"/>
      <color rgb="FF595959"/>
      <sz val="11"/>
    </font>
    <font>
      <name val="Arial"/>
      <b val="1"/>
      <color rgb="FFFFFFFF"/>
      <sz val="13"/>
    </font>
    <font>
      <name val="Arial"/>
      <b val="1"/>
      <sz val="10"/>
    </font>
    <font>
      <name val="Arial"/>
      <b val="1"/>
      <color rgb="FF0070C0"/>
      <sz val="10"/>
    </font>
    <font>
      <name val="Arial"/>
      <i val="1"/>
      <color rgb="FF595959"/>
      <sz val="9"/>
    </font>
    <font>
      <name val="Arial"/>
      <sz val="10"/>
    </font>
    <font>
      <name val="Arial"/>
      <color rgb="FF0070C0"/>
      <sz val="10"/>
    </font>
    <font>
      <name val="Arial"/>
      <b val="1"/>
      <color rgb="FFFFFFFF"/>
      <sz val="10"/>
    </font>
    <font>
      <name val="Arial"/>
      <b val="1"/>
      <color rgb="FF1F3864"/>
      <sz val="10"/>
    </font>
    <font>
      <name val="Arial"/>
      <b val="1"/>
      <color rgb="FF1F3864"/>
      <sz val="13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FF2E5395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medium">
        <color rgb="FF808080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medium">
        <color rgb="FF808080"/>
      </bottom>
      <diagonal/>
    </border>
    <border>
      <left style="thin">
        <color rgb="FFBFBFBF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 style="thin">
        <color rgb="FFBFBFBF"/>
      </left>
      <right style="medium">
        <color rgb="FF808080"/>
      </right>
      <top style="medium">
        <color rgb="FF808080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808080"/>
      </right>
      <top style="thin">
        <color rgb="FFBFBFBF"/>
      </top>
      <bottom style="thin">
        <color rgb="FFBFBFBF"/>
      </bottom>
      <diagonal/>
    </border>
    <border>
      <left style="medium">
        <color rgb="FF808080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 style="thin">
        <color rgb="FFBFBFBF"/>
      </left>
      <right style="medium">
        <color rgb="FF808080"/>
      </right>
      <top style="thin">
        <color rgb="FFBFBFBF"/>
      </top>
      <bottom style="medium">
        <color rgb="FF808080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808080"/>
      </top>
      <bottom style="thin">
        <color rgb="FFBFBFBF"/>
      </bottom>
      <diagonal/>
    </border>
    <border>
      <left/>
      <right style="thin">
        <color rgb="FFBFBFBF"/>
      </right>
      <top style="medium">
        <color rgb="FF808080"/>
      </top>
      <bottom style="thin">
        <color rgb="FFBFBFBF"/>
      </bottom>
      <diagonal/>
    </border>
    <border>
      <left/>
      <right/>
      <top style="thin">
        <color rgb="FFBFBFBF"/>
      </top>
      <bottom style="medium">
        <color rgb="FF808080"/>
      </bottom>
      <diagonal/>
    </border>
    <border>
      <left/>
      <right style="thin">
        <color rgb="FFBFBFBF"/>
      </right>
      <top style="thin">
        <color rgb="FFBFBFBF"/>
      </top>
      <bottom style="medium">
        <color rgb="FF808080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medium">
        <color rgb="FF808080"/>
      </top>
      <bottom/>
      <diagonal/>
    </border>
    <border>
      <left/>
      <right style="thin">
        <color rgb="FFBFBFBF"/>
      </right>
      <top style="medium">
        <color rgb="FF808080"/>
      </top>
      <bottom/>
      <diagonal/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4" fillId="0" borderId="2" applyAlignment="1" pivotButton="0" quotePrefix="0" xfId="0">
      <alignment horizontal="left" vertical="center"/>
    </xf>
    <xf numFmtId="10" fontId="5" fillId="3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5" fillId="3" borderId="3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164" fontId="5" fillId="3" borderId="3" applyAlignment="1" pivotButton="0" quotePrefix="0" xfId="0">
      <alignment horizontal="center" vertical="center"/>
    </xf>
    <xf numFmtId="164" fontId="5" fillId="3" borderId="4" applyAlignment="1" pivotButton="0" quotePrefix="0" xfId="0">
      <alignment horizontal="center" vertical="center"/>
    </xf>
    <xf numFmtId="0" fontId="0" fillId="0" borderId="6" pivotButton="0" quotePrefix="0" xfId="0"/>
    <xf numFmtId="164" fontId="8" fillId="3" borderId="7" pivotButton="0" quotePrefix="0" xfId="0"/>
    <xf numFmtId="0" fontId="0" fillId="0" borderId="1" pivotButton="0" quotePrefix="0" xfId="0"/>
    <xf numFmtId="164" fontId="8" fillId="3" borderId="9" pivotButton="0" quotePrefix="0" xfId="0"/>
    <xf numFmtId="164" fontId="0" fillId="0" borderId="9" pivotButton="0" quotePrefix="0" xfId="0"/>
    <xf numFmtId="0" fontId="0" fillId="0" borderId="11" pivotButton="0" quotePrefix="0" xfId="0"/>
    <xf numFmtId="10" fontId="4" fillId="0" borderId="12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9" fillId="5" borderId="5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vertical="center" wrapText="1"/>
    </xf>
    <xf numFmtId="0" fontId="9" fillId="5" borderId="7" applyAlignment="1" pivotButton="0" quotePrefix="0" xfId="0">
      <alignment horizontal="center" vertical="center" wrapText="1"/>
    </xf>
    <xf numFmtId="0" fontId="4" fillId="0" borderId="8" pivotButton="0" quotePrefix="0" xfId="0"/>
    <xf numFmtId="0" fontId="7" fillId="0" borderId="1" applyAlignment="1" pivotButton="0" quotePrefix="0" xfId="0">
      <alignment horizontal="left" vertical="center" wrapText="1"/>
    </xf>
    <xf numFmtId="16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6" fillId="0" borderId="9" applyAlignment="1" pivotButton="0" quotePrefix="0" xfId="0">
      <alignment horizontal="left" vertical="center" wrapText="1"/>
    </xf>
    <xf numFmtId="164" fontId="8" fillId="0" borderId="0" pivotButton="0" quotePrefix="0" xfId="0"/>
    <xf numFmtId="0" fontId="4" fillId="6" borderId="8" pivotButton="0" quotePrefix="0" xfId="0"/>
    <xf numFmtId="0" fontId="7" fillId="6" borderId="1" applyAlignment="1" pivotButton="0" quotePrefix="0" xfId="0">
      <alignment horizontal="left" vertical="center" wrapText="1"/>
    </xf>
    <xf numFmtId="164" fontId="0" fillId="6" borderId="1" pivotButton="0" quotePrefix="0" xfId="0"/>
    <xf numFmtId="0" fontId="0" fillId="6" borderId="1" applyAlignment="1" pivotButton="0" quotePrefix="0" xfId="0">
      <alignment horizontal="center" vertical="center"/>
    </xf>
    <xf numFmtId="0" fontId="6" fillId="6" borderId="9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center" wrapText="1"/>
    </xf>
    <xf numFmtId="164" fontId="0" fillId="0" borderId="11" pivotButton="0" quotePrefix="0" xfId="0"/>
    <xf numFmtId="0" fontId="0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 wrapText="1"/>
    </xf>
    <xf numFmtId="0" fontId="10" fillId="0" borderId="0" pivotButton="0" quotePrefix="0" xfId="0"/>
    <xf numFmtId="0" fontId="4" fillId="0" borderId="8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0" fontId="4" fillId="6" borderId="8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4" fontId="0" fillId="6" borderId="9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6" borderId="10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164" fontId="0" fillId="6" borderId="11" applyAlignment="1" pivotButton="0" quotePrefix="0" xfId="0">
      <alignment horizontal="center" vertical="center"/>
    </xf>
    <xf numFmtId="164" fontId="0" fillId="6" borderId="12" applyAlignment="1" pivotButton="0" quotePrefix="0" xfId="0">
      <alignment horizontal="center" vertical="center"/>
    </xf>
    <xf numFmtId="0" fontId="4" fillId="6" borderId="10" pivotButton="0" quotePrefix="0" xfId="0"/>
    <xf numFmtId="0" fontId="7" fillId="6" borderId="11" applyAlignment="1" pivotButton="0" quotePrefix="0" xfId="0">
      <alignment horizontal="left" vertical="center" wrapText="1"/>
    </xf>
    <xf numFmtId="164" fontId="0" fillId="6" borderId="11" pivotButton="0" quotePrefix="0" xfId="0"/>
    <xf numFmtId="0" fontId="0" fillId="6" borderId="11" applyAlignment="1" pivotButton="0" quotePrefix="0" xfId="0">
      <alignment horizontal="center" vertical="center"/>
    </xf>
    <xf numFmtId="0" fontId="6" fillId="6" borderId="12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10" fontId="8" fillId="3" borderId="6" applyAlignment="1" pivotButton="0" quotePrefix="0" xfId="0">
      <alignment horizontal="center" vertical="center"/>
    </xf>
    <xf numFmtId="10" fontId="8" fillId="3" borderId="7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164" fontId="8" fillId="0" borderId="11" applyAlignment="1" pivotButton="0" quotePrefix="0" xfId="0">
      <alignment horizontal="center" vertical="center"/>
    </xf>
    <xf numFmtId="164" fontId="0" fillId="0" borderId="11" applyAlignment="1" pivotButton="0" quotePrefix="0" xfId="0">
      <alignment horizontal="center" vertical="center"/>
    </xf>
    <xf numFmtId="164" fontId="0" fillId="0" borderId="12" applyAlignment="1" pivotButton="0" quotePrefix="0" xfId="0">
      <alignment horizontal="center" vertical="center"/>
    </xf>
    <xf numFmtId="164" fontId="8" fillId="0" borderId="1" pivotButton="0" quotePrefix="0" xfId="0"/>
    <xf numFmtId="0" fontId="7" fillId="0" borderId="1" pivotButton="0" quotePrefix="0" xfId="0"/>
    <xf numFmtId="0" fontId="0" fillId="0" borderId="9" pivotButton="0" quotePrefix="0" xfId="0"/>
    <xf numFmtId="0" fontId="7" fillId="6" borderId="8" pivotButton="0" quotePrefix="0" xfId="0"/>
    <xf numFmtId="164" fontId="8" fillId="6" borderId="1" pivotButton="0" quotePrefix="0" xfId="0"/>
    <xf numFmtId="0" fontId="7" fillId="6" borderId="1" pivotButton="0" quotePrefix="0" xfId="0"/>
    <xf numFmtId="0" fontId="0" fillId="6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9" fillId="5" borderId="5" pivotButton="0" quotePrefix="0" xfId="0"/>
    <xf numFmtId="0" fontId="9" fillId="5" borderId="6" applyAlignment="1" pivotButton="0" quotePrefix="0" xfId="0">
      <alignment horizontal="center" vertical="center"/>
    </xf>
    <xf numFmtId="0" fontId="9" fillId="5" borderId="7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164" fontId="0" fillId="0" borderId="12" pivotButton="0" quotePrefix="0" xfId="0"/>
    <xf numFmtId="10" fontId="5" fillId="3" borderId="1" pivotButton="0" quotePrefix="0" xfId="0"/>
    <xf numFmtId="0" fontId="7" fillId="0" borderId="0" pivotButton="0" quotePrefix="0" xfId="0"/>
    <xf numFmtId="0" fontId="5" fillId="3" borderId="1" pivotButton="0" quotePrefix="0" xfId="0"/>
    <xf numFmtId="0" fontId="8" fillId="0" borderId="1" applyAlignment="1" pivotButton="0" quotePrefix="0" xfId="0">
      <alignment horizontal="center" vertical="center"/>
    </xf>
    <xf numFmtId="2" fontId="0" fillId="0" borderId="1" pivotButton="0" quotePrefix="0" xfId="0"/>
    <xf numFmtId="0" fontId="8" fillId="6" borderId="1" applyAlignment="1" pivotButton="0" quotePrefix="0" xfId="0">
      <alignment horizontal="center" vertical="center"/>
    </xf>
    <xf numFmtId="2" fontId="0" fillId="6" borderId="1" pivotButton="0" quotePrefix="0" xfId="0"/>
    <xf numFmtId="0" fontId="0" fillId="6" borderId="1" pivotButton="0" quotePrefix="0" xfId="0"/>
    <xf numFmtId="2" fontId="0" fillId="0" borderId="11" pivotButton="0" quotePrefix="0" xfId="0"/>
    <xf numFmtId="0" fontId="0" fillId="0" borderId="12" pivotButton="0" quotePrefix="0" xfId="0"/>
    <xf numFmtId="0" fontId="8" fillId="0" borderId="11" applyAlignment="1" pivotButton="0" quotePrefix="0" xfId="0">
      <alignment horizontal="center" vertical="center"/>
    </xf>
    <xf numFmtId="165" fontId="0" fillId="0" borderId="11" pivotButton="0" quotePrefix="0" xfId="0"/>
    <xf numFmtId="0" fontId="0" fillId="0" borderId="9" applyAlignment="1" pivotButton="0" quotePrefix="0" xfId="0">
      <alignment horizontal="center" vertical="center"/>
    </xf>
    <xf numFmtId="0" fontId="0" fillId="6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7" fillId="0" borderId="8" pivotButton="0" quotePrefix="0" xfId="0"/>
    <xf numFmtId="0" fontId="0" fillId="0" borderId="0" pivotButton="0" quotePrefix="0" xfId="0"/>
    <xf numFmtId="0" fontId="4" fillId="0" borderId="10" pivotButton="0" quotePrefix="0" xfId="0"/>
    <xf numFmtId="0" fontId="6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right" vertical="center"/>
    </xf>
    <xf numFmtId="0" fontId="7" fillId="0" borderId="8" pivotButton="0" quotePrefix="0" xfId="0"/>
    <xf numFmtId="0" fontId="0" fillId="0" borderId="13" pivotButton="0" quotePrefix="0" xfId="0"/>
    <xf numFmtId="0" fontId="0" fillId="0" borderId="14" pivotButton="0" quotePrefix="0" xfId="0"/>
    <xf numFmtId="0" fontId="6" fillId="0" borderId="0" pivotButton="0" quotePrefix="0" xfId="0"/>
    <xf numFmtId="0" fontId="2" fillId="0" borderId="0" pivotButton="0" quotePrefix="0" xfId="0"/>
    <xf numFmtId="0" fontId="4" fillId="0" borderId="5" pivotButton="0" quotePrefix="0" xfId="0"/>
    <xf numFmtId="0" fontId="0" fillId="0" borderId="16" pivotButton="0" quotePrefix="0" xfId="0"/>
    <xf numFmtId="0" fontId="4" fillId="0" borderId="10" pivotButton="0" quotePrefix="0" xfId="0"/>
    <xf numFmtId="0" fontId="0" fillId="0" borderId="17" pivotButton="0" quotePrefix="0" xfId="0"/>
    <xf numFmtId="0" fontId="0" fillId="0" borderId="18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0" borderId="5" pivotButton="0" quotePrefix="0" xfId="0"/>
    <xf numFmtId="0" fontId="0" fillId="0" borderId="15" pivotButton="0" quotePrefix="0" xfId="0"/>
    <xf numFmtId="0" fontId="11" fillId="0" borderId="0" pivotButton="0" quotePrefix="0" xfId="0"/>
    <xf numFmtId="166" fontId="5" fillId="3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Rate update</author>
  </authors>
  <commentList>
    <comment ref="K506" authorId="0" shapeId="0">
      <text>
        <t>Not stated in the 1 Sept 2026 fuel update — only Point&lt;-&gt;Point (Kiosk&lt;-&gt;Kiosk) is explicitly called out as 0%. Defaulted Locker-&gt;Kiosk to 0% too (treated as within-network) since it doesn't touch a Door; confirm with Ops and change this cell if it should instead carry the 8.25% half rate.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AK524"/>
  <sheetViews>
    <sheetView showGridLines="0" tabSelected="1" workbookViewId="0">
      <pane xSplit="2" ySplit="6" topLeftCell="E70" activePane="bottomRight" state="frozen"/>
      <selection pane="topRight" activeCell="A1" sqref="A1"/>
      <selection pane="bottomLeft" activeCell="A1" sqref="A1"/>
      <selection pane="bottomRight" activeCell="G6" sqref="G6"/>
    </sheetView>
  </sheetViews>
  <sheetFormatPr baseColWidth="8" defaultRowHeight="15"/>
  <cols>
    <col width="2" customWidth="1" style="98" min="1" max="1"/>
    <col width="14" customWidth="1" style="98" min="2" max="2"/>
    <col width="26" customWidth="1" style="98" min="3" max="3"/>
    <col width="26.28515625" customWidth="1" style="98" min="4" max="4"/>
    <col width="19.28515625" customWidth="1" style="98" min="5" max="5"/>
    <col width="32.140625" customWidth="1" style="98" min="6" max="6"/>
    <col width="13" customWidth="1" style="98" min="7" max="7"/>
    <col width="34.7109375" customWidth="1" style="98" min="8" max="8"/>
    <col width="34" customWidth="1" style="98" min="9" max="9"/>
    <col width="18.5703125" customWidth="1" style="98" min="10" max="10"/>
    <col width="19.42578125" customWidth="1" style="98" min="11" max="11"/>
    <col width="12" customWidth="1" style="98" min="12" max="14"/>
    <col hidden="1" width="13" customWidth="1" style="98" min="30" max="45"/>
  </cols>
  <sheetData>
    <row r="1">
      <c r="AD1" s="104" t="inlineStr">
        <is>
          <t>Source rate inputs below (hidden) - every price on this sheet is a formula pointing at these cells. Unhide columns to edit.</t>
        </is>
      </c>
    </row>
    <row r="2" ht="26.1" customHeight="1" s="98">
      <c r="B2" s="97" t="inlineStr">
        <is>
          <t>THE COURIER GUY  —  RATE CARD</t>
        </is>
      </c>
    </row>
    <row r="3" ht="15.95" customHeight="1" s="98">
      <c r="B3" s="105" t="inlineStr">
        <is>
          <t>Effective 1 September 2026   |   Version 14   |   All figures in ZAR</t>
        </is>
      </c>
    </row>
    <row r="4"/>
    <row r="5" ht="21.95" customHeight="1" s="98">
      <c r="B5" s="99" t="inlineStr">
        <is>
          <t>GLOBAL SETTINGS  (edit only the blue cells — everything below updates automatically)</t>
        </is>
      </c>
    </row>
    <row r="6">
      <c r="B6" s="1" t="inlineStr">
        <is>
          <t>VAT rate</t>
        </is>
      </c>
      <c r="C6" s="2" t="n">
        <v>0.15</v>
      </c>
      <c r="D6" s="3" t="inlineStr">
        <is>
          <t>Fuel levy %</t>
        </is>
      </c>
      <c r="E6" s="2" t="n">
        <v>0.165</v>
      </c>
      <c r="F6" s="3" t="inlineStr">
        <is>
          <t>Apply fuel levy?</t>
        </is>
      </c>
      <c r="G6" s="4" t="inlineStr">
        <is>
          <t>YES</t>
        </is>
      </c>
      <c r="H6" s="3" t="inlineStr">
        <is>
          <t>30-day surcharge %</t>
        </is>
      </c>
      <c r="I6" s="2" t="n">
        <v>0.2</v>
      </c>
      <c r="J6" s="3" t="inlineStr">
        <is>
          <t>Apply 30-day surcharge?</t>
        </is>
      </c>
      <c r="K6" s="5" t="inlineStr">
        <is>
          <t>NO</t>
        </is>
      </c>
    </row>
    <row r="7">
      <c r="B7" s="1" t="inlineStr">
        <is>
          <t>Apply insurance?</t>
        </is>
      </c>
      <c r="C7" s="4" t="inlineStr">
        <is>
          <t>YES</t>
        </is>
      </c>
      <c r="D7" s="3" t="inlineStr">
        <is>
          <t>Free cover threshold</t>
        </is>
      </c>
      <c r="E7" s="6" t="n">
        <v>1000</v>
      </c>
      <c r="F7" s="3" t="inlineStr">
        <is>
          <t>Insurance rate (% of value above)</t>
        </is>
      </c>
      <c r="G7" s="2" t="n">
        <v>0.02</v>
      </c>
      <c r="H7" s="3" t="inlineStr">
        <is>
          <t>Min charge (incl VAT)</t>
        </is>
      </c>
      <c r="I7" s="7" t="n">
        <v>57.5</v>
      </c>
      <c r="J7" s="104" t="inlineStr">
        <is>
          <t>&lt;- calculator is on the Volumetric Calculator sheet</t>
        </is>
      </c>
    </row>
    <row r="8">
      <c r="B8" s="1" t="inlineStr">
        <is>
          <t>Apply airfreight surcharge?</t>
        </is>
      </c>
      <c r="C8" s="4" t="inlineStr">
        <is>
          <t>NO</t>
        </is>
      </c>
      <c r="D8" s="3" t="inlineStr">
        <is>
          <t>Airfreight surcharge (R/kg)</t>
        </is>
      </c>
      <c r="E8" s="115" t="n">
        <v>6.88</v>
      </c>
      <c r="F8" s="116" t="inlineStr">
        <is>
          <t>Applies to PRI only (PRIR matched Ship Logic exactly with no surcharge in testing) on specific inter-zone routes (confirmed so far: Limpopo&lt;-&gt;Eastern Cape, Limpopo&lt;-&gt;Western Cape, Mpumalanga&lt;-&gt;Eastern Cape, Mpumalanga&lt;-&gt;Western Cape - list may not be exhaustive). Switch on manually only when quoting a route you know qualifies.</t>
        </is>
      </c>
    </row>
    <row r="9" ht="21.95" customHeight="1" s="98">
      <c r="B9" s="99" t="inlineStr">
        <is>
          <t>FUEL SURCHARGE FINDER  (match a live quote)</t>
        </is>
      </c>
    </row>
    <row r="10">
      <c r="B10" s="112" t="inlineStr">
        <is>
          <t>Base rate on quote (incl VAT, excl fuel)</t>
        </is>
      </c>
      <c r="C10" s="113" t="n"/>
      <c r="D10" s="107" t="n"/>
      <c r="E10" s="9" t="n">
        <v>119.6</v>
      </c>
    </row>
    <row r="11">
      <c r="B11" s="101" t="inlineStr">
        <is>
          <t>Fuel surcharge amount shown on quote</t>
        </is>
      </c>
      <c r="C11" s="102" t="n"/>
      <c r="D11" s="103" t="n"/>
      <c r="E11" s="11" t="n">
        <v>19.73</v>
      </c>
    </row>
    <row r="12">
      <c r="B12" s="101" t="inlineStr">
        <is>
          <t>Base rate excl VAT (informational only)</t>
        </is>
      </c>
      <c r="C12" s="102" t="n"/>
      <c r="D12" s="103" t="n"/>
      <c r="E12" s="12">
        <f>IFERROR($E$10/(1+$C$6),"")</f>
        <v/>
      </c>
    </row>
    <row r="13">
      <c r="B13" s="108" t="inlineStr">
        <is>
          <t>Fuel levy % implied by this quote</t>
        </is>
      </c>
      <c r="C13" s="109" t="n"/>
      <c r="D13" s="110" t="n"/>
      <c r="E13" s="14">
        <f>IFERROR($E$11/$E$10,"")</f>
        <v/>
      </c>
    </row>
    <row r="14">
      <c r="B14" s="104" t="inlineStr">
        <is>
          <t>If this doesn't match the Fuel levy % above, the system quote and this sheet have drifted — update whichever is out of date.</t>
        </is>
      </c>
    </row>
    <row r="15"/>
    <row r="16">
      <c r="B16" s="15" t="inlineStr">
        <is>
          <t>Legend:</t>
        </is>
      </c>
      <c r="C16" s="16" t="n"/>
      <c r="D16" s="104" t="inlineStr">
        <is>
          <t>editable input</t>
        </is>
      </c>
      <c r="F16" s="17" t="n"/>
      <c r="G16" s="104" t="inlineStr">
        <is>
          <t>priced off another service's rate (see note)</t>
        </is>
      </c>
    </row>
    <row r="17"/>
    <row r="18" ht="21.95" customHeight="1" s="98">
      <c r="B18" s="99" t="inlineStr">
        <is>
          <t>1.  National / Default Rate  —  Default Group card</t>
        </is>
      </c>
    </row>
    <row r="19" ht="30" customHeight="1" s="98">
      <c r="B19" s="18" t="inlineStr">
        <is>
          <t>Service</t>
        </is>
      </c>
      <c r="C19" s="19" t="inlineStr">
        <is>
          <t>Description</t>
        </is>
      </c>
      <c r="D19" s="19" t="inlineStr">
        <is>
          <t>Min charge
(excl VAT)</t>
        </is>
      </c>
      <c r="E19" s="19" t="inlineStr">
        <is>
          <t>Up to (kg)</t>
        </is>
      </c>
      <c r="F19" s="19" t="inlineStr">
        <is>
          <t>Rate/kg
thereafter (excl)</t>
        </is>
      </c>
      <c r="G19" s="19" t="inlineStr">
        <is>
          <t>Min charge
(incl VAT)</t>
        </is>
      </c>
      <c r="H19" s="19" t="inlineStr">
        <is>
          <t>Rate/kg
thereafter (incl)</t>
        </is>
      </c>
      <c r="I19" s="20" t="inlineStr">
        <is>
          <t>Notes</t>
        </is>
      </c>
    </row>
    <row r="20" ht="24" customHeight="1" s="98">
      <c r="B20" s="21" t="inlineStr">
        <is>
          <t>LPF</t>
        </is>
      </c>
      <c r="C20" s="22" t="inlineStr">
        <is>
          <t>Local Priority Flyer</t>
        </is>
      </c>
      <c r="D20" s="23">
        <f>$AD$20</f>
        <v/>
      </c>
      <c r="E20" s="24" t="n">
        <v>5</v>
      </c>
      <c r="F20" s="23">
        <f>$AE$20</f>
        <v/>
      </c>
      <c r="G20" s="23">
        <f>ROUND($AD$20*(1+$C$6),2)+ROUND(ROUND($AD$20*(1+$C$6),2)*(IF($G$6="YES",$E$6,0)+IF($K$6="YES",$I$6,0)),2)</f>
        <v/>
      </c>
      <c r="H20" s="23">
        <f>ROUND($AE$20*(1+$C$6),2)+ROUND(ROUND($AE$20*(1+$C$6),2)*(IF($G$6="YES",$E$6,0)+IF($K$6="YES",$I$6,0)),2)</f>
        <v/>
      </c>
      <c r="I20" s="25" t="inlineStr">
        <is>
          <t>Local service — beyond 35kg, priced at the ECO/R rate above.</t>
        </is>
      </c>
      <c r="AD20" s="26" t="n">
        <v>94.95999999999999</v>
      </c>
      <c r="AE20" s="26" t="n">
        <v>13.04</v>
      </c>
    </row>
    <row r="21" ht="24" customHeight="1" s="98">
      <c r="B21" s="27" t="inlineStr">
        <is>
          <t>LPP</t>
        </is>
      </c>
      <c r="C21" s="28" t="inlineStr">
        <is>
          <t>Local Priority Parcel</t>
        </is>
      </c>
      <c r="D21" s="29">
        <f>$AD$21</f>
        <v/>
      </c>
      <c r="E21" s="30" t="n">
        <v>15</v>
      </c>
      <c r="F21" s="29">
        <f>$AE$21</f>
        <v/>
      </c>
      <c r="G21" s="29">
        <f>ROUND($AD$21*(1+$C$6),2)+ROUND(ROUND($AD$21*(1+$C$6),2)*(IF($G$6="YES",$E$6,0)+IF($K$6="YES",$I$6,0)),2)</f>
        <v/>
      </c>
      <c r="H21" s="29">
        <f>ROUND($AE$21*(1+$C$6),2)+ROUND(ROUND($AE$21*(1+$C$6),2)*(IF($G$6="YES",$E$6,0)+IF($K$6="YES",$I$6,0)),2)</f>
        <v/>
      </c>
      <c r="I21" s="31" t="inlineStr">
        <is>
          <t>Local service — beyond 35kg, priced at the ECO/R rate above.</t>
        </is>
      </c>
      <c r="AD21" s="26" t="n">
        <v>109.2</v>
      </c>
      <c r="AE21" s="26" t="n">
        <v>13.04</v>
      </c>
    </row>
    <row r="22">
      <c r="B22" s="21" t="inlineStr">
        <is>
          <t>ECO</t>
        </is>
      </c>
      <c r="C22" s="22" t="inlineStr">
        <is>
          <t>Economy Road — National</t>
        </is>
      </c>
      <c r="D22" s="23">
        <f>$AD$22</f>
        <v/>
      </c>
      <c r="E22" s="24" t="n">
        <v>2</v>
      </c>
      <c r="F22" s="23">
        <f>$AI$22</f>
        <v/>
      </c>
      <c r="G22" s="23">
        <f>ROUND($AD$22*(1+$C$6),2)+ROUND(ROUND($AD$22*(1+$C$6),2)*(IF($G$6="YES",$E$6,0)+IF($K$6="YES",$I$6,0)),2)</f>
        <v/>
      </c>
      <c r="H22" s="23">
        <f>ROUND($AI$22*(1+$C$6),2)+ROUND(ROUND($AI$22*(1+$C$6),2)*(IF($G$6="YES",$E$6,0)+IF($K$6="YES",$I$6,0)),2)</f>
        <v/>
      </c>
      <c r="I22" s="25" t="n"/>
      <c r="AD22" s="26" t="n">
        <v>94.95999999999999</v>
      </c>
      <c r="AE22" s="26" t="n">
        <v>104</v>
      </c>
      <c r="AF22" s="26" t="n">
        <v>149.22</v>
      </c>
      <c r="AG22" s="26" t="n">
        <v>180.87</v>
      </c>
      <c r="AH22" s="26" t="n">
        <v>257.74</v>
      </c>
      <c r="AI22" s="26" t="n">
        <v>13.04</v>
      </c>
      <c r="AJ22" s="26" t="n">
        <v>17.39</v>
      </c>
      <c r="AK22" s="26" t="n">
        <v>453.39</v>
      </c>
    </row>
    <row r="23">
      <c r="B23" s="27" t="inlineStr">
        <is>
          <t>ECOR</t>
        </is>
      </c>
      <c r="C23" s="28" t="inlineStr">
        <is>
          <t>Economy Road — Regional</t>
        </is>
      </c>
      <c r="D23" s="29">
        <f>$AD$23</f>
        <v/>
      </c>
      <c r="E23" s="30" t="n">
        <v>2</v>
      </c>
      <c r="F23" s="29">
        <f>$AI$23</f>
        <v/>
      </c>
      <c r="G23" s="29">
        <f>ROUND($AD$23*(1+$C$6),2)+ROUND(ROUND($AD$23*(1+$C$6),2)*(IF($G$6="YES",$E$6,0)+IF($K$6="YES",$I$6,0)),2)</f>
        <v/>
      </c>
      <c r="H23" s="29">
        <f>ROUND($AI$23*(1+$C$6),2)+ROUND(ROUND($AI$23*(1+$C$6),2)*(IF($G$6="YES",$E$6,0)+IF($K$6="YES",$I$6,0)),2)</f>
        <v/>
      </c>
      <c r="I23" s="31" t="n"/>
      <c r="AD23" s="26" t="n">
        <v>104.09</v>
      </c>
      <c r="AE23" s="26" t="n">
        <v>106</v>
      </c>
      <c r="AF23" s="26" t="n">
        <v>152.8</v>
      </c>
      <c r="AG23" s="26" t="n">
        <v>185.22</v>
      </c>
      <c r="AH23" s="26" t="n">
        <v>263.93</v>
      </c>
      <c r="AI23" s="26" t="n">
        <v>13.04</v>
      </c>
      <c r="AJ23" s="26" t="n">
        <v>17.39</v>
      </c>
      <c r="AK23" s="26" t="n">
        <v>459.59</v>
      </c>
    </row>
    <row r="24" ht="25.5" customHeight="1" s="98">
      <c r="B24" s="21" t="inlineStr">
        <is>
          <t>ECORR</t>
        </is>
      </c>
      <c r="C24" s="22" t="inlineStr">
        <is>
          <t>Economy Road — Regional to Regional</t>
        </is>
      </c>
      <c r="D24" s="23">
        <f>$AD$24</f>
        <v/>
      </c>
      <c r="E24" s="24" t="n">
        <v>2</v>
      </c>
      <c r="F24" s="23">
        <f>$AI$24</f>
        <v/>
      </c>
      <c r="G24" s="23">
        <f>ROUND($AD$24*(1+$C$6),2)+ROUND(ROUND($AD$24*(1+$C$6),2)*(IF($G$6="YES",$E$6,0)+IF($K$6="YES",$I$6,0)),2)</f>
        <v/>
      </c>
      <c r="H24" s="23">
        <f>ROUND($AI$24*(1+$C$6),2)+ROUND(ROUND($AI$24*(1+$C$6),2)*(IF($G$6="YES",$E$6,0)+IF($K$6="YES",$I$6,0)),2)</f>
        <v/>
      </c>
      <c r="I24" s="25" t="n"/>
      <c r="AD24" s="26" t="n">
        <v>108.65</v>
      </c>
      <c r="AE24" s="26" t="n">
        <v>110.57</v>
      </c>
      <c r="AF24" s="26" t="n">
        <v>157.37</v>
      </c>
      <c r="AG24" s="26" t="n">
        <v>189.78</v>
      </c>
      <c r="AH24" s="26" t="n">
        <v>268.5</v>
      </c>
      <c r="AI24" s="26" t="n">
        <v>13.04</v>
      </c>
      <c r="AJ24" s="26" t="n">
        <v>17.39</v>
      </c>
      <c r="AK24" s="26" t="n">
        <v>464.15</v>
      </c>
    </row>
    <row r="25">
      <c r="B25" s="27" t="inlineStr">
        <is>
          <t>PRI</t>
        </is>
      </c>
      <c r="C25" s="28" t="inlineStr">
        <is>
          <t>Priority Courier — National</t>
        </is>
      </c>
      <c r="D25" s="29">
        <f>$AD$25</f>
        <v/>
      </c>
      <c r="E25" s="30" t="n">
        <v>2</v>
      </c>
      <c r="F25" s="29">
        <f>$AE$25</f>
        <v/>
      </c>
      <c r="G25" s="29">
        <f>ROUND($AD$25*(1+$C$6),2)+ROUND(ROUND($AD$25*(1+$C$6),2)*(IF($G$6="YES",$E$6,0)+IF($K$6="YES",$I$6,0)),2)</f>
        <v/>
      </c>
      <c r="H25" s="29">
        <f>ROUND($AE$25*(1+$C$6),2)+ROUND(ROUND($AE$25*(1+$C$6),2)*(IF($G$6="YES",$E$6,0)+IF($K$6="YES",$I$6,0)),2)</f>
        <v/>
      </c>
      <c r="I25" s="31" t="inlineStr">
        <is>
          <t>May carry an additional R/kg airfreight surcharge on certain inter-zone routes - see Global Settings above.</t>
        </is>
      </c>
      <c r="AD25" s="26" t="n">
        <v>151.93</v>
      </c>
      <c r="AE25" s="26" t="n">
        <v>48</v>
      </c>
    </row>
    <row r="26">
      <c r="B26" s="108" t="inlineStr">
        <is>
          <t>PRIR</t>
        </is>
      </c>
      <c r="C26" s="32" t="inlineStr">
        <is>
          <t>Priority Courier — Regional</t>
        </is>
      </c>
      <c r="D26" s="33">
        <f>$AD$26</f>
        <v/>
      </c>
      <c r="E26" s="34" t="n">
        <v>2</v>
      </c>
      <c r="F26" s="33">
        <f>$AE$26</f>
        <v/>
      </c>
      <c r="G26" s="33">
        <f>ROUND($AD$26*(1+$C$6),2)+ROUND(ROUND($AD$26*(1+$C$6),2)*(IF($G$6="YES",$E$6,0)+IF($K$6="YES",$I$6,0)),2)</f>
        <v/>
      </c>
      <c r="H26" s="33">
        <f>ROUND($AE$26*(1+$C$6),2)+ROUND(ROUND($AE$26*(1+$C$6),2)*(IF($G$6="YES",$E$6,0)+IF($K$6="YES",$I$6,0)),2)</f>
        <v/>
      </c>
      <c r="I26" s="35" t="inlineStr">
        <is>
          <t>May carry an additional R/kg airfreight surcharge on certain inter-zone routes - see Global Settings above.</t>
        </is>
      </c>
      <c r="AD26" s="26" t="n">
        <v>166.54</v>
      </c>
      <c r="AE26" s="26" t="n">
        <v>48</v>
      </c>
    </row>
    <row r="27"/>
    <row r="28">
      <c r="B28" s="36" t="inlineStr">
        <is>
          <t>Weight-based price  —  VAT &amp; fuel levy EXCLUDED</t>
        </is>
      </c>
    </row>
    <row r="29" ht="18" customHeight="1" s="98">
      <c r="B29" s="18" t="inlineStr">
        <is>
          <t>Kg</t>
        </is>
      </c>
      <c r="C29" s="19" t="inlineStr">
        <is>
          <t>LPF</t>
        </is>
      </c>
      <c r="D29" s="19" t="inlineStr">
        <is>
          <t>LPP</t>
        </is>
      </c>
      <c r="E29" s="19" t="inlineStr">
        <is>
          <t>ECO</t>
        </is>
      </c>
      <c r="F29" s="19" t="inlineStr">
        <is>
          <t>ECOR</t>
        </is>
      </c>
      <c r="G29" s="19" t="inlineStr">
        <is>
          <t>ECORR</t>
        </is>
      </c>
      <c r="H29" s="19" t="inlineStr">
        <is>
          <t>PRI</t>
        </is>
      </c>
      <c r="I29" s="20" t="inlineStr">
        <is>
          <t>PRIR</t>
        </is>
      </c>
    </row>
    <row r="30">
      <c r="B30" s="37" t="n">
        <v>1</v>
      </c>
      <c r="C30" s="38">
        <f>IF(1&lt;=5,$AD$20,$AD$20+(1-5)*$AE$20)</f>
        <v/>
      </c>
      <c r="D30" s="38">
        <f>IF(1&lt;=15,$AD$21,$AD$21+(1-15)*$AE$21)</f>
        <v/>
      </c>
      <c r="E30" s="38">
        <f>IF(1&lt;=2,$AD$22,IF(1&lt;=5,$AE$22,IF(1&lt;=10,$AF$22,IF(1&lt;=15,$AG$22,IF(1&lt;=20,$AH$22,IF(1&lt;=35,$AH$22+(1-20)*$AI$22,$AK$22+(1-35)*$AJ$22))))))</f>
        <v/>
      </c>
      <c r="F30" s="38">
        <f>IF(1&lt;=2,$AD$23,IF(1&lt;=5,$AE$23,IF(1&lt;=10,$AF$23,IF(1&lt;=15,$AG$23,IF(1&lt;=20,$AH$23,IF(1&lt;=35,$AH$23+(1-20)*$AI$23,$AK$23+(1-35)*$AJ$23))))))</f>
        <v/>
      </c>
      <c r="G30" s="38">
        <f>IF(1&lt;=2,$AD$24,IF(1&lt;=5,$AE$24,IF(1&lt;=10,$AF$24,IF(1&lt;=15,$AG$24,IF(1&lt;=20,$AH$24,IF(1&lt;=35,$AH$24+(1-20)*$AI$24,$AK$24+(1-35)*$AJ$24))))))</f>
        <v/>
      </c>
      <c r="H30" s="38">
        <f>IF(1&lt;=2,$AD$25,$AD$25+(1-2)*$AE$25)</f>
        <v/>
      </c>
      <c r="I30" s="39">
        <f>IF(1&lt;=2,$AD$26,$AD$26+(1-2)*$AE$26)</f>
        <v/>
      </c>
    </row>
    <row r="31">
      <c r="B31" s="37" t="n">
        <v>2</v>
      </c>
      <c r="C31" s="38">
        <f>IF(2&lt;=5,$AD$20,$AD$20+(2-5)*$AE$20)</f>
        <v/>
      </c>
      <c r="D31" s="38">
        <f>IF(2&lt;=15,$AD$21,$AD$21+(2-15)*$AE$21)</f>
        <v/>
      </c>
      <c r="E31" s="38">
        <f>IF(2&lt;=2,$AD$22,IF(2&lt;=5,$AE$22,IF(2&lt;=10,$AF$22,IF(2&lt;=15,$AG$22,IF(2&lt;=20,$AH$22,IF(2&lt;=35,$AH$22+(2-20)*$AI$22,$AK$22+(2-35)*$AJ$22))))))</f>
        <v/>
      </c>
      <c r="F31" s="38">
        <f>IF(2&lt;=2,$AD$23,IF(2&lt;=5,$AE$23,IF(2&lt;=10,$AF$23,IF(2&lt;=15,$AG$23,IF(2&lt;=20,$AH$23,IF(2&lt;=35,$AH$23+(2-20)*$AI$23,$AK$23+(2-35)*$AJ$23))))))</f>
        <v/>
      </c>
      <c r="G31" s="38">
        <f>IF(2&lt;=2,$AD$24,IF(2&lt;=5,$AE$24,IF(2&lt;=10,$AF$24,IF(2&lt;=15,$AG$24,IF(2&lt;=20,$AH$24,IF(2&lt;=35,$AH$24+(2-20)*$AI$24,$AK$24+(2-35)*$AJ$24))))))</f>
        <v/>
      </c>
      <c r="H31" s="38">
        <f>IF(2&lt;=2,$AD$25,$AD$25+(2-2)*$AE$25)</f>
        <v/>
      </c>
      <c r="I31" s="39">
        <f>IF(2&lt;=2,$AD$26,$AD$26+(2-2)*$AE$26)</f>
        <v/>
      </c>
    </row>
    <row r="32">
      <c r="B32" s="37" t="n">
        <v>3</v>
      </c>
      <c r="C32" s="38">
        <f>IF(3&lt;=5,$AD$20,$AD$20+(3-5)*$AE$20)</f>
        <v/>
      </c>
      <c r="D32" s="38">
        <f>IF(3&lt;=15,$AD$21,$AD$21+(3-15)*$AE$21)</f>
        <v/>
      </c>
      <c r="E32" s="38">
        <f>IF(3&lt;=2,$AD$22,IF(3&lt;=5,$AE$22,IF(3&lt;=10,$AF$22,IF(3&lt;=15,$AG$22,IF(3&lt;=20,$AH$22,IF(3&lt;=35,$AH$22+(3-20)*$AI$22,$AK$22+(3-35)*$AJ$22))))))</f>
        <v/>
      </c>
      <c r="F32" s="38">
        <f>IF(3&lt;=2,$AD$23,IF(3&lt;=5,$AE$23,IF(3&lt;=10,$AF$23,IF(3&lt;=15,$AG$23,IF(3&lt;=20,$AH$23,IF(3&lt;=35,$AH$23+(3-20)*$AI$23,$AK$23+(3-35)*$AJ$23))))))</f>
        <v/>
      </c>
      <c r="G32" s="38">
        <f>IF(3&lt;=2,$AD$24,IF(3&lt;=5,$AE$24,IF(3&lt;=10,$AF$24,IF(3&lt;=15,$AG$24,IF(3&lt;=20,$AH$24,IF(3&lt;=35,$AH$24+(3-20)*$AI$24,$AK$24+(3-35)*$AJ$24))))))</f>
        <v/>
      </c>
      <c r="H32" s="38">
        <f>IF(3&lt;=2,$AD$25,$AD$25+(3-2)*$AE$25)</f>
        <v/>
      </c>
      <c r="I32" s="39">
        <f>IF(3&lt;=2,$AD$26,$AD$26+(3-2)*$AE$26)</f>
        <v/>
      </c>
    </row>
    <row r="33">
      <c r="B33" s="37" t="n">
        <v>4</v>
      </c>
      <c r="C33" s="38">
        <f>IF(4&lt;=5,$AD$20,$AD$20+(4-5)*$AE$20)</f>
        <v/>
      </c>
      <c r="D33" s="38">
        <f>IF(4&lt;=15,$AD$21,$AD$21+(4-15)*$AE$21)</f>
        <v/>
      </c>
      <c r="E33" s="38">
        <f>IF(4&lt;=2,$AD$22,IF(4&lt;=5,$AE$22,IF(4&lt;=10,$AF$22,IF(4&lt;=15,$AG$22,IF(4&lt;=20,$AH$22,IF(4&lt;=35,$AH$22+(4-20)*$AI$22,$AK$22+(4-35)*$AJ$22))))))</f>
        <v/>
      </c>
      <c r="F33" s="38">
        <f>IF(4&lt;=2,$AD$23,IF(4&lt;=5,$AE$23,IF(4&lt;=10,$AF$23,IF(4&lt;=15,$AG$23,IF(4&lt;=20,$AH$23,IF(4&lt;=35,$AH$23+(4-20)*$AI$23,$AK$23+(4-35)*$AJ$23))))))</f>
        <v/>
      </c>
      <c r="G33" s="38">
        <f>IF(4&lt;=2,$AD$24,IF(4&lt;=5,$AE$24,IF(4&lt;=10,$AF$24,IF(4&lt;=15,$AG$24,IF(4&lt;=20,$AH$24,IF(4&lt;=35,$AH$24+(4-20)*$AI$24,$AK$24+(4-35)*$AJ$24))))))</f>
        <v/>
      </c>
      <c r="H33" s="38">
        <f>IF(4&lt;=2,$AD$25,$AD$25+(4-2)*$AE$25)</f>
        <v/>
      </c>
      <c r="I33" s="39">
        <f>IF(4&lt;=2,$AD$26,$AD$26+(4-2)*$AE$26)</f>
        <v/>
      </c>
    </row>
    <row r="34">
      <c r="B34" s="37" t="n">
        <v>5</v>
      </c>
      <c r="C34" s="38">
        <f>IF(5&lt;=5,$AD$20,$AD$20+(5-5)*$AE$20)</f>
        <v/>
      </c>
      <c r="D34" s="38">
        <f>IF(5&lt;=15,$AD$21,$AD$21+(5-15)*$AE$21)</f>
        <v/>
      </c>
      <c r="E34" s="38">
        <f>IF(5&lt;=2,$AD$22,IF(5&lt;=5,$AE$22,IF(5&lt;=10,$AF$22,IF(5&lt;=15,$AG$22,IF(5&lt;=20,$AH$22,IF(5&lt;=35,$AH$22+(5-20)*$AI$22,$AK$22+(5-35)*$AJ$22))))))</f>
        <v/>
      </c>
      <c r="F34" s="38">
        <f>IF(5&lt;=2,$AD$23,IF(5&lt;=5,$AE$23,IF(5&lt;=10,$AF$23,IF(5&lt;=15,$AG$23,IF(5&lt;=20,$AH$23,IF(5&lt;=35,$AH$23+(5-20)*$AI$23,$AK$23+(5-35)*$AJ$23))))))</f>
        <v/>
      </c>
      <c r="G34" s="38">
        <f>IF(5&lt;=2,$AD$24,IF(5&lt;=5,$AE$24,IF(5&lt;=10,$AF$24,IF(5&lt;=15,$AG$24,IF(5&lt;=20,$AH$24,IF(5&lt;=35,$AH$24+(5-20)*$AI$24,$AK$24+(5-35)*$AJ$24))))))</f>
        <v/>
      </c>
      <c r="H34" s="38">
        <f>IF(5&lt;=2,$AD$25,$AD$25+(5-2)*$AE$25)</f>
        <v/>
      </c>
      <c r="I34" s="39">
        <f>IF(5&lt;=2,$AD$26,$AD$26+(5-2)*$AE$26)</f>
        <v/>
      </c>
    </row>
    <row r="35">
      <c r="B35" s="40" t="n">
        <v>6</v>
      </c>
      <c r="C35" s="41">
        <f>IF(6&lt;=5,$AD$20,$AD$20+(6-5)*$AE$20)</f>
        <v/>
      </c>
      <c r="D35" s="41">
        <f>IF(6&lt;=15,$AD$21,$AD$21+(6-15)*$AE$21)</f>
        <v/>
      </c>
      <c r="E35" s="41">
        <f>IF(6&lt;=2,$AD$22,IF(6&lt;=5,$AE$22,IF(6&lt;=10,$AF$22,IF(6&lt;=15,$AG$22,IF(6&lt;=20,$AH$22,IF(6&lt;=35,$AH$22+(6-20)*$AI$22,$AK$22+(6-35)*$AJ$22))))))</f>
        <v/>
      </c>
      <c r="F35" s="41">
        <f>IF(6&lt;=2,$AD$23,IF(6&lt;=5,$AE$23,IF(6&lt;=10,$AF$23,IF(6&lt;=15,$AG$23,IF(6&lt;=20,$AH$23,IF(6&lt;=35,$AH$23+(6-20)*$AI$23,$AK$23+(6-35)*$AJ$23))))))</f>
        <v/>
      </c>
      <c r="G35" s="41">
        <f>IF(6&lt;=2,$AD$24,IF(6&lt;=5,$AE$24,IF(6&lt;=10,$AF$24,IF(6&lt;=15,$AG$24,IF(6&lt;=20,$AH$24,IF(6&lt;=35,$AH$24+(6-20)*$AI$24,$AK$24+(6-35)*$AJ$24))))))</f>
        <v/>
      </c>
      <c r="H35" s="41">
        <f>IF(6&lt;=2,$AD$25,$AD$25+(6-2)*$AE$25)</f>
        <v/>
      </c>
      <c r="I35" s="42">
        <f>IF(6&lt;=2,$AD$26,$AD$26+(6-2)*$AE$26)</f>
        <v/>
      </c>
    </row>
    <row r="36">
      <c r="B36" s="40" t="n">
        <v>7</v>
      </c>
      <c r="C36" s="41">
        <f>IF(7&lt;=5,$AD$20,$AD$20+(7-5)*$AE$20)</f>
        <v/>
      </c>
      <c r="D36" s="41">
        <f>IF(7&lt;=15,$AD$21,$AD$21+(7-15)*$AE$21)</f>
        <v/>
      </c>
      <c r="E36" s="41">
        <f>IF(7&lt;=2,$AD$22,IF(7&lt;=5,$AE$22,IF(7&lt;=10,$AF$22,IF(7&lt;=15,$AG$22,IF(7&lt;=20,$AH$22,IF(7&lt;=35,$AH$22+(7-20)*$AI$22,$AK$22+(7-35)*$AJ$22))))))</f>
        <v/>
      </c>
      <c r="F36" s="41">
        <f>IF(7&lt;=2,$AD$23,IF(7&lt;=5,$AE$23,IF(7&lt;=10,$AF$23,IF(7&lt;=15,$AG$23,IF(7&lt;=20,$AH$23,IF(7&lt;=35,$AH$23+(7-20)*$AI$23,$AK$23+(7-35)*$AJ$23))))))</f>
        <v/>
      </c>
      <c r="G36" s="41">
        <f>IF(7&lt;=2,$AD$24,IF(7&lt;=5,$AE$24,IF(7&lt;=10,$AF$24,IF(7&lt;=15,$AG$24,IF(7&lt;=20,$AH$24,IF(7&lt;=35,$AH$24+(7-20)*$AI$24,$AK$24+(7-35)*$AJ$24))))))</f>
        <v/>
      </c>
      <c r="H36" s="41">
        <f>IF(7&lt;=2,$AD$25,$AD$25+(7-2)*$AE$25)</f>
        <v/>
      </c>
      <c r="I36" s="42">
        <f>IF(7&lt;=2,$AD$26,$AD$26+(7-2)*$AE$26)</f>
        <v/>
      </c>
    </row>
    <row r="37">
      <c r="B37" s="40" t="n">
        <v>8</v>
      </c>
      <c r="C37" s="41">
        <f>IF(8&lt;=5,$AD$20,$AD$20+(8-5)*$AE$20)</f>
        <v/>
      </c>
      <c r="D37" s="41">
        <f>IF(8&lt;=15,$AD$21,$AD$21+(8-15)*$AE$21)</f>
        <v/>
      </c>
      <c r="E37" s="41">
        <f>IF(8&lt;=2,$AD$22,IF(8&lt;=5,$AE$22,IF(8&lt;=10,$AF$22,IF(8&lt;=15,$AG$22,IF(8&lt;=20,$AH$22,IF(8&lt;=35,$AH$22+(8-20)*$AI$22,$AK$22+(8-35)*$AJ$22))))))</f>
        <v/>
      </c>
      <c r="F37" s="41">
        <f>IF(8&lt;=2,$AD$23,IF(8&lt;=5,$AE$23,IF(8&lt;=10,$AF$23,IF(8&lt;=15,$AG$23,IF(8&lt;=20,$AH$23,IF(8&lt;=35,$AH$23+(8-20)*$AI$23,$AK$23+(8-35)*$AJ$23))))))</f>
        <v/>
      </c>
      <c r="G37" s="41">
        <f>IF(8&lt;=2,$AD$24,IF(8&lt;=5,$AE$24,IF(8&lt;=10,$AF$24,IF(8&lt;=15,$AG$24,IF(8&lt;=20,$AH$24,IF(8&lt;=35,$AH$24+(8-20)*$AI$24,$AK$24+(8-35)*$AJ$24))))))</f>
        <v/>
      </c>
      <c r="H37" s="41">
        <f>IF(8&lt;=2,$AD$25,$AD$25+(8-2)*$AE$25)</f>
        <v/>
      </c>
      <c r="I37" s="42">
        <f>IF(8&lt;=2,$AD$26,$AD$26+(8-2)*$AE$26)</f>
        <v/>
      </c>
    </row>
    <row r="38">
      <c r="B38" s="40" t="n">
        <v>9</v>
      </c>
      <c r="C38" s="41">
        <f>IF(9&lt;=5,$AD$20,$AD$20+(9-5)*$AE$20)</f>
        <v/>
      </c>
      <c r="D38" s="41">
        <f>IF(9&lt;=15,$AD$21,$AD$21+(9-15)*$AE$21)</f>
        <v/>
      </c>
      <c r="E38" s="41">
        <f>IF(9&lt;=2,$AD$22,IF(9&lt;=5,$AE$22,IF(9&lt;=10,$AF$22,IF(9&lt;=15,$AG$22,IF(9&lt;=20,$AH$22,IF(9&lt;=35,$AH$22+(9-20)*$AI$22,$AK$22+(9-35)*$AJ$22))))))</f>
        <v/>
      </c>
      <c r="F38" s="41">
        <f>IF(9&lt;=2,$AD$23,IF(9&lt;=5,$AE$23,IF(9&lt;=10,$AF$23,IF(9&lt;=15,$AG$23,IF(9&lt;=20,$AH$23,IF(9&lt;=35,$AH$23+(9-20)*$AI$23,$AK$23+(9-35)*$AJ$23))))))</f>
        <v/>
      </c>
      <c r="G38" s="41">
        <f>IF(9&lt;=2,$AD$24,IF(9&lt;=5,$AE$24,IF(9&lt;=10,$AF$24,IF(9&lt;=15,$AG$24,IF(9&lt;=20,$AH$24,IF(9&lt;=35,$AH$24+(9-20)*$AI$24,$AK$24+(9-35)*$AJ$24))))))</f>
        <v/>
      </c>
      <c r="H38" s="41">
        <f>IF(9&lt;=2,$AD$25,$AD$25+(9-2)*$AE$25)</f>
        <v/>
      </c>
      <c r="I38" s="42">
        <f>IF(9&lt;=2,$AD$26,$AD$26+(9-2)*$AE$26)</f>
        <v/>
      </c>
    </row>
    <row r="39">
      <c r="B39" s="40" t="n">
        <v>10</v>
      </c>
      <c r="C39" s="41">
        <f>IF(10&lt;=5,$AD$20,$AD$20+(10-5)*$AE$20)</f>
        <v/>
      </c>
      <c r="D39" s="41">
        <f>IF(10&lt;=15,$AD$21,$AD$21+(10-15)*$AE$21)</f>
        <v/>
      </c>
      <c r="E39" s="41">
        <f>IF(10&lt;=2,$AD$22,IF(10&lt;=5,$AE$22,IF(10&lt;=10,$AF$22,IF(10&lt;=15,$AG$22,IF(10&lt;=20,$AH$22,IF(10&lt;=35,$AH$22+(10-20)*$AI$22,$AK$22+(10-35)*$AJ$22))))))</f>
        <v/>
      </c>
      <c r="F39" s="41">
        <f>IF(10&lt;=2,$AD$23,IF(10&lt;=5,$AE$23,IF(10&lt;=10,$AF$23,IF(10&lt;=15,$AG$23,IF(10&lt;=20,$AH$23,IF(10&lt;=35,$AH$23+(10-20)*$AI$23,$AK$23+(10-35)*$AJ$23))))))</f>
        <v/>
      </c>
      <c r="G39" s="41">
        <f>IF(10&lt;=2,$AD$24,IF(10&lt;=5,$AE$24,IF(10&lt;=10,$AF$24,IF(10&lt;=15,$AG$24,IF(10&lt;=20,$AH$24,IF(10&lt;=35,$AH$24+(10-20)*$AI$24,$AK$24+(10-35)*$AJ$24))))))</f>
        <v/>
      </c>
      <c r="H39" s="41">
        <f>IF(10&lt;=2,$AD$25,$AD$25+(10-2)*$AE$25)</f>
        <v/>
      </c>
      <c r="I39" s="42">
        <f>IF(10&lt;=2,$AD$26,$AD$26+(10-2)*$AE$26)</f>
        <v/>
      </c>
    </row>
    <row r="40">
      <c r="B40" s="37" t="n">
        <v>11</v>
      </c>
      <c r="C40" s="38">
        <f>IF(11&lt;=5,$AD$20,$AD$20+(11-5)*$AE$20)</f>
        <v/>
      </c>
      <c r="D40" s="38">
        <f>IF(11&lt;=15,$AD$21,$AD$21+(11-15)*$AE$21)</f>
        <v/>
      </c>
      <c r="E40" s="38">
        <f>IF(11&lt;=2,$AD$22,IF(11&lt;=5,$AE$22,IF(11&lt;=10,$AF$22,IF(11&lt;=15,$AG$22,IF(11&lt;=20,$AH$22,IF(11&lt;=35,$AH$22+(11-20)*$AI$22,$AK$22+(11-35)*$AJ$22))))))</f>
        <v/>
      </c>
      <c r="F40" s="38">
        <f>IF(11&lt;=2,$AD$23,IF(11&lt;=5,$AE$23,IF(11&lt;=10,$AF$23,IF(11&lt;=15,$AG$23,IF(11&lt;=20,$AH$23,IF(11&lt;=35,$AH$23+(11-20)*$AI$23,$AK$23+(11-35)*$AJ$23))))))</f>
        <v/>
      </c>
      <c r="G40" s="38">
        <f>IF(11&lt;=2,$AD$24,IF(11&lt;=5,$AE$24,IF(11&lt;=10,$AF$24,IF(11&lt;=15,$AG$24,IF(11&lt;=20,$AH$24,IF(11&lt;=35,$AH$24+(11-20)*$AI$24,$AK$24+(11-35)*$AJ$24))))))</f>
        <v/>
      </c>
      <c r="H40" s="38">
        <f>IF(11&lt;=2,$AD$25,$AD$25+(11-2)*$AE$25)</f>
        <v/>
      </c>
      <c r="I40" s="39">
        <f>IF(11&lt;=2,$AD$26,$AD$26+(11-2)*$AE$26)</f>
        <v/>
      </c>
    </row>
    <row r="41">
      <c r="B41" s="37" t="n">
        <v>12</v>
      </c>
      <c r="C41" s="38">
        <f>IF(12&lt;=5,$AD$20,$AD$20+(12-5)*$AE$20)</f>
        <v/>
      </c>
      <c r="D41" s="38">
        <f>IF(12&lt;=15,$AD$21,$AD$21+(12-15)*$AE$21)</f>
        <v/>
      </c>
      <c r="E41" s="38">
        <f>IF(12&lt;=2,$AD$22,IF(12&lt;=5,$AE$22,IF(12&lt;=10,$AF$22,IF(12&lt;=15,$AG$22,IF(12&lt;=20,$AH$22,IF(12&lt;=35,$AH$22+(12-20)*$AI$22,$AK$22+(12-35)*$AJ$22))))))</f>
        <v/>
      </c>
      <c r="F41" s="38">
        <f>IF(12&lt;=2,$AD$23,IF(12&lt;=5,$AE$23,IF(12&lt;=10,$AF$23,IF(12&lt;=15,$AG$23,IF(12&lt;=20,$AH$23,IF(12&lt;=35,$AH$23+(12-20)*$AI$23,$AK$23+(12-35)*$AJ$23))))))</f>
        <v/>
      </c>
      <c r="G41" s="38">
        <f>IF(12&lt;=2,$AD$24,IF(12&lt;=5,$AE$24,IF(12&lt;=10,$AF$24,IF(12&lt;=15,$AG$24,IF(12&lt;=20,$AH$24,IF(12&lt;=35,$AH$24+(12-20)*$AI$24,$AK$24+(12-35)*$AJ$24))))))</f>
        <v/>
      </c>
      <c r="H41" s="38">
        <f>IF(12&lt;=2,$AD$25,$AD$25+(12-2)*$AE$25)</f>
        <v/>
      </c>
      <c r="I41" s="39">
        <f>IF(12&lt;=2,$AD$26,$AD$26+(12-2)*$AE$26)</f>
        <v/>
      </c>
    </row>
    <row r="42">
      <c r="B42" s="37" t="n">
        <v>13</v>
      </c>
      <c r="C42" s="38">
        <f>IF(13&lt;=5,$AD$20,$AD$20+(13-5)*$AE$20)</f>
        <v/>
      </c>
      <c r="D42" s="38">
        <f>IF(13&lt;=15,$AD$21,$AD$21+(13-15)*$AE$21)</f>
        <v/>
      </c>
      <c r="E42" s="38">
        <f>IF(13&lt;=2,$AD$22,IF(13&lt;=5,$AE$22,IF(13&lt;=10,$AF$22,IF(13&lt;=15,$AG$22,IF(13&lt;=20,$AH$22,IF(13&lt;=35,$AH$22+(13-20)*$AI$22,$AK$22+(13-35)*$AJ$22))))))</f>
        <v/>
      </c>
      <c r="F42" s="38">
        <f>IF(13&lt;=2,$AD$23,IF(13&lt;=5,$AE$23,IF(13&lt;=10,$AF$23,IF(13&lt;=15,$AG$23,IF(13&lt;=20,$AH$23,IF(13&lt;=35,$AH$23+(13-20)*$AI$23,$AK$23+(13-35)*$AJ$23))))))</f>
        <v/>
      </c>
      <c r="G42" s="38">
        <f>IF(13&lt;=2,$AD$24,IF(13&lt;=5,$AE$24,IF(13&lt;=10,$AF$24,IF(13&lt;=15,$AG$24,IF(13&lt;=20,$AH$24,IF(13&lt;=35,$AH$24+(13-20)*$AI$24,$AK$24+(13-35)*$AJ$24))))))</f>
        <v/>
      </c>
      <c r="H42" s="38">
        <f>IF(13&lt;=2,$AD$25,$AD$25+(13-2)*$AE$25)</f>
        <v/>
      </c>
      <c r="I42" s="39">
        <f>IF(13&lt;=2,$AD$26,$AD$26+(13-2)*$AE$26)</f>
        <v/>
      </c>
    </row>
    <row r="43">
      <c r="B43" s="37" t="n">
        <v>14</v>
      </c>
      <c r="C43" s="38">
        <f>IF(14&lt;=5,$AD$20,$AD$20+(14-5)*$AE$20)</f>
        <v/>
      </c>
      <c r="D43" s="38">
        <f>IF(14&lt;=15,$AD$21,$AD$21+(14-15)*$AE$21)</f>
        <v/>
      </c>
      <c r="E43" s="38">
        <f>IF(14&lt;=2,$AD$22,IF(14&lt;=5,$AE$22,IF(14&lt;=10,$AF$22,IF(14&lt;=15,$AG$22,IF(14&lt;=20,$AH$22,IF(14&lt;=35,$AH$22+(14-20)*$AI$22,$AK$22+(14-35)*$AJ$22))))))</f>
        <v/>
      </c>
      <c r="F43" s="38">
        <f>IF(14&lt;=2,$AD$23,IF(14&lt;=5,$AE$23,IF(14&lt;=10,$AF$23,IF(14&lt;=15,$AG$23,IF(14&lt;=20,$AH$23,IF(14&lt;=35,$AH$23+(14-20)*$AI$23,$AK$23+(14-35)*$AJ$23))))))</f>
        <v/>
      </c>
      <c r="G43" s="38">
        <f>IF(14&lt;=2,$AD$24,IF(14&lt;=5,$AE$24,IF(14&lt;=10,$AF$24,IF(14&lt;=15,$AG$24,IF(14&lt;=20,$AH$24,IF(14&lt;=35,$AH$24+(14-20)*$AI$24,$AK$24+(14-35)*$AJ$24))))))</f>
        <v/>
      </c>
      <c r="H43" s="38">
        <f>IF(14&lt;=2,$AD$25,$AD$25+(14-2)*$AE$25)</f>
        <v/>
      </c>
      <c r="I43" s="39">
        <f>IF(14&lt;=2,$AD$26,$AD$26+(14-2)*$AE$26)</f>
        <v/>
      </c>
    </row>
    <row r="44">
      <c r="B44" s="37" t="n">
        <v>15</v>
      </c>
      <c r="C44" s="38">
        <f>IF(15&lt;=5,$AD$20,$AD$20+(15-5)*$AE$20)</f>
        <v/>
      </c>
      <c r="D44" s="38">
        <f>IF(15&lt;=15,$AD$21,$AD$21+(15-15)*$AE$21)</f>
        <v/>
      </c>
      <c r="E44" s="38">
        <f>IF(15&lt;=2,$AD$22,IF(15&lt;=5,$AE$22,IF(15&lt;=10,$AF$22,IF(15&lt;=15,$AG$22,IF(15&lt;=20,$AH$22,IF(15&lt;=35,$AH$22+(15-20)*$AI$22,$AK$22+(15-35)*$AJ$22))))))</f>
        <v/>
      </c>
      <c r="F44" s="38">
        <f>IF(15&lt;=2,$AD$23,IF(15&lt;=5,$AE$23,IF(15&lt;=10,$AF$23,IF(15&lt;=15,$AG$23,IF(15&lt;=20,$AH$23,IF(15&lt;=35,$AH$23+(15-20)*$AI$23,$AK$23+(15-35)*$AJ$23))))))</f>
        <v/>
      </c>
      <c r="G44" s="38">
        <f>IF(15&lt;=2,$AD$24,IF(15&lt;=5,$AE$24,IF(15&lt;=10,$AF$24,IF(15&lt;=15,$AG$24,IF(15&lt;=20,$AH$24,IF(15&lt;=35,$AH$24+(15-20)*$AI$24,$AK$24+(15-35)*$AJ$24))))))</f>
        <v/>
      </c>
      <c r="H44" s="38">
        <f>IF(15&lt;=2,$AD$25,$AD$25+(15-2)*$AE$25)</f>
        <v/>
      </c>
      <c r="I44" s="39">
        <f>IF(15&lt;=2,$AD$26,$AD$26+(15-2)*$AE$26)</f>
        <v/>
      </c>
    </row>
    <row r="45">
      <c r="B45" s="40" t="n">
        <v>16</v>
      </c>
      <c r="C45" s="41">
        <f>IF(16&lt;=5,$AD$20,$AD$20+(16-5)*$AE$20)</f>
        <v/>
      </c>
      <c r="D45" s="41">
        <f>IF(16&lt;=15,$AD$21,$AD$21+(16-15)*$AE$21)</f>
        <v/>
      </c>
      <c r="E45" s="41">
        <f>IF(16&lt;=2,$AD$22,IF(16&lt;=5,$AE$22,IF(16&lt;=10,$AF$22,IF(16&lt;=15,$AG$22,IF(16&lt;=20,$AH$22,IF(16&lt;=35,$AH$22+(16-20)*$AI$22,$AK$22+(16-35)*$AJ$22))))))</f>
        <v/>
      </c>
      <c r="F45" s="41">
        <f>IF(16&lt;=2,$AD$23,IF(16&lt;=5,$AE$23,IF(16&lt;=10,$AF$23,IF(16&lt;=15,$AG$23,IF(16&lt;=20,$AH$23,IF(16&lt;=35,$AH$23+(16-20)*$AI$23,$AK$23+(16-35)*$AJ$23))))))</f>
        <v/>
      </c>
      <c r="G45" s="41">
        <f>IF(16&lt;=2,$AD$24,IF(16&lt;=5,$AE$24,IF(16&lt;=10,$AF$24,IF(16&lt;=15,$AG$24,IF(16&lt;=20,$AH$24,IF(16&lt;=35,$AH$24+(16-20)*$AI$24,$AK$24+(16-35)*$AJ$24))))))</f>
        <v/>
      </c>
      <c r="H45" s="41">
        <f>IF(16&lt;=2,$AD$25,$AD$25+(16-2)*$AE$25)</f>
        <v/>
      </c>
      <c r="I45" s="42">
        <f>IF(16&lt;=2,$AD$26,$AD$26+(16-2)*$AE$26)</f>
        <v/>
      </c>
    </row>
    <row r="46">
      <c r="B46" s="40" t="n">
        <v>17</v>
      </c>
      <c r="C46" s="41">
        <f>IF(17&lt;=5,$AD$20,$AD$20+(17-5)*$AE$20)</f>
        <v/>
      </c>
      <c r="D46" s="41">
        <f>IF(17&lt;=15,$AD$21,$AD$21+(17-15)*$AE$21)</f>
        <v/>
      </c>
      <c r="E46" s="41">
        <f>IF(17&lt;=2,$AD$22,IF(17&lt;=5,$AE$22,IF(17&lt;=10,$AF$22,IF(17&lt;=15,$AG$22,IF(17&lt;=20,$AH$22,IF(17&lt;=35,$AH$22+(17-20)*$AI$22,$AK$22+(17-35)*$AJ$22))))))</f>
        <v/>
      </c>
      <c r="F46" s="41">
        <f>IF(17&lt;=2,$AD$23,IF(17&lt;=5,$AE$23,IF(17&lt;=10,$AF$23,IF(17&lt;=15,$AG$23,IF(17&lt;=20,$AH$23,IF(17&lt;=35,$AH$23+(17-20)*$AI$23,$AK$23+(17-35)*$AJ$23))))))</f>
        <v/>
      </c>
      <c r="G46" s="41">
        <f>IF(17&lt;=2,$AD$24,IF(17&lt;=5,$AE$24,IF(17&lt;=10,$AF$24,IF(17&lt;=15,$AG$24,IF(17&lt;=20,$AH$24,IF(17&lt;=35,$AH$24+(17-20)*$AI$24,$AK$24+(17-35)*$AJ$24))))))</f>
        <v/>
      </c>
      <c r="H46" s="41">
        <f>IF(17&lt;=2,$AD$25,$AD$25+(17-2)*$AE$25)</f>
        <v/>
      </c>
      <c r="I46" s="42">
        <f>IF(17&lt;=2,$AD$26,$AD$26+(17-2)*$AE$26)</f>
        <v/>
      </c>
    </row>
    <row r="47">
      <c r="B47" s="40" t="n">
        <v>18</v>
      </c>
      <c r="C47" s="41">
        <f>IF(18&lt;=5,$AD$20,$AD$20+(18-5)*$AE$20)</f>
        <v/>
      </c>
      <c r="D47" s="41">
        <f>IF(18&lt;=15,$AD$21,$AD$21+(18-15)*$AE$21)</f>
        <v/>
      </c>
      <c r="E47" s="41">
        <f>IF(18&lt;=2,$AD$22,IF(18&lt;=5,$AE$22,IF(18&lt;=10,$AF$22,IF(18&lt;=15,$AG$22,IF(18&lt;=20,$AH$22,IF(18&lt;=35,$AH$22+(18-20)*$AI$22,$AK$22+(18-35)*$AJ$22))))))</f>
        <v/>
      </c>
      <c r="F47" s="41">
        <f>IF(18&lt;=2,$AD$23,IF(18&lt;=5,$AE$23,IF(18&lt;=10,$AF$23,IF(18&lt;=15,$AG$23,IF(18&lt;=20,$AH$23,IF(18&lt;=35,$AH$23+(18-20)*$AI$23,$AK$23+(18-35)*$AJ$23))))))</f>
        <v/>
      </c>
      <c r="G47" s="41">
        <f>IF(18&lt;=2,$AD$24,IF(18&lt;=5,$AE$24,IF(18&lt;=10,$AF$24,IF(18&lt;=15,$AG$24,IF(18&lt;=20,$AH$24,IF(18&lt;=35,$AH$24+(18-20)*$AI$24,$AK$24+(18-35)*$AJ$24))))))</f>
        <v/>
      </c>
      <c r="H47" s="41">
        <f>IF(18&lt;=2,$AD$25,$AD$25+(18-2)*$AE$25)</f>
        <v/>
      </c>
      <c r="I47" s="42">
        <f>IF(18&lt;=2,$AD$26,$AD$26+(18-2)*$AE$26)</f>
        <v/>
      </c>
    </row>
    <row r="48">
      <c r="B48" s="40" t="n">
        <v>19</v>
      </c>
      <c r="C48" s="41">
        <f>IF(19&lt;=5,$AD$20,$AD$20+(19-5)*$AE$20)</f>
        <v/>
      </c>
      <c r="D48" s="41">
        <f>IF(19&lt;=15,$AD$21,$AD$21+(19-15)*$AE$21)</f>
        <v/>
      </c>
      <c r="E48" s="41">
        <f>IF(19&lt;=2,$AD$22,IF(19&lt;=5,$AE$22,IF(19&lt;=10,$AF$22,IF(19&lt;=15,$AG$22,IF(19&lt;=20,$AH$22,IF(19&lt;=35,$AH$22+(19-20)*$AI$22,$AK$22+(19-35)*$AJ$22))))))</f>
        <v/>
      </c>
      <c r="F48" s="41">
        <f>IF(19&lt;=2,$AD$23,IF(19&lt;=5,$AE$23,IF(19&lt;=10,$AF$23,IF(19&lt;=15,$AG$23,IF(19&lt;=20,$AH$23,IF(19&lt;=35,$AH$23+(19-20)*$AI$23,$AK$23+(19-35)*$AJ$23))))))</f>
        <v/>
      </c>
      <c r="G48" s="41">
        <f>IF(19&lt;=2,$AD$24,IF(19&lt;=5,$AE$24,IF(19&lt;=10,$AF$24,IF(19&lt;=15,$AG$24,IF(19&lt;=20,$AH$24,IF(19&lt;=35,$AH$24+(19-20)*$AI$24,$AK$24+(19-35)*$AJ$24))))))</f>
        <v/>
      </c>
      <c r="H48" s="41">
        <f>IF(19&lt;=2,$AD$25,$AD$25+(19-2)*$AE$25)</f>
        <v/>
      </c>
      <c r="I48" s="42">
        <f>IF(19&lt;=2,$AD$26,$AD$26+(19-2)*$AE$26)</f>
        <v/>
      </c>
    </row>
    <row r="49">
      <c r="B49" s="40" t="n">
        <v>20</v>
      </c>
      <c r="C49" s="41">
        <f>IF(20&lt;=5,$AD$20,$AD$20+(20-5)*$AE$20)</f>
        <v/>
      </c>
      <c r="D49" s="41">
        <f>IF(20&lt;=15,$AD$21,$AD$21+(20-15)*$AE$21)</f>
        <v/>
      </c>
      <c r="E49" s="41">
        <f>IF(20&lt;=2,$AD$22,IF(20&lt;=5,$AE$22,IF(20&lt;=10,$AF$22,IF(20&lt;=15,$AG$22,IF(20&lt;=20,$AH$22,IF(20&lt;=35,$AH$22+(20-20)*$AI$22,$AK$22+(20-35)*$AJ$22))))))</f>
        <v/>
      </c>
      <c r="F49" s="41">
        <f>IF(20&lt;=2,$AD$23,IF(20&lt;=5,$AE$23,IF(20&lt;=10,$AF$23,IF(20&lt;=15,$AG$23,IF(20&lt;=20,$AH$23,IF(20&lt;=35,$AH$23+(20-20)*$AI$23,$AK$23+(20-35)*$AJ$23))))))</f>
        <v/>
      </c>
      <c r="G49" s="41">
        <f>IF(20&lt;=2,$AD$24,IF(20&lt;=5,$AE$24,IF(20&lt;=10,$AF$24,IF(20&lt;=15,$AG$24,IF(20&lt;=20,$AH$24,IF(20&lt;=35,$AH$24+(20-20)*$AI$24,$AK$24+(20-35)*$AJ$24))))))</f>
        <v/>
      </c>
      <c r="H49" s="41">
        <f>IF(20&lt;=2,$AD$25,$AD$25+(20-2)*$AE$25)</f>
        <v/>
      </c>
      <c r="I49" s="42">
        <f>IF(20&lt;=2,$AD$26,$AD$26+(20-2)*$AE$26)</f>
        <v/>
      </c>
    </row>
    <row r="50">
      <c r="B50" s="37" t="n">
        <v>21</v>
      </c>
      <c r="C50" s="38">
        <f>IF(21&lt;=5,$AD$20,$AD$20+(21-5)*$AE$20)</f>
        <v/>
      </c>
      <c r="D50" s="38">
        <f>IF(21&lt;=15,$AD$21,$AD$21+(21-15)*$AE$21)</f>
        <v/>
      </c>
      <c r="E50" s="38">
        <f>IF(21&lt;=2,$AD$22,IF(21&lt;=5,$AE$22,IF(21&lt;=10,$AF$22,IF(21&lt;=15,$AG$22,IF(21&lt;=20,$AH$22,IF(21&lt;=35,$AH$22+(21-20)*$AI$22,$AK$22+(21-35)*$AJ$22))))))</f>
        <v/>
      </c>
      <c r="F50" s="38">
        <f>IF(21&lt;=2,$AD$23,IF(21&lt;=5,$AE$23,IF(21&lt;=10,$AF$23,IF(21&lt;=15,$AG$23,IF(21&lt;=20,$AH$23,IF(21&lt;=35,$AH$23+(21-20)*$AI$23,$AK$23+(21-35)*$AJ$23))))))</f>
        <v/>
      </c>
      <c r="G50" s="38">
        <f>IF(21&lt;=2,$AD$24,IF(21&lt;=5,$AE$24,IF(21&lt;=10,$AF$24,IF(21&lt;=15,$AG$24,IF(21&lt;=20,$AH$24,IF(21&lt;=35,$AH$24+(21-20)*$AI$24,$AK$24+(21-35)*$AJ$24))))))</f>
        <v/>
      </c>
      <c r="H50" s="38">
        <f>IF(21&lt;=2,$AD$25,$AD$25+(21-2)*$AE$25)</f>
        <v/>
      </c>
      <c r="I50" s="39">
        <f>IF(21&lt;=2,$AD$26,$AD$26+(21-2)*$AE$26)</f>
        <v/>
      </c>
    </row>
    <row r="51">
      <c r="B51" s="37" t="n">
        <v>22</v>
      </c>
      <c r="C51" s="38">
        <f>IF(22&lt;=5,$AD$20,$AD$20+(22-5)*$AE$20)</f>
        <v/>
      </c>
      <c r="D51" s="38">
        <f>IF(22&lt;=15,$AD$21,$AD$21+(22-15)*$AE$21)</f>
        <v/>
      </c>
      <c r="E51" s="38">
        <f>IF(22&lt;=2,$AD$22,IF(22&lt;=5,$AE$22,IF(22&lt;=10,$AF$22,IF(22&lt;=15,$AG$22,IF(22&lt;=20,$AH$22,IF(22&lt;=35,$AH$22+(22-20)*$AI$22,$AK$22+(22-35)*$AJ$22))))))</f>
        <v/>
      </c>
      <c r="F51" s="38">
        <f>IF(22&lt;=2,$AD$23,IF(22&lt;=5,$AE$23,IF(22&lt;=10,$AF$23,IF(22&lt;=15,$AG$23,IF(22&lt;=20,$AH$23,IF(22&lt;=35,$AH$23+(22-20)*$AI$23,$AK$23+(22-35)*$AJ$23))))))</f>
        <v/>
      </c>
      <c r="G51" s="38">
        <f>IF(22&lt;=2,$AD$24,IF(22&lt;=5,$AE$24,IF(22&lt;=10,$AF$24,IF(22&lt;=15,$AG$24,IF(22&lt;=20,$AH$24,IF(22&lt;=35,$AH$24+(22-20)*$AI$24,$AK$24+(22-35)*$AJ$24))))))</f>
        <v/>
      </c>
      <c r="H51" s="38">
        <f>IF(22&lt;=2,$AD$25,$AD$25+(22-2)*$AE$25)</f>
        <v/>
      </c>
      <c r="I51" s="39">
        <f>IF(22&lt;=2,$AD$26,$AD$26+(22-2)*$AE$26)</f>
        <v/>
      </c>
    </row>
    <row r="52">
      <c r="B52" s="37" t="n">
        <v>23</v>
      </c>
      <c r="C52" s="38">
        <f>IF(23&lt;=5,$AD$20,$AD$20+(23-5)*$AE$20)</f>
        <v/>
      </c>
      <c r="D52" s="38">
        <f>IF(23&lt;=15,$AD$21,$AD$21+(23-15)*$AE$21)</f>
        <v/>
      </c>
      <c r="E52" s="38">
        <f>IF(23&lt;=2,$AD$22,IF(23&lt;=5,$AE$22,IF(23&lt;=10,$AF$22,IF(23&lt;=15,$AG$22,IF(23&lt;=20,$AH$22,IF(23&lt;=35,$AH$22+(23-20)*$AI$22,$AK$22+(23-35)*$AJ$22))))))</f>
        <v/>
      </c>
      <c r="F52" s="38">
        <f>IF(23&lt;=2,$AD$23,IF(23&lt;=5,$AE$23,IF(23&lt;=10,$AF$23,IF(23&lt;=15,$AG$23,IF(23&lt;=20,$AH$23,IF(23&lt;=35,$AH$23+(23-20)*$AI$23,$AK$23+(23-35)*$AJ$23))))))</f>
        <v/>
      </c>
      <c r="G52" s="38">
        <f>IF(23&lt;=2,$AD$24,IF(23&lt;=5,$AE$24,IF(23&lt;=10,$AF$24,IF(23&lt;=15,$AG$24,IF(23&lt;=20,$AH$24,IF(23&lt;=35,$AH$24+(23-20)*$AI$24,$AK$24+(23-35)*$AJ$24))))))</f>
        <v/>
      </c>
      <c r="H52" s="38">
        <f>IF(23&lt;=2,$AD$25,$AD$25+(23-2)*$AE$25)</f>
        <v/>
      </c>
      <c r="I52" s="39">
        <f>IF(23&lt;=2,$AD$26,$AD$26+(23-2)*$AE$26)</f>
        <v/>
      </c>
    </row>
    <row r="53">
      <c r="B53" s="37" t="n">
        <v>24</v>
      </c>
      <c r="C53" s="38">
        <f>IF(24&lt;=5,$AD$20,$AD$20+(24-5)*$AE$20)</f>
        <v/>
      </c>
      <c r="D53" s="38">
        <f>IF(24&lt;=15,$AD$21,$AD$21+(24-15)*$AE$21)</f>
        <v/>
      </c>
      <c r="E53" s="38">
        <f>IF(24&lt;=2,$AD$22,IF(24&lt;=5,$AE$22,IF(24&lt;=10,$AF$22,IF(24&lt;=15,$AG$22,IF(24&lt;=20,$AH$22,IF(24&lt;=35,$AH$22+(24-20)*$AI$22,$AK$22+(24-35)*$AJ$22))))))</f>
        <v/>
      </c>
      <c r="F53" s="38">
        <f>IF(24&lt;=2,$AD$23,IF(24&lt;=5,$AE$23,IF(24&lt;=10,$AF$23,IF(24&lt;=15,$AG$23,IF(24&lt;=20,$AH$23,IF(24&lt;=35,$AH$23+(24-20)*$AI$23,$AK$23+(24-35)*$AJ$23))))))</f>
        <v/>
      </c>
      <c r="G53" s="38">
        <f>IF(24&lt;=2,$AD$24,IF(24&lt;=5,$AE$24,IF(24&lt;=10,$AF$24,IF(24&lt;=15,$AG$24,IF(24&lt;=20,$AH$24,IF(24&lt;=35,$AH$24+(24-20)*$AI$24,$AK$24+(24-35)*$AJ$24))))))</f>
        <v/>
      </c>
      <c r="H53" s="38">
        <f>IF(24&lt;=2,$AD$25,$AD$25+(24-2)*$AE$25)</f>
        <v/>
      </c>
      <c r="I53" s="39">
        <f>IF(24&lt;=2,$AD$26,$AD$26+(24-2)*$AE$26)</f>
        <v/>
      </c>
    </row>
    <row r="54">
      <c r="B54" s="37" t="n">
        <v>25</v>
      </c>
      <c r="C54" s="38">
        <f>IF(25&lt;=5,$AD$20,$AD$20+(25-5)*$AE$20)</f>
        <v/>
      </c>
      <c r="D54" s="38">
        <f>IF(25&lt;=15,$AD$21,$AD$21+(25-15)*$AE$21)</f>
        <v/>
      </c>
      <c r="E54" s="38">
        <f>IF(25&lt;=2,$AD$22,IF(25&lt;=5,$AE$22,IF(25&lt;=10,$AF$22,IF(25&lt;=15,$AG$22,IF(25&lt;=20,$AH$22,IF(25&lt;=35,$AH$22+(25-20)*$AI$22,$AK$22+(25-35)*$AJ$22))))))</f>
        <v/>
      </c>
      <c r="F54" s="38">
        <f>IF(25&lt;=2,$AD$23,IF(25&lt;=5,$AE$23,IF(25&lt;=10,$AF$23,IF(25&lt;=15,$AG$23,IF(25&lt;=20,$AH$23,IF(25&lt;=35,$AH$23+(25-20)*$AI$23,$AK$23+(25-35)*$AJ$23))))))</f>
        <v/>
      </c>
      <c r="G54" s="38">
        <f>IF(25&lt;=2,$AD$24,IF(25&lt;=5,$AE$24,IF(25&lt;=10,$AF$24,IF(25&lt;=15,$AG$24,IF(25&lt;=20,$AH$24,IF(25&lt;=35,$AH$24+(25-20)*$AI$24,$AK$24+(25-35)*$AJ$24))))))</f>
        <v/>
      </c>
      <c r="H54" s="38">
        <f>IF(25&lt;=2,$AD$25,$AD$25+(25-2)*$AE$25)</f>
        <v/>
      </c>
      <c r="I54" s="39">
        <f>IF(25&lt;=2,$AD$26,$AD$26+(25-2)*$AE$26)</f>
        <v/>
      </c>
    </row>
    <row r="55">
      <c r="B55" s="40" t="n">
        <v>26</v>
      </c>
      <c r="C55" s="41">
        <f>IF(26&lt;=5,$AD$20,$AD$20+(26-5)*$AE$20)</f>
        <v/>
      </c>
      <c r="D55" s="41">
        <f>IF(26&lt;=15,$AD$21,$AD$21+(26-15)*$AE$21)</f>
        <v/>
      </c>
      <c r="E55" s="41">
        <f>IF(26&lt;=2,$AD$22,IF(26&lt;=5,$AE$22,IF(26&lt;=10,$AF$22,IF(26&lt;=15,$AG$22,IF(26&lt;=20,$AH$22,IF(26&lt;=35,$AH$22+(26-20)*$AI$22,$AK$22+(26-35)*$AJ$22))))))</f>
        <v/>
      </c>
      <c r="F55" s="41">
        <f>IF(26&lt;=2,$AD$23,IF(26&lt;=5,$AE$23,IF(26&lt;=10,$AF$23,IF(26&lt;=15,$AG$23,IF(26&lt;=20,$AH$23,IF(26&lt;=35,$AH$23+(26-20)*$AI$23,$AK$23+(26-35)*$AJ$23))))))</f>
        <v/>
      </c>
      <c r="G55" s="41">
        <f>IF(26&lt;=2,$AD$24,IF(26&lt;=5,$AE$24,IF(26&lt;=10,$AF$24,IF(26&lt;=15,$AG$24,IF(26&lt;=20,$AH$24,IF(26&lt;=35,$AH$24+(26-20)*$AI$24,$AK$24+(26-35)*$AJ$24))))))</f>
        <v/>
      </c>
      <c r="H55" s="41">
        <f>IF(26&lt;=2,$AD$25,$AD$25+(26-2)*$AE$25)</f>
        <v/>
      </c>
      <c r="I55" s="42">
        <f>IF(26&lt;=2,$AD$26,$AD$26+(26-2)*$AE$26)</f>
        <v/>
      </c>
    </row>
    <row r="56">
      <c r="B56" s="40" t="n">
        <v>27</v>
      </c>
      <c r="C56" s="41">
        <f>IF(27&lt;=5,$AD$20,$AD$20+(27-5)*$AE$20)</f>
        <v/>
      </c>
      <c r="D56" s="41">
        <f>IF(27&lt;=15,$AD$21,$AD$21+(27-15)*$AE$21)</f>
        <v/>
      </c>
      <c r="E56" s="41">
        <f>IF(27&lt;=2,$AD$22,IF(27&lt;=5,$AE$22,IF(27&lt;=10,$AF$22,IF(27&lt;=15,$AG$22,IF(27&lt;=20,$AH$22,IF(27&lt;=35,$AH$22+(27-20)*$AI$22,$AK$22+(27-35)*$AJ$22))))))</f>
        <v/>
      </c>
      <c r="F56" s="41">
        <f>IF(27&lt;=2,$AD$23,IF(27&lt;=5,$AE$23,IF(27&lt;=10,$AF$23,IF(27&lt;=15,$AG$23,IF(27&lt;=20,$AH$23,IF(27&lt;=35,$AH$23+(27-20)*$AI$23,$AK$23+(27-35)*$AJ$23))))))</f>
        <v/>
      </c>
      <c r="G56" s="41">
        <f>IF(27&lt;=2,$AD$24,IF(27&lt;=5,$AE$24,IF(27&lt;=10,$AF$24,IF(27&lt;=15,$AG$24,IF(27&lt;=20,$AH$24,IF(27&lt;=35,$AH$24+(27-20)*$AI$24,$AK$24+(27-35)*$AJ$24))))))</f>
        <v/>
      </c>
      <c r="H56" s="41">
        <f>IF(27&lt;=2,$AD$25,$AD$25+(27-2)*$AE$25)</f>
        <v/>
      </c>
      <c r="I56" s="42">
        <f>IF(27&lt;=2,$AD$26,$AD$26+(27-2)*$AE$26)</f>
        <v/>
      </c>
    </row>
    <row r="57">
      <c r="B57" s="40" t="n">
        <v>28</v>
      </c>
      <c r="C57" s="41">
        <f>IF(28&lt;=5,$AD$20,$AD$20+(28-5)*$AE$20)</f>
        <v/>
      </c>
      <c r="D57" s="41">
        <f>IF(28&lt;=15,$AD$21,$AD$21+(28-15)*$AE$21)</f>
        <v/>
      </c>
      <c r="E57" s="41">
        <f>IF(28&lt;=2,$AD$22,IF(28&lt;=5,$AE$22,IF(28&lt;=10,$AF$22,IF(28&lt;=15,$AG$22,IF(28&lt;=20,$AH$22,IF(28&lt;=35,$AH$22+(28-20)*$AI$22,$AK$22+(28-35)*$AJ$22))))))</f>
        <v/>
      </c>
      <c r="F57" s="41">
        <f>IF(28&lt;=2,$AD$23,IF(28&lt;=5,$AE$23,IF(28&lt;=10,$AF$23,IF(28&lt;=15,$AG$23,IF(28&lt;=20,$AH$23,IF(28&lt;=35,$AH$23+(28-20)*$AI$23,$AK$23+(28-35)*$AJ$23))))))</f>
        <v/>
      </c>
      <c r="G57" s="41">
        <f>IF(28&lt;=2,$AD$24,IF(28&lt;=5,$AE$24,IF(28&lt;=10,$AF$24,IF(28&lt;=15,$AG$24,IF(28&lt;=20,$AH$24,IF(28&lt;=35,$AH$24+(28-20)*$AI$24,$AK$24+(28-35)*$AJ$24))))))</f>
        <v/>
      </c>
      <c r="H57" s="41">
        <f>IF(28&lt;=2,$AD$25,$AD$25+(28-2)*$AE$25)</f>
        <v/>
      </c>
      <c r="I57" s="42">
        <f>IF(28&lt;=2,$AD$26,$AD$26+(28-2)*$AE$26)</f>
        <v/>
      </c>
    </row>
    <row r="58">
      <c r="B58" s="40" t="n">
        <v>29</v>
      </c>
      <c r="C58" s="41">
        <f>IF(29&lt;=5,$AD$20,$AD$20+(29-5)*$AE$20)</f>
        <v/>
      </c>
      <c r="D58" s="41">
        <f>IF(29&lt;=15,$AD$21,$AD$21+(29-15)*$AE$21)</f>
        <v/>
      </c>
      <c r="E58" s="41">
        <f>IF(29&lt;=2,$AD$22,IF(29&lt;=5,$AE$22,IF(29&lt;=10,$AF$22,IF(29&lt;=15,$AG$22,IF(29&lt;=20,$AH$22,IF(29&lt;=35,$AH$22+(29-20)*$AI$22,$AK$22+(29-35)*$AJ$22))))))</f>
        <v/>
      </c>
      <c r="F58" s="41">
        <f>IF(29&lt;=2,$AD$23,IF(29&lt;=5,$AE$23,IF(29&lt;=10,$AF$23,IF(29&lt;=15,$AG$23,IF(29&lt;=20,$AH$23,IF(29&lt;=35,$AH$23+(29-20)*$AI$23,$AK$23+(29-35)*$AJ$23))))))</f>
        <v/>
      </c>
      <c r="G58" s="41">
        <f>IF(29&lt;=2,$AD$24,IF(29&lt;=5,$AE$24,IF(29&lt;=10,$AF$24,IF(29&lt;=15,$AG$24,IF(29&lt;=20,$AH$24,IF(29&lt;=35,$AH$24+(29-20)*$AI$24,$AK$24+(29-35)*$AJ$24))))))</f>
        <v/>
      </c>
      <c r="H58" s="41">
        <f>IF(29&lt;=2,$AD$25,$AD$25+(29-2)*$AE$25)</f>
        <v/>
      </c>
      <c r="I58" s="42">
        <f>IF(29&lt;=2,$AD$26,$AD$26+(29-2)*$AE$26)</f>
        <v/>
      </c>
    </row>
    <row r="59">
      <c r="B59" s="40" t="n">
        <v>30</v>
      </c>
      <c r="C59" s="41">
        <f>IF(30&lt;=5,$AD$20,$AD$20+(30-5)*$AE$20)</f>
        <v/>
      </c>
      <c r="D59" s="41">
        <f>IF(30&lt;=15,$AD$21,$AD$21+(30-15)*$AE$21)</f>
        <v/>
      </c>
      <c r="E59" s="41">
        <f>IF(30&lt;=2,$AD$22,IF(30&lt;=5,$AE$22,IF(30&lt;=10,$AF$22,IF(30&lt;=15,$AG$22,IF(30&lt;=20,$AH$22,IF(30&lt;=35,$AH$22+(30-20)*$AI$22,$AK$22+(30-35)*$AJ$22))))))</f>
        <v/>
      </c>
      <c r="F59" s="41">
        <f>IF(30&lt;=2,$AD$23,IF(30&lt;=5,$AE$23,IF(30&lt;=10,$AF$23,IF(30&lt;=15,$AG$23,IF(30&lt;=20,$AH$23,IF(30&lt;=35,$AH$23+(30-20)*$AI$23,$AK$23+(30-35)*$AJ$23))))))</f>
        <v/>
      </c>
      <c r="G59" s="41">
        <f>IF(30&lt;=2,$AD$24,IF(30&lt;=5,$AE$24,IF(30&lt;=10,$AF$24,IF(30&lt;=15,$AG$24,IF(30&lt;=20,$AH$24,IF(30&lt;=35,$AH$24+(30-20)*$AI$24,$AK$24+(30-35)*$AJ$24))))))</f>
        <v/>
      </c>
      <c r="H59" s="41">
        <f>IF(30&lt;=2,$AD$25,$AD$25+(30-2)*$AE$25)</f>
        <v/>
      </c>
      <c r="I59" s="42">
        <f>IF(30&lt;=2,$AD$26,$AD$26+(30-2)*$AE$26)</f>
        <v/>
      </c>
    </row>
    <row r="60">
      <c r="B60" s="37" t="n">
        <v>31</v>
      </c>
      <c r="C60" s="38">
        <f>IF(31&lt;=5,$AD$20,$AD$20+(31-5)*$AE$20)</f>
        <v/>
      </c>
      <c r="D60" s="38">
        <f>IF(31&lt;=15,$AD$21,$AD$21+(31-15)*$AE$21)</f>
        <v/>
      </c>
      <c r="E60" s="38">
        <f>IF(31&lt;=2,$AD$22,IF(31&lt;=5,$AE$22,IF(31&lt;=10,$AF$22,IF(31&lt;=15,$AG$22,IF(31&lt;=20,$AH$22,IF(31&lt;=35,$AH$22+(31-20)*$AI$22,$AK$22+(31-35)*$AJ$22))))))</f>
        <v/>
      </c>
      <c r="F60" s="38">
        <f>IF(31&lt;=2,$AD$23,IF(31&lt;=5,$AE$23,IF(31&lt;=10,$AF$23,IF(31&lt;=15,$AG$23,IF(31&lt;=20,$AH$23,IF(31&lt;=35,$AH$23+(31-20)*$AI$23,$AK$23+(31-35)*$AJ$23))))))</f>
        <v/>
      </c>
      <c r="G60" s="38">
        <f>IF(31&lt;=2,$AD$24,IF(31&lt;=5,$AE$24,IF(31&lt;=10,$AF$24,IF(31&lt;=15,$AG$24,IF(31&lt;=20,$AH$24,IF(31&lt;=35,$AH$24+(31-20)*$AI$24,$AK$24+(31-35)*$AJ$24))))))</f>
        <v/>
      </c>
      <c r="H60" s="38">
        <f>IF(31&lt;=2,$AD$25,$AD$25+(31-2)*$AE$25)</f>
        <v/>
      </c>
      <c r="I60" s="39">
        <f>IF(31&lt;=2,$AD$26,$AD$26+(31-2)*$AE$26)</f>
        <v/>
      </c>
    </row>
    <row r="61">
      <c r="B61" s="37" t="n">
        <v>32</v>
      </c>
      <c r="C61" s="38">
        <f>IF(32&lt;=5,$AD$20,$AD$20+(32-5)*$AE$20)</f>
        <v/>
      </c>
      <c r="D61" s="38">
        <f>IF(32&lt;=15,$AD$21,$AD$21+(32-15)*$AE$21)</f>
        <v/>
      </c>
      <c r="E61" s="38">
        <f>IF(32&lt;=2,$AD$22,IF(32&lt;=5,$AE$22,IF(32&lt;=10,$AF$22,IF(32&lt;=15,$AG$22,IF(32&lt;=20,$AH$22,IF(32&lt;=35,$AH$22+(32-20)*$AI$22,$AK$22+(32-35)*$AJ$22))))))</f>
        <v/>
      </c>
      <c r="F61" s="38">
        <f>IF(32&lt;=2,$AD$23,IF(32&lt;=5,$AE$23,IF(32&lt;=10,$AF$23,IF(32&lt;=15,$AG$23,IF(32&lt;=20,$AH$23,IF(32&lt;=35,$AH$23+(32-20)*$AI$23,$AK$23+(32-35)*$AJ$23))))))</f>
        <v/>
      </c>
      <c r="G61" s="38">
        <f>IF(32&lt;=2,$AD$24,IF(32&lt;=5,$AE$24,IF(32&lt;=10,$AF$24,IF(32&lt;=15,$AG$24,IF(32&lt;=20,$AH$24,IF(32&lt;=35,$AH$24+(32-20)*$AI$24,$AK$24+(32-35)*$AJ$24))))))</f>
        <v/>
      </c>
      <c r="H61" s="38">
        <f>IF(32&lt;=2,$AD$25,$AD$25+(32-2)*$AE$25)</f>
        <v/>
      </c>
      <c r="I61" s="39">
        <f>IF(32&lt;=2,$AD$26,$AD$26+(32-2)*$AE$26)</f>
        <v/>
      </c>
    </row>
    <row r="62">
      <c r="B62" s="37" t="n">
        <v>33</v>
      </c>
      <c r="C62" s="38">
        <f>IF(33&lt;=5,$AD$20,$AD$20+(33-5)*$AE$20)</f>
        <v/>
      </c>
      <c r="D62" s="38">
        <f>IF(33&lt;=15,$AD$21,$AD$21+(33-15)*$AE$21)</f>
        <v/>
      </c>
      <c r="E62" s="38">
        <f>IF(33&lt;=2,$AD$22,IF(33&lt;=5,$AE$22,IF(33&lt;=10,$AF$22,IF(33&lt;=15,$AG$22,IF(33&lt;=20,$AH$22,IF(33&lt;=35,$AH$22+(33-20)*$AI$22,$AK$22+(33-35)*$AJ$22))))))</f>
        <v/>
      </c>
      <c r="F62" s="38">
        <f>IF(33&lt;=2,$AD$23,IF(33&lt;=5,$AE$23,IF(33&lt;=10,$AF$23,IF(33&lt;=15,$AG$23,IF(33&lt;=20,$AH$23,IF(33&lt;=35,$AH$23+(33-20)*$AI$23,$AK$23+(33-35)*$AJ$23))))))</f>
        <v/>
      </c>
      <c r="G62" s="38">
        <f>IF(33&lt;=2,$AD$24,IF(33&lt;=5,$AE$24,IF(33&lt;=10,$AF$24,IF(33&lt;=15,$AG$24,IF(33&lt;=20,$AH$24,IF(33&lt;=35,$AH$24+(33-20)*$AI$24,$AK$24+(33-35)*$AJ$24))))))</f>
        <v/>
      </c>
      <c r="H62" s="38">
        <f>IF(33&lt;=2,$AD$25,$AD$25+(33-2)*$AE$25)</f>
        <v/>
      </c>
      <c r="I62" s="39">
        <f>IF(33&lt;=2,$AD$26,$AD$26+(33-2)*$AE$26)</f>
        <v/>
      </c>
    </row>
    <row r="63">
      <c r="B63" s="37" t="n">
        <v>34</v>
      </c>
      <c r="C63" s="38">
        <f>IF(34&lt;=5,$AD$20,$AD$20+(34-5)*$AE$20)</f>
        <v/>
      </c>
      <c r="D63" s="38">
        <f>IF(34&lt;=15,$AD$21,$AD$21+(34-15)*$AE$21)</f>
        <v/>
      </c>
      <c r="E63" s="38">
        <f>IF(34&lt;=2,$AD$22,IF(34&lt;=5,$AE$22,IF(34&lt;=10,$AF$22,IF(34&lt;=15,$AG$22,IF(34&lt;=20,$AH$22,IF(34&lt;=35,$AH$22+(34-20)*$AI$22,$AK$22+(34-35)*$AJ$22))))))</f>
        <v/>
      </c>
      <c r="F63" s="38">
        <f>IF(34&lt;=2,$AD$23,IF(34&lt;=5,$AE$23,IF(34&lt;=10,$AF$23,IF(34&lt;=15,$AG$23,IF(34&lt;=20,$AH$23,IF(34&lt;=35,$AH$23+(34-20)*$AI$23,$AK$23+(34-35)*$AJ$23))))))</f>
        <v/>
      </c>
      <c r="G63" s="38">
        <f>IF(34&lt;=2,$AD$24,IF(34&lt;=5,$AE$24,IF(34&lt;=10,$AF$24,IF(34&lt;=15,$AG$24,IF(34&lt;=20,$AH$24,IF(34&lt;=35,$AH$24+(34-20)*$AI$24,$AK$24+(34-35)*$AJ$24))))))</f>
        <v/>
      </c>
      <c r="H63" s="38">
        <f>IF(34&lt;=2,$AD$25,$AD$25+(34-2)*$AE$25)</f>
        <v/>
      </c>
      <c r="I63" s="39">
        <f>IF(34&lt;=2,$AD$26,$AD$26+(34-2)*$AE$26)</f>
        <v/>
      </c>
    </row>
    <row r="64">
      <c r="B64" s="37" t="n">
        <v>35</v>
      </c>
      <c r="C64" s="38">
        <f>IF(35&lt;=5,$AD$20,$AD$20+(35-5)*$AE$20)</f>
        <v/>
      </c>
      <c r="D64" s="38">
        <f>IF(35&lt;=15,$AD$21,$AD$21+(35-15)*$AE$21)</f>
        <v/>
      </c>
      <c r="E64" s="38">
        <f>IF(35&lt;=2,$AD$22,IF(35&lt;=5,$AE$22,IF(35&lt;=10,$AF$22,IF(35&lt;=15,$AG$22,IF(35&lt;=20,$AH$22,IF(35&lt;=35,$AH$22+(35-20)*$AI$22,$AK$22+(35-35)*$AJ$22))))))</f>
        <v/>
      </c>
      <c r="F64" s="38">
        <f>IF(35&lt;=2,$AD$23,IF(35&lt;=5,$AE$23,IF(35&lt;=10,$AF$23,IF(35&lt;=15,$AG$23,IF(35&lt;=20,$AH$23,IF(35&lt;=35,$AH$23+(35-20)*$AI$23,$AK$23+(35-35)*$AJ$23))))))</f>
        <v/>
      </c>
      <c r="G64" s="38">
        <f>IF(35&lt;=2,$AD$24,IF(35&lt;=5,$AE$24,IF(35&lt;=10,$AF$24,IF(35&lt;=15,$AG$24,IF(35&lt;=20,$AH$24,IF(35&lt;=35,$AH$24+(35-20)*$AI$24,$AK$24+(35-35)*$AJ$24))))))</f>
        <v/>
      </c>
      <c r="H64" s="38">
        <f>IF(35&lt;=2,$AD$25,$AD$25+(35-2)*$AE$25)</f>
        <v/>
      </c>
      <c r="I64" s="39">
        <f>IF(35&lt;=2,$AD$26,$AD$26+(35-2)*$AE$26)</f>
        <v/>
      </c>
    </row>
    <row r="65">
      <c r="B65" s="40" t="n">
        <v>36</v>
      </c>
      <c r="C65" s="43" t="inlineStr">
        <is>
          <t>see ECO/R</t>
        </is>
      </c>
      <c r="D65" s="43" t="inlineStr">
        <is>
          <t>see ECO/R</t>
        </is>
      </c>
      <c r="E65" s="41">
        <f>IF(36&lt;=2,$AD$22,IF(36&lt;=5,$AE$22,IF(36&lt;=10,$AF$22,IF(36&lt;=15,$AG$22,IF(36&lt;=20,$AH$22,IF(36&lt;=35,$AH$22+(36-20)*$AI$22,$AK$22+(36-35)*$AJ$22))))))</f>
        <v/>
      </c>
      <c r="F65" s="41">
        <f>IF(36&lt;=2,$AD$23,IF(36&lt;=5,$AE$23,IF(36&lt;=10,$AF$23,IF(36&lt;=15,$AG$23,IF(36&lt;=20,$AH$23,IF(36&lt;=35,$AH$23+(36-20)*$AI$23,$AK$23+(36-35)*$AJ$23))))))</f>
        <v/>
      </c>
      <c r="G65" s="41">
        <f>IF(36&lt;=2,$AD$24,IF(36&lt;=5,$AE$24,IF(36&lt;=10,$AF$24,IF(36&lt;=15,$AG$24,IF(36&lt;=20,$AH$24,IF(36&lt;=35,$AH$24+(36-20)*$AI$24,$AK$24+(36-35)*$AJ$24))))))</f>
        <v/>
      </c>
      <c r="H65" s="41">
        <f>IF(36&lt;=2,$AD$25,$AD$25+(36-2)*$AE$25)</f>
        <v/>
      </c>
      <c r="I65" s="42">
        <f>IF(36&lt;=2,$AD$26,$AD$26+(36-2)*$AE$26)</f>
        <v/>
      </c>
    </row>
    <row r="66">
      <c r="B66" s="40" t="n">
        <v>37</v>
      </c>
      <c r="C66" s="43" t="inlineStr">
        <is>
          <t>see ECO/R</t>
        </is>
      </c>
      <c r="D66" s="43" t="inlineStr">
        <is>
          <t>see ECO/R</t>
        </is>
      </c>
      <c r="E66" s="41">
        <f>IF(37&lt;=2,$AD$22,IF(37&lt;=5,$AE$22,IF(37&lt;=10,$AF$22,IF(37&lt;=15,$AG$22,IF(37&lt;=20,$AH$22,IF(37&lt;=35,$AH$22+(37-20)*$AI$22,$AK$22+(37-35)*$AJ$22))))))</f>
        <v/>
      </c>
      <c r="F66" s="41">
        <f>IF(37&lt;=2,$AD$23,IF(37&lt;=5,$AE$23,IF(37&lt;=10,$AF$23,IF(37&lt;=15,$AG$23,IF(37&lt;=20,$AH$23,IF(37&lt;=35,$AH$23+(37-20)*$AI$23,$AK$23+(37-35)*$AJ$23))))))</f>
        <v/>
      </c>
      <c r="G66" s="41">
        <f>IF(37&lt;=2,$AD$24,IF(37&lt;=5,$AE$24,IF(37&lt;=10,$AF$24,IF(37&lt;=15,$AG$24,IF(37&lt;=20,$AH$24,IF(37&lt;=35,$AH$24+(37-20)*$AI$24,$AK$24+(37-35)*$AJ$24))))))</f>
        <v/>
      </c>
      <c r="H66" s="41">
        <f>IF(37&lt;=2,$AD$25,$AD$25+(37-2)*$AE$25)</f>
        <v/>
      </c>
      <c r="I66" s="42">
        <f>IF(37&lt;=2,$AD$26,$AD$26+(37-2)*$AE$26)</f>
        <v/>
      </c>
    </row>
    <row r="67">
      <c r="B67" s="40" t="n">
        <v>38</v>
      </c>
      <c r="C67" s="43" t="inlineStr">
        <is>
          <t>see ECO/R</t>
        </is>
      </c>
      <c r="D67" s="43" t="inlineStr">
        <is>
          <t>see ECO/R</t>
        </is>
      </c>
      <c r="E67" s="41">
        <f>IF(38&lt;=2,$AD$22,IF(38&lt;=5,$AE$22,IF(38&lt;=10,$AF$22,IF(38&lt;=15,$AG$22,IF(38&lt;=20,$AH$22,IF(38&lt;=35,$AH$22+(38-20)*$AI$22,$AK$22+(38-35)*$AJ$22))))))</f>
        <v/>
      </c>
      <c r="F67" s="41">
        <f>IF(38&lt;=2,$AD$23,IF(38&lt;=5,$AE$23,IF(38&lt;=10,$AF$23,IF(38&lt;=15,$AG$23,IF(38&lt;=20,$AH$23,IF(38&lt;=35,$AH$23+(38-20)*$AI$23,$AK$23+(38-35)*$AJ$23))))))</f>
        <v/>
      </c>
      <c r="G67" s="41">
        <f>IF(38&lt;=2,$AD$24,IF(38&lt;=5,$AE$24,IF(38&lt;=10,$AF$24,IF(38&lt;=15,$AG$24,IF(38&lt;=20,$AH$24,IF(38&lt;=35,$AH$24+(38-20)*$AI$24,$AK$24+(38-35)*$AJ$24))))))</f>
        <v/>
      </c>
      <c r="H67" s="41">
        <f>IF(38&lt;=2,$AD$25,$AD$25+(38-2)*$AE$25)</f>
        <v/>
      </c>
      <c r="I67" s="42">
        <f>IF(38&lt;=2,$AD$26,$AD$26+(38-2)*$AE$26)</f>
        <v/>
      </c>
    </row>
    <row r="68">
      <c r="B68" s="40" t="n">
        <v>39</v>
      </c>
      <c r="C68" s="43" t="inlineStr">
        <is>
          <t>see ECO/R</t>
        </is>
      </c>
      <c r="D68" s="43" t="inlineStr">
        <is>
          <t>see ECO/R</t>
        </is>
      </c>
      <c r="E68" s="41">
        <f>IF(39&lt;=2,$AD$22,IF(39&lt;=5,$AE$22,IF(39&lt;=10,$AF$22,IF(39&lt;=15,$AG$22,IF(39&lt;=20,$AH$22,IF(39&lt;=35,$AH$22+(39-20)*$AI$22,$AK$22+(39-35)*$AJ$22))))))</f>
        <v/>
      </c>
      <c r="F68" s="41">
        <f>IF(39&lt;=2,$AD$23,IF(39&lt;=5,$AE$23,IF(39&lt;=10,$AF$23,IF(39&lt;=15,$AG$23,IF(39&lt;=20,$AH$23,IF(39&lt;=35,$AH$23+(39-20)*$AI$23,$AK$23+(39-35)*$AJ$23))))))</f>
        <v/>
      </c>
      <c r="G68" s="41">
        <f>IF(39&lt;=2,$AD$24,IF(39&lt;=5,$AE$24,IF(39&lt;=10,$AF$24,IF(39&lt;=15,$AG$24,IF(39&lt;=20,$AH$24,IF(39&lt;=35,$AH$24+(39-20)*$AI$24,$AK$24+(39-35)*$AJ$24))))))</f>
        <v/>
      </c>
      <c r="H68" s="41">
        <f>IF(39&lt;=2,$AD$25,$AD$25+(39-2)*$AE$25)</f>
        <v/>
      </c>
      <c r="I68" s="42">
        <f>IF(39&lt;=2,$AD$26,$AD$26+(39-2)*$AE$26)</f>
        <v/>
      </c>
    </row>
    <row r="69">
      <c r="B69" s="44" t="n">
        <v>40</v>
      </c>
      <c r="C69" s="45" t="inlineStr">
        <is>
          <t>see ECO/R</t>
        </is>
      </c>
      <c r="D69" s="45" t="inlineStr">
        <is>
          <t>see ECO/R</t>
        </is>
      </c>
      <c r="E69" s="46">
        <f>IF(40&lt;=2,$AD$22,IF(40&lt;=5,$AE$22,IF(40&lt;=10,$AF$22,IF(40&lt;=15,$AG$22,IF(40&lt;=20,$AH$22,IF(40&lt;=35,$AH$22+(40-20)*$AI$22,$AK$22+(40-35)*$AJ$22))))))</f>
        <v/>
      </c>
      <c r="F69" s="46">
        <f>IF(40&lt;=2,$AD$23,IF(40&lt;=5,$AE$23,IF(40&lt;=10,$AF$23,IF(40&lt;=15,$AG$23,IF(40&lt;=20,$AH$23,IF(40&lt;=35,$AH$23+(40-20)*$AI$23,$AK$23+(40-35)*$AJ$23))))))</f>
        <v/>
      </c>
      <c r="G69" s="46">
        <f>IF(40&lt;=2,$AD$24,IF(40&lt;=5,$AE$24,IF(40&lt;=10,$AF$24,IF(40&lt;=15,$AG$24,IF(40&lt;=20,$AH$24,IF(40&lt;=35,$AH$24+(40-20)*$AI$24,$AK$24+(40-35)*$AJ$24))))))</f>
        <v/>
      </c>
      <c r="H69" s="46">
        <f>IF(40&lt;=2,$AD$25,$AD$25+(40-2)*$AE$25)</f>
        <v/>
      </c>
      <c r="I69" s="47">
        <f>IF(40&lt;=2,$AD$26,$AD$26+(40-2)*$AE$26)</f>
        <v/>
      </c>
    </row>
    <row r="70"/>
    <row r="71">
      <c r="B71" s="36" t="inlineStr">
        <is>
          <t>Weight-based price  —  VAT &amp; fuel levy INCLUDED</t>
        </is>
      </c>
    </row>
    <row r="72" ht="18" customHeight="1" s="98">
      <c r="B72" s="18" t="inlineStr">
        <is>
          <t>Kg</t>
        </is>
      </c>
      <c r="C72" s="19" t="inlineStr">
        <is>
          <t>LPF</t>
        </is>
      </c>
      <c r="D72" s="19" t="inlineStr">
        <is>
          <t>LPP</t>
        </is>
      </c>
      <c r="E72" s="19" t="inlineStr">
        <is>
          <t>ECO</t>
        </is>
      </c>
      <c r="F72" s="19" t="inlineStr">
        <is>
          <t>ECOR</t>
        </is>
      </c>
      <c r="G72" s="19" t="inlineStr">
        <is>
          <t>ECORR</t>
        </is>
      </c>
      <c r="H72" s="19" t="inlineStr">
        <is>
          <t>PRI</t>
        </is>
      </c>
      <c r="I72" s="20" t="inlineStr">
        <is>
          <t>PRIR</t>
        </is>
      </c>
    </row>
    <row r="73">
      <c r="B73" s="37" t="n">
        <v>1</v>
      </c>
      <c r="C73" s="38">
        <f>ROUND((IF(1&lt;=5,$AD$20,$AD$20+(1-5)*$AE$20))*(1+$C$6),2)+ROUND(ROUND((IF(1&lt;=5,$AD$20,$AD$20+(1-5)*$AE$20))*(1+$C$6),2)*(IF($G$6="YES",$E$6,0)+IF($K$6="YES",$I$6,0)),2)</f>
        <v/>
      </c>
      <c r="D73" s="38">
        <f>ROUND((IF(1&lt;=15,$AD$21,$AD$21+(1-15)*$AE$21))*(1+$C$6),2)+ROUND(ROUND((IF(1&lt;=15,$AD$21,$AD$21+(1-15)*$AE$21))*(1+$C$6),2)*(IF($G$6="YES",$E$6,0)+IF($K$6="YES",$I$6,0)),2)</f>
        <v/>
      </c>
      <c r="E73" s="38">
        <f>ROUND((IF(1&lt;=2,$AD$22,IF(1&lt;=5,$AE$22,IF(1&lt;=10,$AF$22,IF(1&lt;=15,$AG$22,IF(1&lt;=20,$AH$22,IF(1&lt;=35,$AH$22+(1-20)*$AI$22,$AK$22+(1-35)*$AJ$22)))))))*(1+$C$6),2)+ROUND(ROUND((IF(1&lt;=2,$AD$22,IF(1&lt;=5,$AE$22,IF(1&lt;=10,$AF$22,IF(1&lt;=15,$AG$22,IF(1&lt;=20,$AH$22,IF(1&lt;=35,$AH$22+(1-20)*$AI$22,$AK$22+(1-35)*$AJ$22)))))))*(1+$C$6),2)*(IF($G$6="YES",$E$6,0)+IF($K$6="YES",$I$6,0)),2)</f>
        <v/>
      </c>
      <c r="F73" s="38">
        <f>ROUND((IF(1&lt;=2,$AD$23,IF(1&lt;=5,$AE$23,IF(1&lt;=10,$AF$23,IF(1&lt;=15,$AG$23,IF(1&lt;=20,$AH$23,IF(1&lt;=35,$AH$23+(1-20)*$AI$23,$AK$23+(1-35)*$AJ$23)))))))*(1+$C$6),2)+ROUND(ROUND((IF(1&lt;=2,$AD$23,IF(1&lt;=5,$AE$23,IF(1&lt;=10,$AF$23,IF(1&lt;=15,$AG$23,IF(1&lt;=20,$AH$23,IF(1&lt;=35,$AH$23+(1-20)*$AI$23,$AK$23+(1-35)*$AJ$23)))))))*(1+$C$6),2)*(IF($G$6="YES",$E$6,0)+IF($K$6="YES",$I$6,0)),2)</f>
        <v/>
      </c>
      <c r="G73" s="38">
        <f>ROUND((IF(1&lt;=2,$AD$24,IF(1&lt;=5,$AE$24,IF(1&lt;=10,$AF$24,IF(1&lt;=15,$AG$24,IF(1&lt;=20,$AH$24,IF(1&lt;=35,$AH$24+(1-20)*$AI$24,$AK$24+(1-35)*$AJ$24)))))))*(1+$C$6),2)+ROUND(ROUND((IF(1&lt;=2,$AD$24,IF(1&lt;=5,$AE$24,IF(1&lt;=10,$AF$24,IF(1&lt;=15,$AG$24,IF(1&lt;=20,$AH$24,IF(1&lt;=35,$AH$24+(1-20)*$AI$24,$AK$24+(1-35)*$AJ$24)))))))*(1+$C$6),2)*(IF($G$6="YES",$E$6,0)+IF($K$6="YES",$I$6,0)),2)</f>
        <v/>
      </c>
      <c r="H73" s="38">
        <f>ROUND((IF(1&lt;=2,$AD$25,$AD$25+(1-2)*$AE$25))*(1+$C$6),2)+ROUND(ROUND((IF(1&lt;=2,$AD$25,$AD$25+(1-2)*$AE$25))*(1+$C$6),2)*(IF($G$6="YES",$E$6,0)+IF($K$6="YES",$I$6,0)),2)+(1*$E$8*IF($C$8="YES",1,0))</f>
        <v/>
      </c>
      <c r="I73" s="39">
        <f>ROUND((IF(1&lt;=2,$AD$26,$AD$26+(1-2)*$AE$26))*(1+$C$6),2)+ROUND(ROUND((IF(1&lt;=2,$AD$26,$AD$26+(1-2)*$AE$26))*(1+$C$6),2)*(IF($G$6="YES",$E$6,0)+IF($K$6="YES",$I$6,0)),2)</f>
        <v/>
      </c>
    </row>
    <row r="74">
      <c r="B74" s="37" t="n">
        <v>2</v>
      </c>
      <c r="C74" s="38">
        <f>ROUND((IF(2&lt;=5,$AD$20,$AD$20+(2-5)*$AE$20))*(1+$C$6),2)+ROUND(ROUND((IF(2&lt;=5,$AD$20,$AD$20+(2-5)*$AE$20))*(1+$C$6),2)*(IF($G$6="YES",$E$6,0)+IF($K$6="YES",$I$6,0)),2)</f>
        <v/>
      </c>
      <c r="D74" s="38">
        <f>ROUND((IF(2&lt;=15,$AD$21,$AD$21+(2-15)*$AE$21))*(1+$C$6),2)+ROUND(ROUND((IF(2&lt;=15,$AD$21,$AD$21+(2-15)*$AE$21))*(1+$C$6),2)*(IF($G$6="YES",$E$6,0)+IF($K$6="YES",$I$6,0)),2)</f>
        <v/>
      </c>
      <c r="E74" s="38">
        <f>ROUND((IF(2&lt;=2,$AD$22,IF(2&lt;=5,$AE$22,IF(2&lt;=10,$AF$22,IF(2&lt;=15,$AG$22,IF(2&lt;=20,$AH$22,IF(2&lt;=35,$AH$22+(2-20)*$AI$22,$AK$22+(2-35)*$AJ$22)))))))*(1+$C$6),2)+ROUND(ROUND((IF(2&lt;=2,$AD$22,IF(2&lt;=5,$AE$22,IF(2&lt;=10,$AF$22,IF(2&lt;=15,$AG$22,IF(2&lt;=20,$AH$22,IF(2&lt;=35,$AH$22+(2-20)*$AI$22,$AK$22+(2-35)*$AJ$22)))))))*(1+$C$6),2)*(IF($G$6="YES",$E$6,0)+IF($K$6="YES",$I$6,0)),2)</f>
        <v/>
      </c>
      <c r="F74" s="38">
        <f>ROUND((IF(2&lt;=2,$AD$23,IF(2&lt;=5,$AE$23,IF(2&lt;=10,$AF$23,IF(2&lt;=15,$AG$23,IF(2&lt;=20,$AH$23,IF(2&lt;=35,$AH$23+(2-20)*$AI$23,$AK$23+(2-35)*$AJ$23)))))))*(1+$C$6),2)+ROUND(ROUND((IF(2&lt;=2,$AD$23,IF(2&lt;=5,$AE$23,IF(2&lt;=10,$AF$23,IF(2&lt;=15,$AG$23,IF(2&lt;=20,$AH$23,IF(2&lt;=35,$AH$23+(2-20)*$AI$23,$AK$23+(2-35)*$AJ$23)))))))*(1+$C$6),2)*(IF($G$6="YES",$E$6,0)+IF($K$6="YES",$I$6,0)),2)</f>
        <v/>
      </c>
      <c r="G74" s="38">
        <f>ROUND((IF(2&lt;=2,$AD$24,IF(2&lt;=5,$AE$24,IF(2&lt;=10,$AF$24,IF(2&lt;=15,$AG$24,IF(2&lt;=20,$AH$24,IF(2&lt;=35,$AH$24+(2-20)*$AI$24,$AK$24+(2-35)*$AJ$24)))))))*(1+$C$6),2)+ROUND(ROUND((IF(2&lt;=2,$AD$24,IF(2&lt;=5,$AE$24,IF(2&lt;=10,$AF$24,IF(2&lt;=15,$AG$24,IF(2&lt;=20,$AH$24,IF(2&lt;=35,$AH$24+(2-20)*$AI$24,$AK$24+(2-35)*$AJ$24)))))))*(1+$C$6),2)*(IF($G$6="YES",$E$6,0)+IF($K$6="YES",$I$6,0)),2)</f>
        <v/>
      </c>
      <c r="H74" s="38">
        <f>ROUND((IF(2&lt;=2,$AD$25,$AD$25+(2-2)*$AE$25))*(1+$C$6),2)+ROUND(ROUND((IF(2&lt;=2,$AD$25,$AD$25+(2-2)*$AE$25))*(1+$C$6),2)*(IF($G$6="YES",$E$6,0)+IF($K$6="YES",$I$6,0)),2)+(2*$E$8*IF($C$8="YES",1,0))</f>
        <v/>
      </c>
      <c r="I74" s="39">
        <f>ROUND((IF(2&lt;=2,$AD$26,$AD$26+(2-2)*$AE$26))*(1+$C$6),2)+ROUND(ROUND((IF(2&lt;=2,$AD$26,$AD$26+(2-2)*$AE$26))*(1+$C$6),2)*(IF($G$6="YES",$E$6,0)+IF($K$6="YES",$I$6,0)),2)</f>
        <v/>
      </c>
    </row>
    <row r="75">
      <c r="B75" s="37" t="n">
        <v>3</v>
      </c>
      <c r="C75" s="38">
        <f>ROUND((IF(3&lt;=5,$AD$20,$AD$20+(3-5)*$AE$20))*(1+$C$6),2)+ROUND(ROUND((IF(3&lt;=5,$AD$20,$AD$20+(3-5)*$AE$20))*(1+$C$6),2)*(IF($G$6="YES",$E$6,0)+IF($K$6="YES",$I$6,0)),2)</f>
        <v/>
      </c>
      <c r="D75" s="38">
        <f>ROUND((IF(3&lt;=15,$AD$21,$AD$21+(3-15)*$AE$21))*(1+$C$6),2)+ROUND(ROUND((IF(3&lt;=15,$AD$21,$AD$21+(3-15)*$AE$21))*(1+$C$6),2)*(IF($G$6="YES",$E$6,0)+IF($K$6="YES",$I$6,0)),2)</f>
        <v/>
      </c>
      <c r="E75" s="38">
        <f>ROUND((IF(3&lt;=2,$AD$22,IF(3&lt;=5,$AE$22,IF(3&lt;=10,$AF$22,IF(3&lt;=15,$AG$22,IF(3&lt;=20,$AH$22,IF(3&lt;=35,$AH$22+(3-20)*$AI$22,$AK$22+(3-35)*$AJ$22)))))))*(1+$C$6),2)+ROUND(ROUND((IF(3&lt;=2,$AD$22,IF(3&lt;=5,$AE$22,IF(3&lt;=10,$AF$22,IF(3&lt;=15,$AG$22,IF(3&lt;=20,$AH$22,IF(3&lt;=35,$AH$22+(3-20)*$AI$22,$AK$22+(3-35)*$AJ$22)))))))*(1+$C$6),2)*(IF($G$6="YES",$E$6,0)+IF($K$6="YES",$I$6,0)),2)</f>
        <v/>
      </c>
      <c r="F75" s="38">
        <f>ROUND((IF(3&lt;=2,$AD$23,IF(3&lt;=5,$AE$23,IF(3&lt;=10,$AF$23,IF(3&lt;=15,$AG$23,IF(3&lt;=20,$AH$23,IF(3&lt;=35,$AH$23+(3-20)*$AI$23,$AK$23+(3-35)*$AJ$23)))))))*(1+$C$6),2)+ROUND(ROUND((IF(3&lt;=2,$AD$23,IF(3&lt;=5,$AE$23,IF(3&lt;=10,$AF$23,IF(3&lt;=15,$AG$23,IF(3&lt;=20,$AH$23,IF(3&lt;=35,$AH$23+(3-20)*$AI$23,$AK$23+(3-35)*$AJ$23)))))))*(1+$C$6),2)*(IF($G$6="YES",$E$6,0)+IF($K$6="YES",$I$6,0)),2)</f>
        <v/>
      </c>
      <c r="G75" s="38">
        <f>ROUND((IF(3&lt;=2,$AD$24,IF(3&lt;=5,$AE$24,IF(3&lt;=10,$AF$24,IF(3&lt;=15,$AG$24,IF(3&lt;=20,$AH$24,IF(3&lt;=35,$AH$24+(3-20)*$AI$24,$AK$24+(3-35)*$AJ$24)))))))*(1+$C$6),2)+ROUND(ROUND((IF(3&lt;=2,$AD$24,IF(3&lt;=5,$AE$24,IF(3&lt;=10,$AF$24,IF(3&lt;=15,$AG$24,IF(3&lt;=20,$AH$24,IF(3&lt;=35,$AH$24+(3-20)*$AI$24,$AK$24+(3-35)*$AJ$24)))))))*(1+$C$6),2)*(IF($G$6="YES",$E$6,0)+IF($K$6="YES",$I$6,0)),2)</f>
        <v/>
      </c>
      <c r="H75" s="38">
        <f>ROUND((IF(3&lt;=2,$AD$25,$AD$25+(3-2)*$AE$25))*(1+$C$6),2)+ROUND(ROUND((IF(3&lt;=2,$AD$25,$AD$25+(3-2)*$AE$25))*(1+$C$6),2)*(IF($G$6="YES",$E$6,0)+IF($K$6="YES",$I$6,0)),2)+(3*$E$8*IF($C$8="YES",1,0))</f>
        <v/>
      </c>
      <c r="I75" s="39">
        <f>ROUND((IF(3&lt;=2,$AD$26,$AD$26+(3-2)*$AE$26))*(1+$C$6),2)+ROUND(ROUND((IF(3&lt;=2,$AD$26,$AD$26+(3-2)*$AE$26))*(1+$C$6),2)*(IF($G$6="YES",$E$6,0)+IF($K$6="YES",$I$6,0)),2)</f>
        <v/>
      </c>
    </row>
    <row r="76">
      <c r="B76" s="37" t="n">
        <v>4</v>
      </c>
      <c r="C76" s="38">
        <f>ROUND((IF(4&lt;=5,$AD$20,$AD$20+(4-5)*$AE$20))*(1+$C$6),2)+ROUND(ROUND((IF(4&lt;=5,$AD$20,$AD$20+(4-5)*$AE$20))*(1+$C$6),2)*(IF($G$6="YES",$E$6,0)+IF($K$6="YES",$I$6,0)),2)</f>
        <v/>
      </c>
      <c r="D76" s="38">
        <f>ROUND((IF(4&lt;=15,$AD$21,$AD$21+(4-15)*$AE$21))*(1+$C$6),2)+ROUND(ROUND((IF(4&lt;=15,$AD$21,$AD$21+(4-15)*$AE$21))*(1+$C$6),2)*(IF($G$6="YES",$E$6,0)+IF($K$6="YES",$I$6,0)),2)</f>
        <v/>
      </c>
      <c r="E76" s="38">
        <f>ROUND((IF(4&lt;=2,$AD$22,IF(4&lt;=5,$AE$22,IF(4&lt;=10,$AF$22,IF(4&lt;=15,$AG$22,IF(4&lt;=20,$AH$22,IF(4&lt;=35,$AH$22+(4-20)*$AI$22,$AK$22+(4-35)*$AJ$22)))))))*(1+$C$6),2)+ROUND(ROUND((IF(4&lt;=2,$AD$22,IF(4&lt;=5,$AE$22,IF(4&lt;=10,$AF$22,IF(4&lt;=15,$AG$22,IF(4&lt;=20,$AH$22,IF(4&lt;=35,$AH$22+(4-20)*$AI$22,$AK$22+(4-35)*$AJ$22)))))))*(1+$C$6),2)*(IF($G$6="YES",$E$6,0)+IF($K$6="YES",$I$6,0)),2)</f>
        <v/>
      </c>
      <c r="F76" s="38">
        <f>ROUND((IF(4&lt;=2,$AD$23,IF(4&lt;=5,$AE$23,IF(4&lt;=10,$AF$23,IF(4&lt;=15,$AG$23,IF(4&lt;=20,$AH$23,IF(4&lt;=35,$AH$23+(4-20)*$AI$23,$AK$23+(4-35)*$AJ$23)))))))*(1+$C$6),2)+ROUND(ROUND((IF(4&lt;=2,$AD$23,IF(4&lt;=5,$AE$23,IF(4&lt;=10,$AF$23,IF(4&lt;=15,$AG$23,IF(4&lt;=20,$AH$23,IF(4&lt;=35,$AH$23+(4-20)*$AI$23,$AK$23+(4-35)*$AJ$23)))))))*(1+$C$6),2)*(IF($G$6="YES",$E$6,0)+IF($K$6="YES",$I$6,0)),2)</f>
        <v/>
      </c>
      <c r="G76" s="38">
        <f>ROUND((IF(4&lt;=2,$AD$24,IF(4&lt;=5,$AE$24,IF(4&lt;=10,$AF$24,IF(4&lt;=15,$AG$24,IF(4&lt;=20,$AH$24,IF(4&lt;=35,$AH$24+(4-20)*$AI$24,$AK$24+(4-35)*$AJ$24)))))))*(1+$C$6),2)+ROUND(ROUND((IF(4&lt;=2,$AD$24,IF(4&lt;=5,$AE$24,IF(4&lt;=10,$AF$24,IF(4&lt;=15,$AG$24,IF(4&lt;=20,$AH$24,IF(4&lt;=35,$AH$24+(4-20)*$AI$24,$AK$24+(4-35)*$AJ$24)))))))*(1+$C$6),2)*(IF($G$6="YES",$E$6,0)+IF($K$6="YES",$I$6,0)),2)</f>
        <v/>
      </c>
      <c r="H76" s="38">
        <f>ROUND((IF(4&lt;=2,$AD$25,$AD$25+(4-2)*$AE$25))*(1+$C$6),2)+ROUND(ROUND((IF(4&lt;=2,$AD$25,$AD$25+(4-2)*$AE$25))*(1+$C$6),2)*(IF($G$6="YES",$E$6,0)+IF($K$6="YES",$I$6,0)),2)+(4*$E$8*IF($C$8="YES",1,0))</f>
        <v/>
      </c>
      <c r="I76" s="39">
        <f>ROUND((IF(4&lt;=2,$AD$26,$AD$26+(4-2)*$AE$26))*(1+$C$6),2)+ROUND(ROUND((IF(4&lt;=2,$AD$26,$AD$26+(4-2)*$AE$26))*(1+$C$6),2)*(IF($G$6="YES",$E$6,0)+IF($K$6="YES",$I$6,0)),2)</f>
        <v/>
      </c>
    </row>
    <row r="77">
      <c r="B77" s="37" t="n">
        <v>5</v>
      </c>
      <c r="C77" s="38">
        <f>ROUND((IF(5&lt;=5,$AD$20,$AD$20+(5-5)*$AE$20))*(1+$C$6),2)+ROUND(ROUND((IF(5&lt;=5,$AD$20,$AD$20+(5-5)*$AE$20))*(1+$C$6),2)*(IF($G$6="YES",$E$6,0)+IF($K$6="YES",$I$6,0)),2)</f>
        <v/>
      </c>
      <c r="D77" s="38">
        <f>ROUND((IF(5&lt;=15,$AD$21,$AD$21+(5-15)*$AE$21))*(1+$C$6),2)+ROUND(ROUND((IF(5&lt;=15,$AD$21,$AD$21+(5-15)*$AE$21))*(1+$C$6),2)*(IF($G$6="YES",$E$6,0)+IF($K$6="YES",$I$6,0)),2)</f>
        <v/>
      </c>
      <c r="E77" s="38">
        <f>ROUND((IF(5&lt;=2,$AD$22,IF(5&lt;=5,$AE$22,IF(5&lt;=10,$AF$22,IF(5&lt;=15,$AG$22,IF(5&lt;=20,$AH$22,IF(5&lt;=35,$AH$22+(5-20)*$AI$22,$AK$22+(5-35)*$AJ$22)))))))*(1+$C$6),2)+ROUND(ROUND((IF(5&lt;=2,$AD$22,IF(5&lt;=5,$AE$22,IF(5&lt;=10,$AF$22,IF(5&lt;=15,$AG$22,IF(5&lt;=20,$AH$22,IF(5&lt;=35,$AH$22+(5-20)*$AI$22,$AK$22+(5-35)*$AJ$22)))))))*(1+$C$6),2)*(IF($G$6="YES",$E$6,0)+IF($K$6="YES",$I$6,0)),2)</f>
        <v/>
      </c>
      <c r="F77" s="38">
        <f>ROUND((IF(5&lt;=2,$AD$23,IF(5&lt;=5,$AE$23,IF(5&lt;=10,$AF$23,IF(5&lt;=15,$AG$23,IF(5&lt;=20,$AH$23,IF(5&lt;=35,$AH$23+(5-20)*$AI$23,$AK$23+(5-35)*$AJ$23)))))))*(1+$C$6),2)+ROUND(ROUND((IF(5&lt;=2,$AD$23,IF(5&lt;=5,$AE$23,IF(5&lt;=10,$AF$23,IF(5&lt;=15,$AG$23,IF(5&lt;=20,$AH$23,IF(5&lt;=35,$AH$23+(5-20)*$AI$23,$AK$23+(5-35)*$AJ$23)))))))*(1+$C$6),2)*(IF($G$6="YES",$E$6,0)+IF($K$6="YES",$I$6,0)),2)</f>
        <v/>
      </c>
      <c r="G77" s="38">
        <f>ROUND((IF(5&lt;=2,$AD$24,IF(5&lt;=5,$AE$24,IF(5&lt;=10,$AF$24,IF(5&lt;=15,$AG$24,IF(5&lt;=20,$AH$24,IF(5&lt;=35,$AH$24+(5-20)*$AI$24,$AK$24+(5-35)*$AJ$24)))))))*(1+$C$6),2)+ROUND(ROUND((IF(5&lt;=2,$AD$24,IF(5&lt;=5,$AE$24,IF(5&lt;=10,$AF$24,IF(5&lt;=15,$AG$24,IF(5&lt;=20,$AH$24,IF(5&lt;=35,$AH$24+(5-20)*$AI$24,$AK$24+(5-35)*$AJ$24)))))))*(1+$C$6),2)*(IF($G$6="YES",$E$6,0)+IF($K$6="YES",$I$6,0)),2)</f>
        <v/>
      </c>
      <c r="H77" s="38">
        <f>ROUND((IF(5&lt;=2,$AD$25,$AD$25+(5-2)*$AE$25))*(1+$C$6),2)+ROUND(ROUND((IF(5&lt;=2,$AD$25,$AD$25+(5-2)*$AE$25))*(1+$C$6),2)*(IF($G$6="YES",$E$6,0)+IF($K$6="YES",$I$6,0)),2)+(5*$E$8*IF($C$8="YES",1,0))</f>
        <v/>
      </c>
      <c r="I77" s="39">
        <f>ROUND((IF(5&lt;=2,$AD$26,$AD$26+(5-2)*$AE$26))*(1+$C$6),2)+ROUND(ROUND((IF(5&lt;=2,$AD$26,$AD$26+(5-2)*$AE$26))*(1+$C$6),2)*(IF($G$6="YES",$E$6,0)+IF($K$6="YES",$I$6,0)),2)</f>
        <v/>
      </c>
    </row>
    <row r="78">
      <c r="B78" s="40" t="n">
        <v>6</v>
      </c>
      <c r="C78" s="41">
        <f>ROUND((IF(6&lt;=5,$AD$20,$AD$20+(6-5)*$AE$20))*(1+$C$6),2)+ROUND(ROUND((IF(6&lt;=5,$AD$20,$AD$20+(6-5)*$AE$20))*(1+$C$6),2)*(IF($G$6="YES",$E$6,0)+IF($K$6="YES",$I$6,0)),2)</f>
        <v/>
      </c>
      <c r="D78" s="41">
        <f>ROUND((IF(6&lt;=15,$AD$21,$AD$21+(6-15)*$AE$21))*(1+$C$6),2)+ROUND(ROUND((IF(6&lt;=15,$AD$21,$AD$21+(6-15)*$AE$21))*(1+$C$6),2)*(IF($G$6="YES",$E$6,0)+IF($K$6="YES",$I$6,0)),2)</f>
        <v/>
      </c>
      <c r="E78" s="41">
        <f>ROUND((IF(6&lt;=2,$AD$22,IF(6&lt;=5,$AE$22,IF(6&lt;=10,$AF$22,IF(6&lt;=15,$AG$22,IF(6&lt;=20,$AH$22,IF(6&lt;=35,$AH$22+(6-20)*$AI$22,$AK$22+(6-35)*$AJ$22)))))))*(1+$C$6),2)+ROUND(ROUND((IF(6&lt;=2,$AD$22,IF(6&lt;=5,$AE$22,IF(6&lt;=10,$AF$22,IF(6&lt;=15,$AG$22,IF(6&lt;=20,$AH$22,IF(6&lt;=35,$AH$22+(6-20)*$AI$22,$AK$22+(6-35)*$AJ$22)))))))*(1+$C$6),2)*(IF($G$6="YES",$E$6,0)+IF($K$6="YES",$I$6,0)),2)</f>
        <v/>
      </c>
      <c r="F78" s="41">
        <f>ROUND((IF(6&lt;=2,$AD$23,IF(6&lt;=5,$AE$23,IF(6&lt;=10,$AF$23,IF(6&lt;=15,$AG$23,IF(6&lt;=20,$AH$23,IF(6&lt;=35,$AH$23+(6-20)*$AI$23,$AK$23+(6-35)*$AJ$23)))))))*(1+$C$6),2)+ROUND(ROUND((IF(6&lt;=2,$AD$23,IF(6&lt;=5,$AE$23,IF(6&lt;=10,$AF$23,IF(6&lt;=15,$AG$23,IF(6&lt;=20,$AH$23,IF(6&lt;=35,$AH$23+(6-20)*$AI$23,$AK$23+(6-35)*$AJ$23)))))))*(1+$C$6),2)*(IF($G$6="YES",$E$6,0)+IF($K$6="YES",$I$6,0)),2)</f>
        <v/>
      </c>
      <c r="G78" s="41">
        <f>ROUND((IF(6&lt;=2,$AD$24,IF(6&lt;=5,$AE$24,IF(6&lt;=10,$AF$24,IF(6&lt;=15,$AG$24,IF(6&lt;=20,$AH$24,IF(6&lt;=35,$AH$24+(6-20)*$AI$24,$AK$24+(6-35)*$AJ$24)))))))*(1+$C$6),2)+ROUND(ROUND((IF(6&lt;=2,$AD$24,IF(6&lt;=5,$AE$24,IF(6&lt;=10,$AF$24,IF(6&lt;=15,$AG$24,IF(6&lt;=20,$AH$24,IF(6&lt;=35,$AH$24+(6-20)*$AI$24,$AK$24+(6-35)*$AJ$24)))))))*(1+$C$6),2)*(IF($G$6="YES",$E$6,0)+IF($K$6="YES",$I$6,0)),2)</f>
        <v/>
      </c>
      <c r="H78" s="41">
        <f>ROUND((IF(6&lt;=2,$AD$25,$AD$25+(6-2)*$AE$25))*(1+$C$6),2)+ROUND(ROUND((IF(6&lt;=2,$AD$25,$AD$25+(6-2)*$AE$25))*(1+$C$6),2)*(IF($G$6="YES",$E$6,0)+IF($K$6="YES",$I$6,0)),2)+(6*$E$8*IF($C$8="YES",1,0))</f>
        <v/>
      </c>
      <c r="I78" s="42">
        <f>ROUND((IF(6&lt;=2,$AD$26,$AD$26+(6-2)*$AE$26))*(1+$C$6),2)+ROUND(ROUND((IF(6&lt;=2,$AD$26,$AD$26+(6-2)*$AE$26))*(1+$C$6),2)*(IF($G$6="YES",$E$6,0)+IF($K$6="YES",$I$6,0)),2)</f>
        <v/>
      </c>
    </row>
    <row r="79">
      <c r="B79" s="40" t="n">
        <v>7</v>
      </c>
      <c r="C79" s="41">
        <f>ROUND((IF(7&lt;=5,$AD$20,$AD$20+(7-5)*$AE$20))*(1+$C$6),2)+ROUND(ROUND((IF(7&lt;=5,$AD$20,$AD$20+(7-5)*$AE$20))*(1+$C$6),2)*(IF($G$6="YES",$E$6,0)+IF($K$6="YES",$I$6,0)),2)</f>
        <v/>
      </c>
      <c r="D79" s="41">
        <f>ROUND((IF(7&lt;=15,$AD$21,$AD$21+(7-15)*$AE$21))*(1+$C$6),2)+ROUND(ROUND((IF(7&lt;=15,$AD$21,$AD$21+(7-15)*$AE$21))*(1+$C$6),2)*(IF($G$6="YES",$E$6,0)+IF($K$6="YES",$I$6,0)),2)</f>
        <v/>
      </c>
      <c r="E79" s="41">
        <f>ROUND((IF(7&lt;=2,$AD$22,IF(7&lt;=5,$AE$22,IF(7&lt;=10,$AF$22,IF(7&lt;=15,$AG$22,IF(7&lt;=20,$AH$22,IF(7&lt;=35,$AH$22+(7-20)*$AI$22,$AK$22+(7-35)*$AJ$22)))))))*(1+$C$6),2)+ROUND(ROUND((IF(7&lt;=2,$AD$22,IF(7&lt;=5,$AE$22,IF(7&lt;=10,$AF$22,IF(7&lt;=15,$AG$22,IF(7&lt;=20,$AH$22,IF(7&lt;=35,$AH$22+(7-20)*$AI$22,$AK$22+(7-35)*$AJ$22)))))))*(1+$C$6),2)*(IF($G$6="YES",$E$6,0)+IF($K$6="YES",$I$6,0)),2)</f>
        <v/>
      </c>
      <c r="F79" s="41">
        <f>ROUND((IF(7&lt;=2,$AD$23,IF(7&lt;=5,$AE$23,IF(7&lt;=10,$AF$23,IF(7&lt;=15,$AG$23,IF(7&lt;=20,$AH$23,IF(7&lt;=35,$AH$23+(7-20)*$AI$23,$AK$23+(7-35)*$AJ$23)))))))*(1+$C$6),2)+ROUND(ROUND((IF(7&lt;=2,$AD$23,IF(7&lt;=5,$AE$23,IF(7&lt;=10,$AF$23,IF(7&lt;=15,$AG$23,IF(7&lt;=20,$AH$23,IF(7&lt;=35,$AH$23+(7-20)*$AI$23,$AK$23+(7-35)*$AJ$23)))))))*(1+$C$6),2)*(IF($G$6="YES",$E$6,0)+IF($K$6="YES",$I$6,0)),2)</f>
        <v/>
      </c>
      <c r="G79" s="41">
        <f>ROUND((IF(7&lt;=2,$AD$24,IF(7&lt;=5,$AE$24,IF(7&lt;=10,$AF$24,IF(7&lt;=15,$AG$24,IF(7&lt;=20,$AH$24,IF(7&lt;=35,$AH$24+(7-20)*$AI$24,$AK$24+(7-35)*$AJ$24)))))))*(1+$C$6),2)+ROUND(ROUND((IF(7&lt;=2,$AD$24,IF(7&lt;=5,$AE$24,IF(7&lt;=10,$AF$24,IF(7&lt;=15,$AG$24,IF(7&lt;=20,$AH$24,IF(7&lt;=35,$AH$24+(7-20)*$AI$24,$AK$24+(7-35)*$AJ$24)))))))*(1+$C$6),2)*(IF($G$6="YES",$E$6,0)+IF($K$6="YES",$I$6,0)),2)</f>
        <v/>
      </c>
      <c r="H79" s="41">
        <f>ROUND((IF(7&lt;=2,$AD$25,$AD$25+(7-2)*$AE$25))*(1+$C$6),2)+ROUND(ROUND((IF(7&lt;=2,$AD$25,$AD$25+(7-2)*$AE$25))*(1+$C$6),2)*(IF($G$6="YES",$E$6,0)+IF($K$6="YES",$I$6,0)),2)+(7*$E$8*IF($C$8="YES",1,0))</f>
        <v/>
      </c>
      <c r="I79" s="42">
        <f>ROUND((IF(7&lt;=2,$AD$26,$AD$26+(7-2)*$AE$26))*(1+$C$6),2)+ROUND(ROUND((IF(7&lt;=2,$AD$26,$AD$26+(7-2)*$AE$26))*(1+$C$6),2)*(IF($G$6="YES",$E$6,0)+IF($K$6="YES",$I$6,0)),2)</f>
        <v/>
      </c>
    </row>
    <row r="80">
      <c r="B80" s="40" t="n">
        <v>8</v>
      </c>
      <c r="C80" s="41">
        <f>ROUND((IF(8&lt;=5,$AD$20,$AD$20+(8-5)*$AE$20))*(1+$C$6),2)+ROUND(ROUND((IF(8&lt;=5,$AD$20,$AD$20+(8-5)*$AE$20))*(1+$C$6),2)*(IF($G$6="YES",$E$6,0)+IF($K$6="YES",$I$6,0)),2)</f>
        <v/>
      </c>
      <c r="D80" s="41">
        <f>ROUND((IF(8&lt;=15,$AD$21,$AD$21+(8-15)*$AE$21))*(1+$C$6),2)+ROUND(ROUND((IF(8&lt;=15,$AD$21,$AD$21+(8-15)*$AE$21))*(1+$C$6),2)*(IF($G$6="YES",$E$6,0)+IF($K$6="YES",$I$6,0)),2)</f>
        <v/>
      </c>
      <c r="E80" s="41">
        <f>ROUND((IF(8&lt;=2,$AD$22,IF(8&lt;=5,$AE$22,IF(8&lt;=10,$AF$22,IF(8&lt;=15,$AG$22,IF(8&lt;=20,$AH$22,IF(8&lt;=35,$AH$22+(8-20)*$AI$22,$AK$22+(8-35)*$AJ$22)))))))*(1+$C$6),2)+ROUND(ROUND((IF(8&lt;=2,$AD$22,IF(8&lt;=5,$AE$22,IF(8&lt;=10,$AF$22,IF(8&lt;=15,$AG$22,IF(8&lt;=20,$AH$22,IF(8&lt;=35,$AH$22+(8-20)*$AI$22,$AK$22+(8-35)*$AJ$22)))))))*(1+$C$6),2)*(IF($G$6="YES",$E$6,0)+IF($K$6="YES",$I$6,0)),2)</f>
        <v/>
      </c>
      <c r="F80" s="41">
        <f>ROUND((IF(8&lt;=2,$AD$23,IF(8&lt;=5,$AE$23,IF(8&lt;=10,$AF$23,IF(8&lt;=15,$AG$23,IF(8&lt;=20,$AH$23,IF(8&lt;=35,$AH$23+(8-20)*$AI$23,$AK$23+(8-35)*$AJ$23)))))))*(1+$C$6),2)+ROUND(ROUND((IF(8&lt;=2,$AD$23,IF(8&lt;=5,$AE$23,IF(8&lt;=10,$AF$23,IF(8&lt;=15,$AG$23,IF(8&lt;=20,$AH$23,IF(8&lt;=35,$AH$23+(8-20)*$AI$23,$AK$23+(8-35)*$AJ$23)))))))*(1+$C$6),2)*(IF($G$6="YES",$E$6,0)+IF($K$6="YES",$I$6,0)),2)</f>
        <v/>
      </c>
      <c r="G80" s="41">
        <f>ROUND((IF(8&lt;=2,$AD$24,IF(8&lt;=5,$AE$24,IF(8&lt;=10,$AF$24,IF(8&lt;=15,$AG$24,IF(8&lt;=20,$AH$24,IF(8&lt;=35,$AH$24+(8-20)*$AI$24,$AK$24+(8-35)*$AJ$24)))))))*(1+$C$6),2)+ROUND(ROUND((IF(8&lt;=2,$AD$24,IF(8&lt;=5,$AE$24,IF(8&lt;=10,$AF$24,IF(8&lt;=15,$AG$24,IF(8&lt;=20,$AH$24,IF(8&lt;=35,$AH$24+(8-20)*$AI$24,$AK$24+(8-35)*$AJ$24)))))))*(1+$C$6),2)*(IF($G$6="YES",$E$6,0)+IF($K$6="YES",$I$6,0)),2)</f>
        <v/>
      </c>
      <c r="H80" s="41">
        <f>ROUND((IF(8&lt;=2,$AD$25,$AD$25+(8-2)*$AE$25))*(1+$C$6),2)+ROUND(ROUND((IF(8&lt;=2,$AD$25,$AD$25+(8-2)*$AE$25))*(1+$C$6),2)*(IF($G$6="YES",$E$6,0)+IF($K$6="YES",$I$6,0)),2)+(8*$E$8*IF($C$8="YES",1,0))</f>
        <v/>
      </c>
      <c r="I80" s="42">
        <f>ROUND((IF(8&lt;=2,$AD$26,$AD$26+(8-2)*$AE$26))*(1+$C$6),2)+ROUND(ROUND((IF(8&lt;=2,$AD$26,$AD$26+(8-2)*$AE$26))*(1+$C$6),2)*(IF($G$6="YES",$E$6,0)+IF($K$6="YES",$I$6,0)),2)</f>
        <v/>
      </c>
    </row>
    <row r="81">
      <c r="B81" s="40" t="n">
        <v>9</v>
      </c>
      <c r="C81" s="41">
        <f>ROUND((IF(9&lt;=5,$AD$20,$AD$20+(9-5)*$AE$20))*(1+$C$6),2)+ROUND(ROUND((IF(9&lt;=5,$AD$20,$AD$20+(9-5)*$AE$20))*(1+$C$6),2)*(IF($G$6="YES",$E$6,0)+IF($K$6="YES",$I$6,0)),2)</f>
        <v/>
      </c>
      <c r="D81" s="41">
        <f>ROUND((IF(9&lt;=15,$AD$21,$AD$21+(9-15)*$AE$21))*(1+$C$6),2)+ROUND(ROUND((IF(9&lt;=15,$AD$21,$AD$21+(9-15)*$AE$21))*(1+$C$6),2)*(IF($G$6="YES",$E$6,0)+IF($K$6="YES",$I$6,0)),2)</f>
        <v/>
      </c>
      <c r="E81" s="41">
        <f>ROUND((IF(9&lt;=2,$AD$22,IF(9&lt;=5,$AE$22,IF(9&lt;=10,$AF$22,IF(9&lt;=15,$AG$22,IF(9&lt;=20,$AH$22,IF(9&lt;=35,$AH$22+(9-20)*$AI$22,$AK$22+(9-35)*$AJ$22)))))))*(1+$C$6),2)+ROUND(ROUND((IF(9&lt;=2,$AD$22,IF(9&lt;=5,$AE$22,IF(9&lt;=10,$AF$22,IF(9&lt;=15,$AG$22,IF(9&lt;=20,$AH$22,IF(9&lt;=35,$AH$22+(9-20)*$AI$22,$AK$22+(9-35)*$AJ$22)))))))*(1+$C$6),2)*(IF($G$6="YES",$E$6,0)+IF($K$6="YES",$I$6,0)),2)</f>
        <v/>
      </c>
      <c r="F81" s="41">
        <f>ROUND((IF(9&lt;=2,$AD$23,IF(9&lt;=5,$AE$23,IF(9&lt;=10,$AF$23,IF(9&lt;=15,$AG$23,IF(9&lt;=20,$AH$23,IF(9&lt;=35,$AH$23+(9-20)*$AI$23,$AK$23+(9-35)*$AJ$23)))))))*(1+$C$6),2)+ROUND(ROUND((IF(9&lt;=2,$AD$23,IF(9&lt;=5,$AE$23,IF(9&lt;=10,$AF$23,IF(9&lt;=15,$AG$23,IF(9&lt;=20,$AH$23,IF(9&lt;=35,$AH$23+(9-20)*$AI$23,$AK$23+(9-35)*$AJ$23)))))))*(1+$C$6),2)*(IF($G$6="YES",$E$6,0)+IF($K$6="YES",$I$6,0)),2)</f>
        <v/>
      </c>
      <c r="G81" s="41">
        <f>ROUND((IF(9&lt;=2,$AD$24,IF(9&lt;=5,$AE$24,IF(9&lt;=10,$AF$24,IF(9&lt;=15,$AG$24,IF(9&lt;=20,$AH$24,IF(9&lt;=35,$AH$24+(9-20)*$AI$24,$AK$24+(9-35)*$AJ$24)))))))*(1+$C$6),2)+ROUND(ROUND((IF(9&lt;=2,$AD$24,IF(9&lt;=5,$AE$24,IF(9&lt;=10,$AF$24,IF(9&lt;=15,$AG$24,IF(9&lt;=20,$AH$24,IF(9&lt;=35,$AH$24+(9-20)*$AI$24,$AK$24+(9-35)*$AJ$24)))))))*(1+$C$6),2)*(IF($G$6="YES",$E$6,0)+IF($K$6="YES",$I$6,0)),2)</f>
        <v/>
      </c>
      <c r="H81" s="41">
        <f>ROUND((IF(9&lt;=2,$AD$25,$AD$25+(9-2)*$AE$25))*(1+$C$6),2)+ROUND(ROUND((IF(9&lt;=2,$AD$25,$AD$25+(9-2)*$AE$25))*(1+$C$6),2)*(IF($G$6="YES",$E$6,0)+IF($K$6="YES",$I$6,0)),2)+(9*$E$8*IF($C$8="YES",1,0))</f>
        <v/>
      </c>
      <c r="I81" s="42">
        <f>ROUND((IF(9&lt;=2,$AD$26,$AD$26+(9-2)*$AE$26))*(1+$C$6),2)+ROUND(ROUND((IF(9&lt;=2,$AD$26,$AD$26+(9-2)*$AE$26))*(1+$C$6),2)*(IF($G$6="YES",$E$6,0)+IF($K$6="YES",$I$6,0)),2)</f>
        <v/>
      </c>
    </row>
    <row r="82">
      <c r="B82" s="40" t="n">
        <v>10</v>
      </c>
      <c r="C82" s="41">
        <f>ROUND((IF(10&lt;=5,$AD$20,$AD$20+(10-5)*$AE$20))*(1+$C$6),2)+ROUND(ROUND((IF(10&lt;=5,$AD$20,$AD$20+(10-5)*$AE$20))*(1+$C$6),2)*(IF($G$6="YES",$E$6,0)+IF($K$6="YES",$I$6,0)),2)</f>
        <v/>
      </c>
      <c r="D82" s="41">
        <f>ROUND((IF(10&lt;=15,$AD$21,$AD$21+(10-15)*$AE$21))*(1+$C$6),2)+ROUND(ROUND((IF(10&lt;=15,$AD$21,$AD$21+(10-15)*$AE$21))*(1+$C$6),2)*(IF($G$6="YES",$E$6,0)+IF($K$6="YES",$I$6,0)),2)</f>
        <v/>
      </c>
      <c r="E82" s="41">
        <f>ROUND((IF(10&lt;=2,$AD$22,IF(10&lt;=5,$AE$22,IF(10&lt;=10,$AF$22,IF(10&lt;=15,$AG$22,IF(10&lt;=20,$AH$22,IF(10&lt;=35,$AH$22+(10-20)*$AI$22,$AK$22+(10-35)*$AJ$22)))))))*(1+$C$6),2)+ROUND(ROUND((IF(10&lt;=2,$AD$22,IF(10&lt;=5,$AE$22,IF(10&lt;=10,$AF$22,IF(10&lt;=15,$AG$22,IF(10&lt;=20,$AH$22,IF(10&lt;=35,$AH$22+(10-20)*$AI$22,$AK$22+(10-35)*$AJ$22)))))))*(1+$C$6),2)*(IF($G$6="YES",$E$6,0)+IF($K$6="YES",$I$6,0)),2)</f>
        <v/>
      </c>
      <c r="F82" s="41">
        <f>ROUND((IF(10&lt;=2,$AD$23,IF(10&lt;=5,$AE$23,IF(10&lt;=10,$AF$23,IF(10&lt;=15,$AG$23,IF(10&lt;=20,$AH$23,IF(10&lt;=35,$AH$23+(10-20)*$AI$23,$AK$23+(10-35)*$AJ$23)))))))*(1+$C$6),2)+ROUND(ROUND((IF(10&lt;=2,$AD$23,IF(10&lt;=5,$AE$23,IF(10&lt;=10,$AF$23,IF(10&lt;=15,$AG$23,IF(10&lt;=20,$AH$23,IF(10&lt;=35,$AH$23+(10-20)*$AI$23,$AK$23+(10-35)*$AJ$23)))))))*(1+$C$6),2)*(IF($G$6="YES",$E$6,0)+IF($K$6="YES",$I$6,0)),2)</f>
        <v/>
      </c>
      <c r="G82" s="41">
        <f>ROUND((IF(10&lt;=2,$AD$24,IF(10&lt;=5,$AE$24,IF(10&lt;=10,$AF$24,IF(10&lt;=15,$AG$24,IF(10&lt;=20,$AH$24,IF(10&lt;=35,$AH$24+(10-20)*$AI$24,$AK$24+(10-35)*$AJ$24)))))))*(1+$C$6),2)+ROUND(ROUND((IF(10&lt;=2,$AD$24,IF(10&lt;=5,$AE$24,IF(10&lt;=10,$AF$24,IF(10&lt;=15,$AG$24,IF(10&lt;=20,$AH$24,IF(10&lt;=35,$AH$24+(10-20)*$AI$24,$AK$24+(10-35)*$AJ$24)))))))*(1+$C$6),2)*(IF($G$6="YES",$E$6,0)+IF($K$6="YES",$I$6,0)),2)</f>
        <v/>
      </c>
      <c r="H82" s="41">
        <f>ROUND((IF(10&lt;=2,$AD$25,$AD$25+(10-2)*$AE$25))*(1+$C$6),2)+ROUND(ROUND((IF(10&lt;=2,$AD$25,$AD$25+(10-2)*$AE$25))*(1+$C$6),2)*(IF($G$6="YES",$E$6,0)+IF($K$6="YES",$I$6,0)),2)+(10*$E$8*IF($C$8="YES",1,0))</f>
        <v/>
      </c>
      <c r="I82" s="42">
        <f>ROUND((IF(10&lt;=2,$AD$26,$AD$26+(10-2)*$AE$26))*(1+$C$6),2)+ROUND(ROUND((IF(10&lt;=2,$AD$26,$AD$26+(10-2)*$AE$26))*(1+$C$6),2)*(IF($G$6="YES",$E$6,0)+IF($K$6="YES",$I$6,0)),2)</f>
        <v/>
      </c>
    </row>
    <row r="83">
      <c r="B83" s="37" t="n">
        <v>11</v>
      </c>
      <c r="C83" s="38">
        <f>ROUND((IF(11&lt;=5,$AD$20,$AD$20+(11-5)*$AE$20))*(1+$C$6),2)+ROUND(ROUND((IF(11&lt;=5,$AD$20,$AD$20+(11-5)*$AE$20))*(1+$C$6),2)*(IF($G$6="YES",$E$6,0)+IF($K$6="YES",$I$6,0)),2)</f>
        <v/>
      </c>
      <c r="D83" s="38">
        <f>ROUND((IF(11&lt;=15,$AD$21,$AD$21+(11-15)*$AE$21))*(1+$C$6),2)+ROUND(ROUND((IF(11&lt;=15,$AD$21,$AD$21+(11-15)*$AE$21))*(1+$C$6),2)*(IF($G$6="YES",$E$6,0)+IF($K$6="YES",$I$6,0)),2)</f>
        <v/>
      </c>
      <c r="E83" s="38">
        <f>ROUND((IF(11&lt;=2,$AD$22,IF(11&lt;=5,$AE$22,IF(11&lt;=10,$AF$22,IF(11&lt;=15,$AG$22,IF(11&lt;=20,$AH$22,IF(11&lt;=35,$AH$22+(11-20)*$AI$22,$AK$22+(11-35)*$AJ$22)))))))*(1+$C$6),2)+ROUND(ROUND((IF(11&lt;=2,$AD$22,IF(11&lt;=5,$AE$22,IF(11&lt;=10,$AF$22,IF(11&lt;=15,$AG$22,IF(11&lt;=20,$AH$22,IF(11&lt;=35,$AH$22+(11-20)*$AI$22,$AK$22+(11-35)*$AJ$22)))))))*(1+$C$6),2)*(IF($G$6="YES",$E$6,0)+IF($K$6="YES",$I$6,0)),2)</f>
        <v/>
      </c>
      <c r="F83" s="38">
        <f>ROUND((IF(11&lt;=2,$AD$23,IF(11&lt;=5,$AE$23,IF(11&lt;=10,$AF$23,IF(11&lt;=15,$AG$23,IF(11&lt;=20,$AH$23,IF(11&lt;=35,$AH$23+(11-20)*$AI$23,$AK$23+(11-35)*$AJ$23)))))))*(1+$C$6),2)+ROUND(ROUND((IF(11&lt;=2,$AD$23,IF(11&lt;=5,$AE$23,IF(11&lt;=10,$AF$23,IF(11&lt;=15,$AG$23,IF(11&lt;=20,$AH$23,IF(11&lt;=35,$AH$23+(11-20)*$AI$23,$AK$23+(11-35)*$AJ$23)))))))*(1+$C$6),2)*(IF($G$6="YES",$E$6,0)+IF($K$6="YES",$I$6,0)),2)</f>
        <v/>
      </c>
      <c r="G83" s="38">
        <f>ROUND((IF(11&lt;=2,$AD$24,IF(11&lt;=5,$AE$24,IF(11&lt;=10,$AF$24,IF(11&lt;=15,$AG$24,IF(11&lt;=20,$AH$24,IF(11&lt;=35,$AH$24+(11-20)*$AI$24,$AK$24+(11-35)*$AJ$24)))))))*(1+$C$6),2)+ROUND(ROUND((IF(11&lt;=2,$AD$24,IF(11&lt;=5,$AE$24,IF(11&lt;=10,$AF$24,IF(11&lt;=15,$AG$24,IF(11&lt;=20,$AH$24,IF(11&lt;=35,$AH$24+(11-20)*$AI$24,$AK$24+(11-35)*$AJ$24)))))))*(1+$C$6),2)*(IF($G$6="YES",$E$6,0)+IF($K$6="YES",$I$6,0)),2)</f>
        <v/>
      </c>
      <c r="H83" s="38">
        <f>ROUND((IF(11&lt;=2,$AD$25,$AD$25+(11-2)*$AE$25))*(1+$C$6),2)+ROUND(ROUND((IF(11&lt;=2,$AD$25,$AD$25+(11-2)*$AE$25))*(1+$C$6),2)*(IF($G$6="YES",$E$6,0)+IF($K$6="YES",$I$6,0)),2)+(11*$E$8*IF($C$8="YES",1,0))</f>
        <v/>
      </c>
      <c r="I83" s="39">
        <f>ROUND((IF(11&lt;=2,$AD$26,$AD$26+(11-2)*$AE$26))*(1+$C$6),2)+ROUND(ROUND((IF(11&lt;=2,$AD$26,$AD$26+(11-2)*$AE$26))*(1+$C$6),2)*(IF($G$6="YES",$E$6,0)+IF($K$6="YES",$I$6,0)),2)</f>
        <v/>
      </c>
    </row>
    <row r="84">
      <c r="B84" s="37" t="n">
        <v>12</v>
      </c>
      <c r="C84" s="38">
        <f>ROUND((IF(12&lt;=5,$AD$20,$AD$20+(12-5)*$AE$20))*(1+$C$6),2)+ROUND(ROUND((IF(12&lt;=5,$AD$20,$AD$20+(12-5)*$AE$20))*(1+$C$6),2)*(IF($G$6="YES",$E$6,0)+IF($K$6="YES",$I$6,0)),2)</f>
        <v/>
      </c>
      <c r="D84" s="38">
        <f>ROUND((IF(12&lt;=15,$AD$21,$AD$21+(12-15)*$AE$21))*(1+$C$6),2)+ROUND(ROUND((IF(12&lt;=15,$AD$21,$AD$21+(12-15)*$AE$21))*(1+$C$6),2)*(IF($G$6="YES",$E$6,0)+IF($K$6="YES",$I$6,0)),2)</f>
        <v/>
      </c>
      <c r="E84" s="38">
        <f>ROUND((IF(12&lt;=2,$AD$22,IF(12&lt;=5,$AE$22,IF(12&lt;=10,$AF$22,IF(12&lt;=15,$AG$22,IF(12&lt;=20,$AH$22,IF(12&lt;=35,$AH$22+(12-20)*$AI$22,$AK$22+(12-35)*$AJ$22)))))))*(1+$C$6),2)+ROUND(ROUND((IF(12&lt;=2,$AD$22,IF(12&lt;=5,$AE$22,IF(12&lt;=10,$AF$22,IF(12&lt;=15,$AG$22,IF(12&lt;=20,$AH$22,IF(12&lt;=35,$AH$22+(12-20)*$AI$22,$AK$22+(12-35)*$AJ$22)))))))*(1+$C$6),2)*(IF($G$6="YES",$E$6,0)+IF($K$6="YES",$I$6,0)),2)</f>
        <v/>
      </c>
      <c r="F84" s="38">
        <f>ROUND((IF(12&lt;=2,$AD$23,IF(12&lt;=5,$AE$23,IF(12&lt;=10,$AF$23,IF(12&lt;=15,$AG$23,IF(12&lt;=20,$AH$23,IF(12&lt;=35,$AH$23+(12-20)*$AI$23,$AK$23+(12-35)*$AJ$23)))))))*(1+$C$6),2)+ROUND(ROUND((IF(12&lt;=2,$AD$23,IF(12&lt;=5,$AE$23,IF(12&lt;=10,$AF$23,IF(12&lt;=15,$AG$23,IF(12&lt;=20,$AH$23,IF(12&lt;=35,$AH$23+(12-20)*$AI$23,$AK$23+(12-35)*$AJ$23)))))))*(1+$C$6),2)*(IF($G$6="YES",$E$6,0)+IF($K$6="YES",$I$6,0)),2)</f>
        <v/>
      </c>
      <c r="G84" s="38">
        <f>ROUND((IF(12&lt;=2,$AD$24,IF(12&lt;=5,$AE$24,IF(12&lt;=10,$AF$24,IF(12&lt;=15,$AG$24,IF(12&lt;=20,$AH$24,IF(12&lt;=35,$AH$24+(12-20)*$AI$24,$AK$24+(12-35)*$AJ$24)))))))*(1+$C$6),2)+ROUND(ROUND((IF(12&lt;=2,$AD$24,IF(12&lt;=5,$AE$24,IF(12&lt;=10,$AF$24,IF(12&lt;=15,$AG$24,IF(12&lt;=20,$AH$24,IF(12&lt;=35,$AH$24+(12-20)*$AI$24,$AK$24+(12-35)*$AJ$24)))))))*(1+$C$6),2)*(IF($G$6="YES",$E$6,0)+IF($K$6="YES",$I$6,0)),2)</f>
        <v/>
      </c>
      <c r="H84" s="38">
        <f>ROUND((IF(12&lt;=2,$AD$25,$AD$25+(12-2)*$AE$25))*(1+$C$6),2)+ROUND(ROUND((IF(12&lt;=2,$AD$25,$AD$25+(12-2)*$AE$25))*(1+$C$6),2)*(IF($G$6="YES",$E$6,0)+IF($K$6="YES",$I$6,0)),2)+(12*$E$8*IF($C$8="YES",1,0))</f>
        <v/>
      </c>
      <c r="I84" s="39">
        <f>ROUND((IF(12&lt;=2,$AD$26,$AD$26+(12-2)*$AE$26))*(1+$C$6),2)+ROUND(ROUND((IF(12&lt;=2,$AD$26,$AD$26+(12-2)*$AE$26))*(1+$C$6),2)*(IF($G$6="YES",$E$6,0)+IF($K$6="YES",$I$6,0)),2)</f>
        <v/>
      </c>
    </row>
    <row r="85">
      <c r="B85" s="37" t="n">
        <v>13</v>
      </c>
      <c r="C85" s="38">
        <f>ROUND((IF(13&lt;=5,$AD$20,$AD$20+(13-5)*$AE$20))*(1+$C$6),2)+ROUND(ROUND((IF(13&lt;=5,$AD$20,$AD$20+(13-5)*$AE$20))*(1+$C$6),2)*(IF($G$6="YES",$E$6,0)+IF($K$6="YES",$I$6,0)),2)</f>
        <v/>
      </c>
      <c r="D85" s="38">
        <f>ROUND((IF(13&lt;=15,$AD$21,$AD$21+(13-15)*$AE$21))*(1+$C$6),2)+ROUND(ROUND((IF(13&lt;=15,$AD$21,$AD$21+(13-15)*$AE$21))*(1+$C$6),2)*(IF($G$6="YES",$E$6,0)+IF($K$6="YES",$I$6,0)),2)</f>
        <v/>
      </c>
      <c r="E85" s="38">
        <f>ROUND((IF(13&lt;=2,$AD$22,IF(13&lt;=5,$AE$22,IF(13&lt;=10,$AF$22,IF(13&lt;=15,$AG$22,IF(13&lt;=20,$AH$22,IF(13&lt;=35,$AH$22+(13-20)*$AI$22,$AK$22+(13-35)*$AJ$22)))))))*(1+$C$6),2)+ROUND(ROUND((IF(13&lt;=2,$AD$22,IF(13&lt;=5,$AE$22,IF(13&lt;=10,$AF$22,IF(13&lt;=15,$AG$22,IF(13&lt;=20,$AH$22,IF(13&lt;=35,$AH$22+(13-20)*$AI$22,$AK$22+(13-35)*$AJ$22)))))))*(1+$C$6),2)*(IF($G$6="YES",$E$6,0)+IF($K$6="YES",$I$6,0)),2)</f>
        <v/>
      </c>
      <c r="F85" s="38">
        <f>ROUND((IF(13&lt;=2,$AD$23,IF(13&lt;=5,$AE$23,IF(13&lt;=10,$AF$23,IF(13&lt;=15,$AG$23,IF(13&lt;=20,$AH$23,IF(13&lt;=35,$AH$23+(13-20)*$AI$23,$AK$23+(13-35)*$AJ$23)))))))*(1+$C$6),2)+ROUND(ROUND((IF(13&lt;=2,$AD$23,IF(13&lt;=5,$AE$23,IF(13&lt;=10,$AF$23,IF(13&lt;=15,$AG$23,IF(13&lt;=20,$AH$23,IF(13&lt;=35,$AH$23+(13-20)*$AI$23,$AK$23+(13-35)*$AJ$23)))))))*(1+$C$6),2)*(IF($G$6="YES",$E$6,0)+IF($K$6="YES",$I$6,0)),2)</f>
        <v/>
      </c>
      <c r="G85" s="38">
        <f>ROUND((IF(13&lt;=2,$AD$24,IF(13&lt;=5,$AE$24,IF(13&lt;=10,$AF$24,IF(13&lt;=15,$AG$24,IF(13&lt;=20,$AH$24,IF(13&lt;=35,$AH$24+(13-20)*$AI$24,$AK$24+(13-35)*$AJ$24)))))))*(1+$C$6),2)+ROUND(ROUND((IF(13&lt;=2,$AD$24,IF(13&lt;=5,$AE$24,IF(13&lt;=10,$AF$24,IF(13&lt;=15,$AG$24,IF(13&lt;=20,$AH$24,IF(13&lt;=35,$AH$24+(13-20)*$AI$24,$AK$24+(13-35)*$AJ$24)))))))*(1+$C$6),2)*(IF($G$6="YES",$E$6,0)+IF($K$6="YES",$I$6,0)),2)</f>
        <v/>
      </c>
      <c r="H85" s="38">
        <f>ROUND((IF(13&lt;=2,$AD$25,$AD$25+(13-2)*$AE$25))*(1+$C$6),2)+ROUND(ROUND((IF(13&lt;=2,$AD$25,$AD$25+(13-2)*$AE$25))*(1+$C$6),2)*(IF($G$6="YES",$E$6,0)+IF($K$6="YES",$I$6,0)),2)+(13*$E$8*IF($C$8="YES",1,0))</f>
        <v/>
      </c>
      <c r="I85" s="39">
        <f>ROUND((IF(13&lt;=2,$AD$26,$AD$26+(13-2)*$AE$26))*(1+$C$6),2)+ROUND(ROUND((IF(13&lt;=2,$AD$26,$AD$26+(13-2)*$AE$26))*(1+$C$6),2)*(IF($G$6="YES",$E$6,0)+IF($K$6="YES",$I$6,0)),2)</f>
        <v/>
      </c>
    </row>
    <row r="86">
      <c r="B86" s="37" t="n">
        <v>14</v>
      </c>
      <c r="C86" s="38">
        <f>ROUND((IF(14&lt;=5,$AD$20,$AD$20+(14-5)*$AE$20))*(1+$C$6),2)+ROUND(ROUND((IF(14&lt;=5,$AD$20,$AD$20+(14-5)*$AE$20))*(1+$C$6),2)*(IF($G$6="YES",$E$6,0)+IF($K$6="YES",$I$6,0)),2)</f>
        <v/>
      </c>
      <c r="D86" s="38">
        <f>ROUND((IF(14&lt;=15,$AD$21,$AD$21+(14-15)*$AE$21))*(1+$C$6),2)+ROUND(ROUND((IF(14&lt;=15,$AD$21,$AD$21+(14-15)*$AE$21))*(1+$C$6),2)*(IF($G$6="YES",$E$6,0)+IF($K$6="YES",$I$6,0)),2)</f>
        <v/>
      </c>
      <c r="E86" s="38">
        <f>ROUND((IF(14&lt;=2,$AD$22,IF(14&lt;=5,$AE$22,IF(14&lt;=10,$AF$22,IF(14&lt;=15,$AG$22,IF(14&lt;=20,$AH$22,IF(14&lt;=35,$AH$22+(14-20)*$AI$22,$AK$22+(14-35)*$AJ$22)))))))*(1+$C$6),2)+ROUND(ROUND((IF(14&lt;=2,$AD$22,IF(14&lt;=5,$AE$22,IF(14&lt;=10,$AF$22,IF(14&lt;=15,$AG$22,IF(14&lt;=20,$AH$22,IF(14&lt;=35,$AH$22+(14-20)*$AI$22,$AK$22+(14-35)*$AJ$22)))))))*(1+$C$6),2)*(IF($G$6="YES",$E$6,0)+IF($K$6="YES",$I$6,0)),2)</f>
        <v/>
      </c>
      <c r="F86" s="38">
        <f>ROUND((IF(14&lt;=2,$AD$23,IF(14&lt;=5,$AE$23,IF(14&lt;=10,$AF$23,IF(14&lt;=15,$AG$23,IF(14&lt;=20,$AH$23,IF(14&lt;=35,$AH$23+(14-20)*$AI$23,$AK$23+(14-35)*$AJ$23)))))))*(1+$C$6),2)+ROUND(ROUND((IF(14&lt;=2,$AD$23,IF(14&lt;=5,$AE$23,IF(14&lt;=10,$AF$23,IF(14&lt;=15,$AG$23,IF(14&lt;=20,$AH$23,IF(14&lt;=35,$AH$23+(14-20)*$AI$23,$AK$23+(14-35)*$AJ$23)))))))*(1+$C$6),2)*(IF($G$6="YES",$E$6,0)+IF($K$6="YES",$I$6,0)),2)</f>
        <v/>
      </c>
      <c r="G86" s="38">
        <f>ROUND((IF(14&lt;=2,$AD$24,IF(14&lt;=5,$AE$24,IF(14&lt;=10,$AF$24,IF(14&lt;=15,$AG$24,IF(14&lt;=20,$AH$24,IF(14&lt;=35,$AH$24+(14-20)*$AI$24,$AK$24+(14-35)*$AJ$24)))))))*(1+$C$6),2)+ROUND(ROUND((IF(14&lt;=2,$AD$24,IF(14&lt;=5,$AE$24,IF(14&lt;=10,$AF$24,IF(14&lt;=15,$AG$24,IF(14&lt;=20,$AH$24,IF(14&lt;=35,$AH$24+(14-20)*$AI$24,$AK$24+(14-35)*$AJ$24)))))))*(1+$C$6),2)*(IF($G$6="YES",$E$6,0)+IF($K$6="YES",$I$6,0)),2)</f>
        <v/>
      </c>
      <c r="H86" s="38">
        <f>ROUND((IF(14&lt;=2,$AD$25,$AD$25+(14-2)*$AE$25))*(1+$C$6),2)+ROUND(ROUND((IF(14&lt;=2,$AD$25,$AD$25+(14-2)*$AE$25))*(1+$C$6),2)*(IF($G$6="YES",$E$6,0)+IF($K$6="YES",$I$6,0)),2)+(14*$E$8*IF($C$8="YES",1,0))</f>
        <v/>
      </c>
      <c r="I86" s="39">
        <f>ROUND((IF(14&lt;=2,$AD$26,$AD$26+(14-2)*$AE$26))*(1+$C$6),2)+ROUND(ROUND((IF(14&lt;=2,$AD$26,$AD$26+(14-2)*$AE$26))*(1+$C$6),2)*(IF($G$6="YES",$E$6,0)+IF($K$6="YES",$I$6,0)),2)</f>
        <v/>
      </c>
    </row>
    <row r="87">
      <c r="B87" s="37" t="n">
        <v>15</v>
      </c>
      <c r="C87" s="38">
        <f>ROUND((IF(15&lt;=5,$AD$20,$AD$20+(15-5)*$AE$20))*(1+$C$6),2)+ROUND(ROUND((IF(15&lt;=5,$AD$20,$AD$20+(15-5)*$AE$20))*(1+$C$6),2)*(IF($G$6="YES",$E$6,0)+IF($K$6="YES",$I$6,0)),2)</f>
        <v/>
      </c>
      <c r="D87" s="38">
        <f>ROUND((IF(15&lt;=15,$AD$21,$AD$21+(15-15)*$AE$21))*(1+$C$6),2)+ROUND(ROUND((IF(15&lt;=15,$AD$21,$AD$21+(15-15)*$AE$21))*(1+$C$6),2)*(IF($G$6="YES",$E$6,0)+IF($K$6="YES",$I$6,0)),2)</f>
        <v/>
      </c>
      <c r="E87" s="38">
        <f>ROUND((IF(15&lt;=2,$AD$22,IF(15&lt;=5,$AE$22,IF(15&lt;=10,$AF$22,IF(15&lt;=15,$AG$22,IF(15&lt;=20,$AH$22,IF(15&lt;=35,$AH$22+(15-20)*$AI$22,$AK$22+(15-35)*$AJ$22)))))))*(1+$C$6),2)+ROUND(ROUND((IF(15&lt;=2,$AD$22,IF(15&lt;=5,$AE$22,IF(15&lt;=10,$AF$22,IF(15&lt;=15,$AG$22,IF(15&lt;=20,$AH$22,IF(15&lt;=35,$AH$22+(15-20)*$AI$22,$AK$22+(15-35)*$AJ$22)))))))*(1+$C$6),2)*(IF($G$6="YES",$E$6,0)+IF($K$6="YES",$I$6,0)),2)</f>
        <v/>
      </c>
      <c r="F87" s="38">
        <f>ROUND((IF(15&lt;=2,$AD$23,IF(15&lt;=5,$AE$23,IF(15&lt;=10,$AF$23,IF(15&lt;=15,$AG$23,IF(15&lt;=20,$AH$23,IF(15&lt;=35,$AH$23+(15-20)*$AI$23,$AK$23+(15-35)*$AJ$23)))))))*(1+$C$6),2)+ROUND(ROUND((IF(15&lt;=2,$AD$23,IF(15&lt;=5,$AE$23,IF(15&lt;=10,$AF$23,IF(15&lt;=15,$AG$23,IF(15&lt;=20,$AH$23,IF(15&lt;=35,$AH$23+(15-20)*$AI$23,$AK$23+(15-35)*$AJ$23)))))))*(1+$C$6),2)*(IF($G$6="YES",$E$6,0)+IF($K$6="YES",$I$6,0)),2)</f>
        <v/>
      </c>
      <c r="G87" s="38">
        <f>ROUND((IF(15&lt;=2,$AD$24,IF(15&lt;=5,$AE$24,IF(15&lt;=10,$AF$24,IF(15&lt;=15,$AG$24,IF(15&lt;=20,$AH$24,IF(15&lt;=35,$AH$24+(15-20)*$AI$24,$AK$24+(15-35)*$AJ$24)))))))*(1+$C$6),2)+ROUND(ROUND((IF(15&lt;=2,$AD$24,IF(15&lt;=5,$AE$24,IF(15&lt;=10,$AF$24,IF(15&lt;=15,$AG$24,IF(15&lt;=20,$AH$24,IF(15&lt;=35,$AH$24+(15-20)*$AI$24,$AK$24+(15-35)*$AJ$24)))))))*(1+$C$6),2)*(IF($G$6="YES",$E$6,0)+IF($K$6="YES",$I$6,0)),2)</f>
        <v/>
      </c>
      <c r="H87" s="38">
        <f>ROUND((IF(15&lt;=2,$AD$25,$AD$25+(15-2)*$AE$25))*(1+$C$6),2)+ROUND(ROUND((IF(15&lt;=2,$AD$25,$AD$25+(15-2)*$AE$25))*(1+$C$6),2)*(IF($G$6="YES",$E$6,0)+IF($K$6="YES",$I$6,0)),2)+(15*$E$8*IF($C$8="YES",1,0))</f>
        <v/>
      </c>
      <c r="I87" s="39">
        <f>ROUND((IF(15&lt;=2,$AD$26,$AD$26+(15-2)*$AE$26))*(1+$C$6),2)+ROUND(ROUND((IF(15&lt;=2,$AD$26,$AD$26+(15-2)*$AE$26))*(1+$C$6),2)*(IF($G$6="YES",$E$6,0)+IF($K$6="YES",$I$6,0)),2)</f>
        <v/>
      </c>
    </row>
    <row r="88">
      <c r="B88" s="40" t="n">
        <v>16</v>
      </c>
      <c r="C88" s="41">
        <f>ROUND((IF(16&lt;=5,$AD$20,$AD$20+(16-5)*$AE$20))*(1+$C$6),2)+ROUND(ROUND((IF(16&lt;=5,$AD$20,$AD$20+(16-5)*$AE$20))*(1+$C$6),2)*(IF($G$6="YES",$E$6,0)+IF($K$6="YES",$I$6,0)),2)</f>
        <v/>
      </c>
      <c r="D88" s="41">
        <f>ROUND((IF(16&lt;=15,$AD$21,$AD$21+(16-15)*$AE$21))*(1+$C$6),2)+ROUND(ROUND((IF(16&lt;=15,$AD$21,$AD$21+(16-15)*$AE$21))*(1+$C$6),2)*(IF($G$6="YES",$E$6,0)+IF($K$6="YES",$I$6,0)),2)</f>
        <v/>
      </c>
      <c r="E88" s="41">
        <f>ROUND((IF(16&lt;=2,$AD$22,IF(16&lt;=5,$AE$22,IF(16&lt;=10,$AF$22,IF(16&lt;=15,$AG$22,IF(16&lt;=20,$AH$22,IF(16&lt;=35,$AH$22+(16-20)*$AI$22,$AK$22+(16-35)*$AJ$22)))))))*(1+$C$6),2)+ROUND(ROUND((IF(16&lt;=2,$AD$22,IF(16&lt;=5,$AE$22,IF(16&lt;=10,$AF$22,IF(16&lt;=15,$AG$22,IF(16&lt;=20,$AH$22,IF(16&lt;=35,$AH$22+(16-20)*$AI$22,$AK$22+(16-35)*$AJ$22)))))))*(1+$C$6),2)*(IF($G$6="YES",$E$6,0)+IF($K$6="YES",$I$6,0)),2)</f>
        <v/>
      </c>
      <c r="F88" s="41">
        <f>ROUND((IF(16&lt;=2,$AD$23,IF(16&lt;=5,$AE$23,IF(16&lt;=10,$AF$23,IF(16&lt;=15,$AG$23,IF(16&lt;=20,$AH$23,IF(16&lt;=35,$AH$23+(16-20)*$AI$23,$AK$23+(16-35)*$AJ$23)))))))*(1+$C$6),2)+ROUND(ROUND((IF(16&lt;=2,$AD$23,IF(16&lt;=5,$AE$23,IF(16&lt;=10,$AF$23,IF(16&lt;=15,$AG$23,IF(16&lt;=20,$AH$23,IF(16&lt;=35,$AH$23+(16-20)*$AI$23,$AK$23+(16-35)*$AJ$23)))))))*(1+$C$6),2)*(IF($G$6="YES",$E$6,0)+IF($K$6="YES",$I$6,0)),2)</f>
        <v/>
      </c>
      <c r="G88" s="41">
        <f>ROUND((IF(16&lt;=2,$AD$24,IF(16&lt;=5,$AE$24,IF(16&lt;=10,$AF$24,IF(16&lt;=15,$AG$24,IF(16&lt;=20,$AH$24,IF(16&lt;=35,$AH$24+(16-20)*$AI$24,$AK$24+(16-35)*$AJ$24)))))))*(1+$C$6),2)+ROUND(ROUND((IF(16&lt;=2,$AD$24,IF(16&lt;=5,$AE$24,IF(16&lt;=10,$AF$24,IF(16&lt;=15,$AG$24,IF(16&lt;=20,$AH$24,IF(16&lt;=35,$AH$24+(16-20)*$AI$24,$AK$24+(16-35)*$AJ$24)))))))*(1+$C$6),2)*(IF($G$6="YES",$E$6,0)+IF($K$6="YES",$I$6,0)),2)</f>
        <v/>
      </c>
      <c r="H88" s="41">
        <f>ROUND((IF(16&lt;=2,$AD$25,$AD$25+(16-2)*$AE$25))*(1+$C$6),2)+ROUND(ROUND((IF(16&lt;=2,$AD$25,$AD$25+(16-2)*$AE$25))*(1+$C$6),2)*(IF($G$6="YES",$E$6,0)+IF($K$6="YES",$I$6,0)),2)+(16*$E$8*IF($C$8="YES",1,0))</f>
        <v/>
      </c>
      <c r="I88" s="42">
        <f>ROUND((IF(16&lt;=2,$AD$26,$AD$26+(16-2)*$AE$26))*(1+$C$6),2)+ROUND(ROUND((IF(16&lt;=2,$AD$26,$AD$26+(16-2)*$AE$26))*(1+$C$6),2)*(IF($G$6="YES",$E$6,0)+IF($K$6="YES",$I$6,0)),2)</f>
        <v/>
      </c>
    </row>
    <row r="89">
      <c r="B89" s="40" t="n">
        <v>17</v>
      </c>
      <c r="C89" s="41">
        <f>ROUND((IF(17&lt;=5,$AD$20,$AD$20+(17-5)*$AE$20))*(1+$C$6),2)+ROUND(ROUND((IF(17&lt;=5,$AD$20,$AD$20+(17-5)*$AE$20))*(1+$C$6),2)*(IF($G$6="YES",$E$6,0)+IF($K$6="YES",$I$6,0)),2)</f>
        <v/>
      </c>
      <c r="D89" s="41">
        <f>ROUND((IF(17&lt;=15,$AD$21,$AD$21+(17-15)*$AE$21))*(1+$C$6),2)+ROUND(ROUND((IF(17&lt;=15,$AD$21,$AD$21+(17-15)*$AE$21))*(1+$C$6),2)*(IF($G$6="YES",$E$6,0)+IF($K$6="YES",$I$6,0)),2)</f>
        <v/>
      </c>
      <c r="E89" s="41">
        <f>ROUND((IF(17&lt;=2,$AD$22,IF(17&lt;=5,$AE$22,IF(17&lt;=10,$AF$22,IF(17&lt;=15,$AG$22,IF(17&lt;=20,$AH$22,IF(17&lt;=35,$AH$22+(17-20)*$AI$22,$AK$22+(17-35)*$AJ$22)))))))*(1+$C$6),2)+ROUND(ROUND((IF(17&lt;=2,$AD$22,IF(17&lt;=5,$AE$22,IF(17&lt;=10,$AF$22,IF(17&lt;=15,$AG$22,IF(17&lt;=20,$AH$22,IF(17&lt;=35,$AH$22+(17-20)*$AI$22,$AK$22+(17-35)*$AJ$22)))))))*(1+$C$6),2)*(IF($G$6="YES",$E$6,0)+IF($K$6="YES",$I$6,0)),2)</f>
        <v/>
      </c>
      <c r="F89" s="41">
        <f>ROUND((IF(17&lt;=2,$AD$23,IF(17&lt;=5,$AE$23,IF(17&lt;=10,$AF$23,IF(17&lt;=15,$AG$23,IF(17&lt;=20,$AH$23,IF(17&lt;=35,$AH$23+(17-20)*$AI$23,$AK$23+(17-35)*$AJ$23)))))))*(1+$C$6),2)+ROUND(ROUND((IF(17&lt;=2,$AD$23,IF(17&lt;=5,$AE$23,IF(17&lt;=10,$AF$23,IF(17&lt;=15,$AG$23,IF(17&lt;=20,$AH$23,IF(17&lt;=35,$AH$23+(17-20)*$AI$23,$AK$23+(17-35)*$AJ$23)))))))*(1+$C$6),2)*(IF($G$6="YES",$E$6,0)+IF($K$6="YES",$I$6,0)),2)</f>
        <v/>
      </c>
      <c r="G89" s="41">
        <f>ROUND((IF(17&lt;=2,$AD$24,IF(17&lt;=5,$AE$24,IF(17&lt;=10,$AF$24,IF(17&lt;=15,$AG$24,IF(17&lt;=20,$AH$24,IF(17&lt;=35,$AH$24+(17-20)*$AI$24,$AK$24+(17-35)*$AJ$24)))))))*(1+$C$6),2)+ROUND(ROUND((IF(17&lt;=2,$AD$24,IF(17&lt;=5,$AE$24,IF(17&lt;=10,$AF$24,IF(17&lt;=15,$AG$24,IF(17&lt;=20,$AH$24,IF(17&lt;=35,$AH$24+(17-20)*$AI$24,$AK$24+(17-35)*$AJ$24)))))))*(1+$C$6),2)*(IF($G$6="YES",$E$6,0)+IF($K$6="YES",$I$6,0)),2)</f>
        <v/>
      </c>
      <c r="H89" s="41">
        <f>ROUND((IF(17&lt;=2,$AD$25,$AD$25+(17-2)*$AE$25))*(1+$C$6),2)+ROUND(ROUND((IF(17&lt;=2,$AD$25,$AD$25+(17-2)*$AE$25))*(1+$C$6),2)*(IF($G$6="YES",$E$6,0)+IF($K$6="YES",$I$6,0)),2)+(17*$E$8*IF($C$8="YES",1,0))</f>
        <v/>
      </c>
      <c r="I89" s="42">
        <f>ROUND((IF(17&lt;=2,$AD$26,$AD$26+(17-2)*$AE$26))*(1+$C$6),2)+ROUND(ROUND((IF(17&lt;=2,$AD$26,$AD$26+(17-2)*$AE$26))*(1+$C$6),2)*(IF($G$6="YES",$E$6,0)+IF($K$6="YES",$I$6,0)),2)</f>
        <v/>
      </c>
    </row>
    <row r="90">
      <c r="B90" s="40" t="n">
        <v>18</v>
      </c>
      <c r="C90" s="41">
        <f>ROUND((IF(18&lt;=5,$AD$20,$AD$20+(18-5)*$AE$20))*(1+$C$6),2)+ROUND(ROUND((IF(18&lt;=5,$AD$20,$AD$20+(18-5)*$AE$20))*(1+$C$6),2)*(IF($G$6="YES",$E$6,0)+IF($K$6="YES",$I$6,0)),2)</f>
        <v/>
      </c>
      <c r="D90" s="41">
        <f>ROUND((IF(18&lt;=15,$AD$21,$AD$21+(18-15)*$AE$21))*(1+$C$6),2)+ROUND(ROUND((IF(18&lt;=15,$AD$21,$AD$21+(18-15)*$AE$21))*(1+$C$6),2)*(IF($G$6="YES",$E$6,0)+IF($K$6="YES",$I$6,0)),2)</f>
        <v/>
      </c>
      <c r="E90" s="41">
        <f>ROUND((IF(18&lt;=2,$AD$22,IF(18&lt;=5,$AE$22,IF(18&lt;=10,$AF$22,IF(18&lt;=15,$AG$22,IF(18&lt;=20,$AH$22,IF(18&lt;=35,$AH$22+(18-20)*$AI$22,$AK$22+(18-35)*$AJ$22)))))))*(1+$C$6),2)+ROUND(ROUND((IF(18&lt;=2,$AD$22,IF(18&lt;=5,$AE$22,IF(18&lt;=10,$AF$22,IF(18&lt;=15,$AG$22,IF(18&lt;=20,$AH$22,IF(18&lt;=35,$AH$22+(18-20)*$AI$22,$AK$22+(18-35)*$AJ$22)))))))*(1+$C$6),2)*(IF($G$6="YES",$E$6,0)+IF($K$6="YES",$I$6,0)),2)</f>
        <v/>
      </c>
      <c r="F90" s="41">
        <f>ROUND((IF(18&lt;=2,$AD$23,IF(18&lt;=5,$AE$23,IF(18&lt;=10,$AF$23,IF(18&lt;=15,$AG$23,IF(18&lt;=20,$AH$23,IF(18&lt;=35,$AH$23+(18-20)*$AI$23,$AK$23+(18-35)*$AJ$23)))))))*(1+$C$6),2)+ROUND(ROUND((IF(18&lt;=2,$AD$23,IF(18&lt;=5,$AE$23,IF(18&lt;=10,$AF$23,IF(18&lt;=15,$AG$23,IF(18&lt;=20,$AH$23,IF(18&lt;=35,$AH$23+(18-20)*$AI$23,$AK$23+(18-35)*$AJ$23)))))))*(1+$C$6),2)*(IF($G$6="YES",$E$6,0)+IF($K$6="YES",$I$6,0)),2)</f>
        <v/>
      </c>
      <c r="G90" s="41">
        <f>ROUND((IF(18&lt;=2,$AD$24,IF(18&lt;=5,$AE$24,IF(18&lt;=10,$AF$24,IF(18&lt;=15,$AG$24,IF(18&lt;=20,$AH$24,IF(18&lt;=35,$AH$24+(18-20)*$AI$24,$AK$24+(18-35)*$AJ$24)))))))*(1+$C$6),2)+ROUND(ROUND((IF(18&lt;=2,$AD$24,IF(18&lt;=5,$AE$24,IF(18&lt;=10,$AF$24,IF(18&lt;=15,$AG$24,IF(18&lt;=20,$AH$24,IF(18&lt;=35,$AH$24+(18-20)*$AI$24,$AK$24+(18-35)*$AJ$24)))))))*(1+$C$6),2)*(IF($G$6="YES",$E$6,0)+IF($K$6="YES",$I$6,0)),2)</f>
        <v/>
      </c>
      <c r="H90" s="41">
        <f>ROUND((IF(18&lt;=2,$AD$25,$AD$25+(18-2)*$AE$25))*(1+$C$6),2)+ROUND(ROUND((IF(18&lt;=2,$AD$25,$AD$25+(18-2)*$AE$25))*(1+$C$6),2)*(IF($G$6="YES",$E$6,0)+IF($K$6="YES",$I$6,0)),2)+(18*$E$8*IF($C$8="YES",1,0))</f>
        <v/>
      </c>
      <c r="I90" s="42">
        <f>ROUND((IF(18&lt;=2,$AD$26,$AD$26+(18-2)*$AE$26))*(1+$C$6),2)+ROUND(ROUND((IF(18&lt;=2,$AD$26,$AD$26+(18-2)*$AE$26))*(1+$C$6),2)*(IF($G$6="YES",$E$6,0)+IF($K$6="YES",$I$6,0)),2)</f>
        <v/>
      </c>
    </row>
    <row r="91">
      <c r="B91" s="40" t="n">
        <v>19</v>
      </c>
      <c r="C91" s="41">
        <f>ROUND((IF(19&lt;=5,$AD$20,$AD$20+(19-5)*$AE$20))*(1+$C$6),2)+ROUND(ROUND((IF(19&lt;=5,$AD$20,$AD$20+(19-5)*$AE$20))*(1+$C$6),2)*(IF($G$6="YES",$E$6,0)+IF($K$6="YES",$I$6,0)),2)</f>
        <v/>
      </c>
      <c r="D91" s="41">
        <f>ROUND((IF(19&lt;=15,$AD$21,$AD$21+(19-15)*$AE$21))*(1+$C$6),2)+ROUND(ROUND((IF(19&lt;=15,$AD$21,$AD$21+(19-15)*$AE$21))*(1+$C$6),2)*(IF($G$6="YES",$E$6,0)+IF($K$6="YES",$I$6,0)),2)</f>
        <v/>
      </c>
      <c r="E91" s="41">
        <f>ROUND((IF(19&lt;=2,$AD$22,IF(19&lt;=5,$AE$22,IF(19&lt;=10,$AF$22,IF(19&lt;=15,$AG$22,IF(19&lt;=20,$AH$22,IF(19&lt;=35,$AH$22+(19-20)*$AI$22,$AK$22+(19-35)*$AJ$22)))))))*(1+$C$6),2)+ROUND(ROUND((IF(19&lt;=2,$AD$22,IF(19&lt;=5,$AE$22,IF(19&lt;=10,$AF$22,IF(19&lt;=15,$AG$22,IF(19&lt;=20,$AH$22,IF(19&lt;=35,$AH$22+(19-20)*$AI$22,$AK$22+(19-35)*$AJ$22)))))))*(1+$C$6),2)*(IF($G$6="YES",$E$6,0)+IF($K$6="YES",$I$6,0)),2)</f>
        <v/>
      </c>
      <c r="F91" s="41">
        <f>ROUND((IF(19&lt;=2,$AD$23,IF(19&lt;=5,$AE$23,IF(19&lt;=10,$AF$23,IF(19&lt;=15,$AG$23,IF(19&lt;=20,$AH$23,IF(19&lt;=35,$AH$23+(19-20)*$AI$23,$AK$23+(19-35)*$AJ$23)))))))*(1+$C$6),2)+ROUND(ROUND((IF(19&lt;=2,$AD$23,IF(19&lt;=5,$AE$23,IF(19&lt;=10,$AF$23,IF(19&lt;=15,$AG$23,IF(19&lt;=20,$AH$23,IF(19&lt;=35,$AH$23+(19-20)*$AI$23,$AK$23+(19-35)*$AJ$23)))))))*(1+$C$6),2)*(IF($G$6="YES",$E$6,0)+IF($K$6="YES",$I$6,0)),2)</f>
        <v/>
      </c>
      <c r="G91" s="41">
        <f>ROUND((IF(19&lt;=2,$AD$24,IF(19&lt;=5,$AE$24,IF(19&lt;=10,$AF$24,IF(19&lt;=15,$AG$24,IF(19&lt;=20,$AH$24,IF(19&lt;=35,$AH$24+(19-20)*$AI$24,$AK$24+(19-35)*$AJ$24)))))))*(1+$C$6),2)+ROUND(ROUND((IF(19&lt;=2,$AD$24,IF(19&lt;=5,$AE$24,IF(19&lt;=10,$AF$24,IF(19&lt;=15,$AG$24,IF(19&lt;=20,$AH$24,IF(19&lt;=35,$AH$24+(19-20)*$AI$24,$AK$24+(19-35)*$AJ$24)))))))*(1+$C$6),2)*(IF($G$6="YES",$E$6,0)+IF($K$6="YES",$I$6,0)),2)</f>
        <v/>
      </c>
      <c r="H91" s="41">
        <f>ROUND((IF(19&lt;=2,$AD$25,$AD$25+(19-2)*$AE$25))*(1+$C$6),2)+ROUND(ROUND((IF(19&lt;=2,$AD$25,$AD$25+(19-2)*$AE$25))*(1+$C$6),2)*(IF($G$6="YES",$E$6,0)+IF($K$6="YES",$I$6,0)),2)+(19*$E$8*IF($C$8="YES",1,0))</f>
        <v/>
      </c>
      <c r="I91" s="42">
        <f>ROUND((IF(19&lt;=2,$AD$26,$AD$26+(19-2)*$AE$26))*(1+$C$6),2)+ROUND(ROUND((IF(19&lt;=2,$AD$26,$AD$26+(19-2)*$AE$26))*(1+$C$6),2)*(IF($G$6="YES",$E$6,0)+IF($K$6="YES",$I$6,0)),2)</f>
        <v/>
      </c>
    </row>
    <row r="92">
      <c r="B92" s="40" t="n">
        <v>20</v>
      </c>
      <c r="C92" s="41">
        <f>ROUND((IF(20&lt;=5,$AD$20,$AD$20+(20-5)*$AE$20))*(1+$C$6),2)+ROUND(ROUND((IF(20&lt;=5,$AD$20,$AD$20+(20-5)*$AE$20))*(1+$C$6),2)*(IF($G$6="YES",$E$6,0)+IF($K$6="YES",$I$6,0)),2)</f>
        <v/>
      </c>
      <c r="D92" s="41">
        <f>ROUND((IF(20&lt;=15,$AD$21,$AD$21+(20-15)*$AE$21))*(1+$C$6),2)+ROUND(ROUND((IF(20&lt;=15,$AD$21,$AD$21+(20-15)*$AE$21))*(1+$C$6),2)*(IF($G$6="YES",$E$6,0)+IF($K$6="YES",$I$6,0)),2)</f>
        <v/>
      </c>
      <c r="E92" s="41">
        <f>ROUND((IF(20&lt;=2,$AD$22,IF(20&lt;=5,$AE$22,IF(20&lt;=10,$AF$22,IF(20&lt;=15,$AG$22,IF(20&lt;=20,$AH$22,IF(20&lt;=35,$AH$22+(20-20)*$AI$22,$AK$22+(20-35)*$AJ$22)))))))*(1+$C$6),2)+ROUND(ROUND((IF(20&lt;=2,$AD$22,IF(20&lt;=5,$AE$22,IF(20&lt;=10,$AF$22,IF(20&lt;=15,$AG$22,IF(20&lt;=20,$AH$22,IF(20&lt;=35,$AH$22+(20-20)*$AI$22,$AK$22+(20-35)*$AJ$22)))))))*(1+$C$6),2)*(IF($G$6="YES",$E$6,0)+IF($K$6="YES",$I$6,0)),2)</f>
        <v/>
      </c>
      <c r="F92" s="41">
        <f>ROUND((IF(20&lt;=2,$AD$23,IF(20&lt;=5,$AE$23,IF(20&lt;=10,$AF$23,IF(20&lt;=15,$AG$23,IF(20&lt;=20,$AH$23,IF(20&lt;=35,$AH$23+(20-20)*$AI$23,$AK$23+(20-35)*$AJ$23)))))))*(1+$C$6),2)+ROUND(ROUND((IF(20&lt;=2,$AD$23,IF(20&lt;=5,$AE$23,IF(20&lt;=10,$AF$23,IF(20&lt;=15,$AG$23,IF(20&lt;=20,$AH$23,IF(20&lt;=35,$AH$23+(20-20)*$AI$23,$AK$23+(20-35)*$AJ$23)))))))*(1+$C$6),2)*(IF($G$6="YES",$E$6,0)+IF($K$6="YES",$I$6,0)),2)</f>
        <v/>
      </c>
      <c r="G92" s="41">
        <f>ROUND((IF(20&lt;=2,$AD$24,IF(20&lt;=5,$AE$24,IF(20&lt;=10,$AF$24,IF(20&lt;=15,$AG$24,IF(20&lt;=20,$AH$24,IF(20&lt;=35,$AH$24+(20-20)*$AI$24,$AK$24+(20-35)*$AJ$24)))))))*(1+$C$6),2)+ROUND(ROUND((IF(20&lt;=2,$AD$24,IF(20&lt;=5,$AE$24,IF(20&lt;=10,$AF$24,IF(20&lt;=15,$AG$24,IF(20&lt;=20,$AH$24,IF(20&lt;=35,$AH$24+(20-20)*$AI$24,$AK$24+(20-35)*$AJ$24)))))))*(1+$C$6),2)*(IF($G$6="YES",$E$6,0)+IF($K$6="YES",$I$6,0)),2)</f>
        <v/>
      </c>
      <c r="H92" s="41">
        <f>ROUND((IF(20&lt;=2,$AD$25,$AD$25+(20-2)*$AE$25))*(1+$C$6),2)+ROUND(ROUND((IF(20&lt;=2,$AD$25,$AD$25+(20-2)*$AE$25))*(1+$C$6),2)*(IF($G$6="YES",$E$6,0)+IF($K$6="YES",$I$6,0)),2)+(20*$E$8*IF($C$8="YES",1,0))</f>
        <v/>
      </c>
      <c r="I92" s="42">
        <f>ROUND((IF(20&lt;=2,$AD$26,$AD$26+(20-2)*$AE$26))*(1+$C$6),2)+ROUND(ROUND((IF(20&lt;=2,$AD$26,$AD$26+(20-2)*$AE$26))*(1+$C$6),2)*(IF($G$6="YES",$E$6,0)+IF($K$6="YES",$I$6,0)),2)</f>
        <v/>
      </c>
    </row>
    <row r="93">
      <c r="B93" s="37" t="n">
        <v>21</v>
      </c>
      <c r="C93" s="38">
        <f>ROUND((IF(21&lt;=5,$AD$20,$AD$20+(21-5)*$AE$20))*(1+$C$6),2)+ROUND(ROUND((IF(21&lt;=5,$AD$20,$AD$20+(21-5)*$AE$20))*(1+$C$6),2)*(IF($G$6="YES",$E$6,0)+IF($K$6="YES",$I$6,0)),2)</f>
        <v/>
      </c>
      <c r="D93" s="38">
        <f>ROUND((IF(21&lt;=15,$AD$21,$AD$21+(21-15)*$AE$21))*(1+$C$6),2)+ROUND(ROUND((IF(21&lt;=15,$AD$21,$AD$21+(21-15)*$AE$21))*(1+$C$6),2)*(IF($G$6="YES",$E$6,0)+IF($K$6="YES",$I$6,0)),2)</f>
        <v/>
      </c>
      <c r="E93" s="38">
        <f>ROUND((IF(21&lt;=2,$AD$22,IF(21&lt;=5,$AE$22,IF(21&lt;=10,$AF$22,IF(21&lt;=15,$AG$22,IF(21&lt;=20,$AH$22,IF(21&lt;=35,$AH$22+(21-20)*$AI$22,$AK$22+(21-35)*$AJ$22)))))))*(1+$C$6),2)+ROUND(ROUND((IF(21&lt;=2,$AD$22,IF(21&lt;=5,$AE$22,IF(21&lt;=10,$AF$22,IF(21&lt;=15,$AG$22,IF(21&lt;=20,$AH$22,IF(21&lt;=35,$AH$22+(21-20)*$AI$22,$AK$22+(21-35)*$AJ$22)))))))*(1+$C$6),2)*(IF($G$6="YES",$E$6,0)+IF($K$6="YES",$I$6,0)),2)</f>
        <v/>
      </c>
      <c r="F93" s="38">
        <f>ROUND((IF(21&lt;=2,$AD$23,IF(21&lt;=5,$AE$23,IF(21&lt;=10,$AF$23,IF(21&lt;=15,$AG$23,IF(21&lt;=20,$AH$23,IF(21&lt;=35,$AH$23+(21-20)*$AI$23,$AK$23+(21-35)*$AJ$23)))))))*(1+$C$6),2)+ROUND(ROUND((IF(21&lt;=2,$AD$23,IF(21&lt;=5,$AE$23,IF(21&lt;=10,$AF$23,IF(21&lt;=15,$AG$23,IF(21&lt;=20,$AH$23,IF(21&lt;=35,$AH$23+(21-20)*$AI$23,$AK$23+(21-35)*$AJ$23)))))))*(1+$C$6),2)*(IF($G$6="YES",$E$6,0)+IF($K$6="YES",$I$6,0)),2)</f>
        <v/>
      </c>
      <c r="G93" s="38">
        <f>ROUND((IF(21&lt;=2,$AD$24,IF(21&lt;=5,$AE$24,IF(21&lt;=10,$AF$24,IF(21&lt;=15,$AG$24,IF(21&lt;=20,$AH$24,IF(21&lt;=35,$AH$24+(21-20)*$AI$24,$AK$24+(21-35)*$AJ$24)))))))*(1+$C$6),2)+ROUND(ROUND((IF(21&lt;=2,$AD$24,IF(21&lt;=5,$AE$24,IF(21&lt;=10,$AF$24,IF(21&lt;=15,$AG$24,IF(21&lt;=20,$AH$24,IF(21&lt;=35,$AH$24+(21-20)*$AI$24,$AK$24+(21-35)*$AJ$24)))))))*(1+$C$6),2)*(IF($G$6="YES",$E$6,0)+IF($K$6="YES",$I$6,0)),2)</f>
        <v/>
      </c>
      <c r="H93" s="38">
        <f>ROUND((IF(21&lt;=2,$AD$25,$AD$25+(21-2)*$AE$25))*(1+$C$6),2)+ROUND(ROUND((IF(21&lt;=2,$AD$25,$AD$25+(21-2)*$AE$25))*(1+$C$6),2)*(IF($G$6="YES",$E$6,0)+IF($K$6="YES",$I$6,0)),2)+(21*$E$8*IF($C$8="YES",1,0))</f>
        <v/>
      </c>
      <c r="I93" s="39">
        <f>ROUND((IF(21&lt;=2,$AD$26,$AD$26+(21-2)*$AE$26))*(1+$C$6),2)+ROUND(ROUND((IF(21&lt;=2,$AD$26,$AD$26+(21-2)*$AE$26))*(1+$C$6),2)*(IF($G$6="YES",$E$6,0)+IF($K$6="YES",$I$6,0)),2)</f>
        <v/>
      </c>
    </row>
    <row r="94">
      <c r="B94" s="37" t="n">
        <v>22</v>
      </c>
      <c r="C94" s="38">
        <f>ROUND((IF(22&lt;=5,$AD$20,$AD$20+(22-5)*$AE$20))*(1+$C$6),2)+ROUND(ROUND((IF(22&lt;=5,$AD$20,$AD$20+(22-5)*$AE$20))*(1+$C$6),2)*(IF($G$6="YES",$E$6,0)+IF($K$6="YES",$I$6,0)),2)</f>
        <v/>
      </c>
      <c r="D94" s="38">
        <f>ROUND((IF(22&lt;=15,$AD$21,$AD$21+(22-15)*$AE$21))*(1+$C$6),2)+ROUND(ROUND((IF(22&lt;=15,$AD$21,$AD$21+(22-15)*$AE$21))*(1+$C$6),2)*(IF($G$6="YES",$E$6,0)+IF($K$6="YES",$I$6,0)),2)</f>
        <v/>
      </c>
      <c r="E94" s="38">
        <f>ROUND((IF(22&lt;=2,$AD$22,IF(22&lt;=5,$AE$22,IF(22&lt;=10,$AF$22,IF(22&lt;=15,$AG$22,IF(22&lt;=20,$AH$22,IF(22&lt;=35,$AH$22+(22-20)*$AI$22,$AK$22+(22-35)*$AJ$22)))))))*(1+$C$6),2)+ROUND(ROUND((IF(22&lt;=2,$AD$22,IF(22&lt;=5,$AE$22,IF(22&lt;=10,$AF$22,IF(22&lt;=15,$AG$22,IF(22&lt;=20,$AH$22,IF(22&lt;=35,$AH$22+(22-20)*$AI$22,$AK$22+(22-35)*$AJ$22)))))))*(1+$C$6),2)*(IF($G$6="YES",$E$6,0)+IF($K$6="YES",$I$6,0)),2)</f>
        <v/>
      </c>
      <c r="F94" s="38">
        <f>ROUND((IF(22&lt;=2,$AD$23,IF(22&lt;=5,$AE$23,IF(22&lt;=10,$AF$23,IF(22&lt;=15,$AG$23,IF(22&lt;=20,$AH$23,IF(22&lt;=35,$AH$23+(22-20)*$AI$23,$AK$23+(22-35)*$AJ$23)))))))*(1+$C$6),2)+ROUND(ROUND((IF(22&lt;=2,$AD$23,IF(22&lt;=5,$AE$23,IF(22&lt;=10,$AF$23,IF(22&lt;=15,$AG$23,IF(22&lt;=20,$AH$23,IF(22&lt;=35,$AH$23+(22-20)*$AI$23,$AK$23+(22-35)*$AJ$23)))))))*(1+$C$6),2)*(IF($G$6="YES",$E$6,0)+IF($K$6="YES",$I$6,0)),2)</f>
        <v/>
      </c>
      <c r="G94" s="38">
        <f>ROUND((IF(22&lt;=2,$AD$24,IF(22&lt;=5,$AE$24,IF(22&lt;=10,$AF$24,IF(22&lt;=15,$AG$24,IF(22&lt;=20,$AH$24,IF(22&lt;=35,$AH$24+(22-20)*$AI$24,$AK$24+(22-35)*$AJ$24)))))))*(1+$C$6),2)+ROUND(ROUND((IF(22&lt;=2,$AD$24,IF(22&lt;=5,$AE$24,IF(22&lt;=10,$AF$24,IF(22&lt;=15,$AG$24,IF(22&lt;=20,$AH$24,IF(22&lt;=35,$AH$24+(22-20)*$AI$24,$AK$24+(22-35)*$AJ$24)))))))*(1+$C$6),2)*(IF($G$6="YES",$E$6,0)+IF($K$6="YES",$I$6,0)),2)</f>
        <v/>
      </c>
      <c r="H94" s="38">
        <f>ROUND((IF(22&lt;=2,$AD$25,$AD$25+(22-2)*$AE$25))*(1+$C$6),2)+ROUND(ROUND((IF(22&lt;=2,$AD$25,$AD$25+(22-2)*$AE$25))*(1+$C$6),2)*(IF($G$6="YES",$E$6,0)+IF($K$6="YES",$I$6,0)),2)+(22*$E$8*IF($C$8="YES",1,0))</f>
        <v/>
      </c>
      <c r="I94" s="39">
        <f>ROUND((IF(22&lt;=2,$AD$26,$AD$26+(22-2)*$AE$26))*(1+$C$6),2)+ROUND(ROUND((IF(22&lt;=2,$AD$26,$AD$26+(22-2)*$AE$26))*(1+$C$6),2)*(IF($G$6="YES",$E$6,0)+IF($K$6="YES",$I$6,0)),2)</f>
        <v/>
      </c>
    </row>
    <row r="95">
      <c r="B95" s="37" t="n">
        <v>23</v>
      </c>
      <c r="C95" s="38">
        <f>ROUND((IF(23&lt;=5,$AD$20,$AD$20+(23-5)*$AE$20))*(1+$C$6),2)+ROUND(ROUND((IF(23&lt;=5,$AD$20,$AD$20+(23-5)*$AE$20))*(1+$C$6),2)*(IF($G$6="YES",$E$6,0)+IF($K$6="YES",$I$6,0)),2)</f>
        <v/>
      </c>
      <c r="D95" s="38">
        <f>ROUND((IF(23&lt;=15,$AD$21,$AD$21+(23-15)*$AE$21))*(1+$C$6),2)+ROUND(ROUND((IF(23&lt;=15,$AD$21,$AD$21+(23-15)*$AE$21))*(1+$C$6),2)*(IF($G$6="YES",$E$6,0)+IF($K$6="YES",$I$6,0)),2)</f>
        <v/>
      </c>
      <c r="E95" s="38">
        <f>ROUND((IF(23&lt;=2,$AD$22,IF(23&lt;=5,$AE$22,IF(23&lt;=10,$AF$22,IF(23&lt;=15,$AG$22,IF(23&lt;=20,$AH$22,IF(23&lt;=35,$AH$22+(23-20)*$AI$22,$AK$22+(23-35)*$AJ$22)))))))*(1+$C$6),2)+ROUND(ROUND((IF(23&lt;=2,$AD$22,IF(23&lt;=5,$AE$22,IF(23&lt;=10,$AF$22,IF(23&lt;=15,$AG$22,IF(23&lt;=20,$AH$22,IF(23&lt;=35,$AH$22+(23-20)*$AI$22,$AK$22+(23-35)*$AJ$22)))))))*(1+$C$6),2)*(IF($G$6="YES",$E$6,0)+IF($K$6="YES",$I$6,0)),2)</f>
        <v/>
      </c>
      <c r="F95" s="38">
        <f>ROUND((IF(23&lt;=2,$AD$23,IF(23&lt;=5,$AE$23,IF(23&lt;=10,$AF$23,IF(23&lt;=15,$AG$23,IF(23&lt;=20,$AH$23,IF(23&lt;=35,$AH$23+(23-20)*$AI$23,$AK$23+(23-35)*$AJ$23)))))))*(1+$C$6),2)+ROUND(ROUND((IF(23&lt;=2,$AD$23,IF(23&lt;=5,$AE$23,IF(23&lt;=10,$AF$23,IF(23&lt;=15,$AG$23,IF(23&lt;=20,$AH$23,IF(23&lt;=35,$AH$23+(23-20)*$AI$23,$AK$23+(23-35)*$AJ$23)))))))*(1+$C$6),2)*(IF($G$6="YES",$E$6,0)+IF($K$6="YES",$I$6,0)),2)</f>
        <v/>
      </c>
      <c r="G95" s="38">
        <f>ROUND((IF(23&lt;=2,$AD$24,IF(23&lt;=5,$AE$24,IF(23&lt;=10,$AF$24,IF(23&lt;=15,$AG$24,IF(23&lt;=20,$AH$24,IF(23&lt;=35,$AH$24+(23-20)*$AI$24,$AK$24+(23-35)*$AJ$24)))))))*(1+$C$6),2)+ROUND(ROUND((IF(23&lt;=2,$AD$24,IF(23&lt;=5,$AE$24,IF(23&lt;=10,$AF$24,IF(23&lt;=15,$AG$24,IF(23&lt;=20,$AH$24,IF(23&lt;=35,$AH$24+(23-20)*$AI$24,$AK$24+(23-35)*$AJ$24)))))))*(1+$C$6),2)*(IF($G$6="YES",$E$6,0)+IF($K$6="YES",$I$6,0)),2)</f>
        <v/>
      </c>
      <c r="H95" s="38">
        <f>ROUND((IF(23&lt;=2,$AD$25,$AD$25+(23-2)*$AE$25))*(1+$C$6),2)+ROUND(ROUND((IF(23&lt;=2,$AD$25,$AD$25+(23-2)*$AE$25))*(1+$C$6),2)*(IF($G$6="YES",$E$6,0)+IF($K$6="YES",$I$6,0)),2)+(23*$E$8*IF($C$8="YES",1,0))</f>
        <v/>
      </c>
      <c r="I95" s="39">
        <f>ROUND((IF(23&lt;=2,$AD$26,$AD$26+(23-2)*$AE$26))*(1+$C$6),2)+ROUND(ROUND((IF(23&lt;=2,$AD$26,$AD$26+(23-2)*$AE$26))*(1+$C$6),2)*(IF($G$6="YES",$E$6,0)+IF($K$6="YES",$I$6,0)),2)</f>
        <v/>
      </c>
    </row>
    <row r="96">
      <c r="B96" s="37" t="n">
        <v>24</v>
      </c>
      <c r="C96" s="38">
        <f>ROUND((IF(24&lt;=5,$AD$20,$AD$20+(24-5)*$AE$20))*(1+$C$6),2)+ROUND(ROUND((IF(24&lt;=5,$AD$20,$AD$20+(24-5)*$AE$20))*(1+$C$6),2)*(IF($G$6="YES",$E$6,0)+IF($K$6="YES",$I$6,0)),2)</f>
        <v/>
      </c>
      <c r="D96" s="38">
        <f>ROUND((IF(24&lt;=15,$AD$21,$AD$21+(24-15)*$AE$21))*(1+$C$6),2)+ROUND(ROUND((IF(24&lt;=15,$AD$21,$AD$21+(24-15)*$AE$21))*(1+$C$6),2)*(IF($G$6="YES",$E$6,0)+IF($K$6="YES",$I$6,0)),2)</f>
        <v/>
      </c>
      <c r="E96" s="38">
        <f>ROUND((IF(24&lt;=2,$AD$22,IF(24&lt;=5,$AE$22,IF(24&lt;=10,$AF$22,IF(24&lt;=15,$AG$22,IF(24&lt;=20,$AH$22,IF(24&lt;=35,$AH$22+(24-20)*$AI$22,$AK$22+(24-35)*$AJ$22)))))))*(1+$C$6),2)+ROUND(ROUND((IF(24&lt;=2,$AD$22,IF(24&lt;=5,$AE$22,IF(24&lt;=10,$AF$22,IF(24&lt;=15,$AG$22,IF(24&lt;=20,$AH$22,IF(24&lt;=35,$AH$22+(24-20)*$AI$22,$AK$22+(24-35)*$AJ$22)))))))*(1+$C$6),2)*(IF($G$6="YES",$E$6,0)+IF($K$6="YES",$I$6,0)),2)</f>
        <v/>
      </c>
      <c r="F96" s="38">
        <f>ROUND((IF(24&lt;=2,$AD$23,IF(24&lt;=5,$AE$23,IF(24&lt;=10,$AF$23,IF(24&lt;=15,$AG$23,IF(24&lt;=20,$AH$23,IF(24&lt;=35,$AH$23+(24-20)*$AI$23,$AK$23+(24-35)*$AJ$23)))))))*(1+$C$6),2)+ROUND(ROUND((IF(24&lt;=2,$AD$23,IF(24&lt;=5,$AE$23,IF(24&lt;=10,$AF$23,IF(24&lt;=15,$AG$23,IF(24&lt;=20,$AH$23,IF(24&lt;=35,$AH$23+(24-20)*$AI$23,$AK$23+(24-35)*$AJ$23)))))))*(1+$C$6),2)*(IF($G$6="YES",$E$6,0)+IF($K$6="YES",$I$6,0)),2)</f>
        <v/>
      </c>
      <c r="G96" s="38">
        <f>ROUND((IF(24&lt;=2,$AD$24,IF(24&lt;=5,$AE$24,IF(24&lt;=10,$AF$24,IF(24&lt;=15,$AG$24,IF(24&lt;=20,$AH$24,IF(24&lt;=35,$AH$24+(24-20)*$AI$24,$AK$24+(24-35)*$AJ$24)))))))*(1+$C$6),2)+ROUND(ROUND((IF(24&lt;=2,$AD$24,IF(24&lt;=5,$AE$24,IF(24&lt;=10,$AF$24,IF(24&lt;=15,$AG$24,IF(24&lt;=20,$AH$24,IF(24&lt;=35,$AH$24+(24-20)*$AI$24,$AK$24+(24-35)*$AJ$24)))))))*(1+$C$6),2)*(IF($G$6="YES",$E$6,0)+IF($K$6="YES",$I$6,0)),2)</f>
        <v/>
      </c>
      <c r="H96" s="38">
        <f>ROUND((IF(24&lt;=2,$AD$25,$AD$25+(24-2)*$AE$25))*(1+$C$6),2)+ROUND(ROUND((IF(24&lt;=2,$AD$25,$AD$25+(24-2)*$AE$25))*(1+$C$6),2)*(IF($G$6="YES",$E$6,0)+IF($K$6="YES",$I$6,0)),2)+(24*$E$8*IF($C$8="YES",1,0))</f>
        <v/>
      </c>
      <c r="I96" s="39">
        <f>ROUND((IF(24&lt;=2,$AD$26,$AD$26+(24-2)*$AE$26))*(1+$C$6),2)+ROUND(ROUND((IF(24&lt;=2,$AD$26,$AD$26+(24-2)*$AE$26))*(1+$C$6),2)*(IF($G$6="YES",$E$6,0)+IF($K$6="YES",$I$6,0)),2)</f>
        <v/>
      </c>
    </row>
    <row r="97">
      <c r="B97" s="37" t="n">
        <v>25</v>
      </c>
      <c r="C97" s="38">
        <f>ROUND((IF(25&lt;=5,$AD$20,$AD$20+(25-5)*$AE$20))*(1+$C$6),2)+ROUND(ROUND((IF(25&lt;=5,$AD$20,$AD$20+(25-5)*$AE$20))*(1+$C$6),2)*(IF($G$6="YES",$E$6,0)+IF($K$6="YES",$I$6,0)),2)</f>
        <v/>
      </c>
      <c r="D97" s="38">
        <f>ROUND((IF(25&lt;=15,$AD$21,$AD$21+(25-15)*$AE$21))*(1+$C$6),2)+ROUND(ROUND((IF(25&lt;=15,$AD$21,$AD$21+(25-15)*$AE$21))*(1+$C$6),2)*(IF($G$6="YES",$E$6,0)+IF($K$6="YES",$I$6,0)),2)</f>
        <v/>
      </c>
      <c r="E97" s="38">
        <f>ROUND((IF(25&lt;=2,$AD$22,IF(25&lt;=5,$AE$22,IF(25&lt;=10,$AF$22,IF(25&lt;=15,$AG$22,IF(25&lt;=20,$AH$22,IF(25&lt;=35,$AH$22+(25-20)*$AI$22,$AK$22+(25-35)*$AJ$22)))))))*(1+$C$6),2)+ROUND(ROUND((IF(25&lt;=2,$AD$22,IF(25&lt;=5,$AE$22,IF(25&lt;=10,$AF$22,IF(25&lt;=15,$AG$22,IF(25&lt;=20,$AH$22,IF(25&lt;=35,$AH$22+(25-20)*$AI$22,$AK$22+(25-35)*$AJ$22)))))))*(1+$C$6),2)*(IF($G$6="YES",$E$6,0)+IF($K$6="YES",$I$6,0)),2)</f>
        <v/>
      </c>
      <c r="F97" s="38">
        <f>ROUND((IF(25&lt;=2,$AD$23,IF(25&lt;=5,$AE$23,IF(25&lt;=10,$AF$23,IF(25&lt;=15,$AG$23,IF(25&lt;=20,$AH$23,IF(25&lt;=35,$AH$23+(25-20)*$AI$23,$AK$23+(25-35)*$AJ$23)))))))*(1+$C$6),2)+ROUND(ROUND((IF(25&lt;=2,$AD$23,IF(25&lt;=5,$AE$23,IF(25&lt;=10,$AF$23,IF(25&lt;=15,$AG$23,IF(25&lt;=20,$AH$23,IF(25&lt;=35,$AH$23+(25-20)*$AI$23,$AK$23+(25-35)*$AJ$23)))))))*(1+$C$6),2)*(IF($G$6="YES",$E$6,0)+IF($K$6="YES",$I$6,0)),2)</f>
        <v/>
      </c>
      <c r="G97" s="38">
        <f>ROUND((IF(25&lt;=2,$AD$24,IF(25&lt;=5,$AE$24,IF(25&lt;=10,$AF$24,IF(25&lt;=15,$AG$24,IF(25&lt;=20,$AH$24,IF(25&lt;=35,$AH$24+(25-20)*$AI$24,$AK$24+(25-35)*$AJ$24)))))))*(1+$C$6),2)+ROUND(ROUND((IF(25&lt;=2,$AD$24,IF(25&lt;=5,$AE$24,IF(25&lt;=10,$AF$24,IF(25&lt;=15,$AG$24,IF(25&lt;=20,$AH$24,IF(25&lt;=35,$AH$24+(25-20)*$AI$24,$AK$24+(25-35)*$AJ$24)))))))*(1+$C$6),2)*(IF($G$6="YES",$E$6,0)+IF($K$6="YES",$I$6,0)),2)</f>
        <v/>
      </c>
      <c r="H97" s="38">
        <f>ROUND((IF(25&lt;=2,$AD$25,$AD$25+(25-2)*$AE$25))*(1+$C$6),2)+ROUND(ROUND((IF(25&lt;=2,$AD$25,$AD$25+(25-2)*$AE$25))*(1+$C$6),2)*(IF($G$6="YES",$E$6,0)+IF($K$6="YES",$I$6,0)),2)+(25*$E$8*IF($C$8="YES",1,0))</f>
        <v/>
      </c>
      <c r="I97" s="39">
        <f>ROUND((IF(25&lt;=2,$AD$26,$AD$26+(25-2)*$AE$26))*(1+$C$6),2)+ROUND(ROUND((IF(25&lt;=2,$AD$26,$AD$26+(25-2)*$AE$26))*(1+$C$6),2)*(IF($G$6="YES",$E$6,0)+IF($K$6="YES",$I$6,0)),2)</f>
        <v/>
      </c>
    </row>
    <row r="98">
      <c r="B98" s="40" t="n">
        <v>26</v>
      </c>
      <c r="C98" s="41">
        <f>ROUND((IF(26&lt;=5,$AD$20,$AD$20+(26-5)*$AE$20))*(1+$C$6),2)+ROUND(ROUND((IF(26&lt;=5,$AD$20,$AD$20+(26-5)*$AE$20))*(1+$C$6),2)*(IF($G$6="YES",$E$6,0)+IF($K$6="YES",$I$6,0)),2)</f>
        <v/>
      </c>
      <c r="D98" s="41">
        <f>ROUND((IF(26&lt;=15,$AD$21,$AD$21+(26-15)*$AE$21))*(1+$C$6),2)+ROUND(ROUND((IF(26&lt;=15,$AD$21,$AD$21+(26-15)*$AE$21))*(1+$C$6),2)*(IF($G$6="YES",$E$6,0)+IF($K$6="YES",$I$6,0)),2)</f>
        <v/>
      </c>
      <c r="E98" s="41">
        <f>ROUND((IF(26&lt;=2,$AD$22,IF(26&lt;=5,$AE$22,IF(26&lt;=10,$AF$22,IF(26&lt;=15,$AG$22,IF(26&lt;=20,$AH$22,IF(26&lt;=35,$AH$22+(26-20)*$AI$22,$AK$22+(26-35)*$AJ$22)))))))*(1+$C$6),2)+ROUND(ROUND((IF(26&lt;=2,$AD$22,IF(26&lt;=5,$AE$22,IF(26&lt;=10,$AF$22,IF(26&lt;=15,$AG$22,IF(26&lt;=20,$AH$22,IF(26&lt;=35,$AH$22+(26-20)*$AI$22,$AK$22+(26-35)*$AJ$22)))))))*(1+$C$6),2)*(IF($G$6="YES",$E$6,0)+IF($K$6="YES",$I$6,0)),2)</f>
        <v/>
      </c>
      <c r="F98" s="41">
        <f>ROUND((IF(26&lt;=2,$AD$23,IF(26&lt;=5,$AE$23,IF(26&lt;=10,$AF$23,IF(26&lt;=15,$AG$23,IF(26&lt;=20,$AH$23,IF(26&lt;=35,$AH$23+(26-20)*$AI$23,$AK$23+(26-35)*$AJ$23)))))))*(1+$C$6),2)+ROUND(ROUND((IF(26&lt;=2,$AD$23,IF(26&lt;=5,$AE$23,IF(26&lt;=10,$AF$23,IF(26&lt;=15,$AG$23,IF(26&lt;=20,$AH$23,IF(26&lt;=35,$AH$23+(26-20)*$AI$23,$AK$23+(26-35)*$AJ$23)))))))*(1+$C$6),2)*(IF($G$6="YES",$E$6,0)+IF($K$6="YES",$I$6,0)),2)</f>
        <v/>
      </c>
      <c r="G98" s="41">
        <f>ROUND((IF(26&lt;=2,$AD$24,IF(26&lt;=5,$AE$24,IF(26&lt;=10,$AF$24,IF(26&lt;=15,$AG$24,IF(26&lt;=20,$AH$24,IF(26&lt;=35,$AH$24+(26-20)*$AI$24,$AK$24+(26-35)*$AJ$24)))))))*(1+$C$6),2)+ROUND(ROUND((IF(26&lt;=2,$AD$24,IF(26&lt;=5,$AE$24,IF(26&lt;=10,$AF$24,IF(26&lt;=15,$AG$24,IF(26&lt;=20,$AH$24,IF(26&lt;=35,$AH$24+(26-20)*$AI$24,$AK$24+(26-35)*$AJ$24)))))))*(1+$C$6),2)*(IF($G$6="YES",$E$6,0)+IF($K$6="YES",$I$6,0)),2)</f>
        <v/>
      </c>
      <c r="H98" s="41">
        <f>ROUND((IF(26&lt;=2,$AD$25,$AD$25+(26-2)*$AE$25))*(1+$C$6),2)+ROUND(ROUND((IF(26&lt;=2,$AD$25,$AD$25+(26-2)*$AE$25))*(1+$C$6),2)*(IF($G$6="YES",$E$6,0)+IF($K$6="YES",$I$6,0)),2)+(26*$E$8*IF($C$8="YES",1,0))</f>
        <v/>
      </c>
      <c r="I98" s="42">
        <f>ROUND((IF(26&lt;=2,$AD$26,$AD$26+(26-2)*$AE$26))*(1+$C$6),2)+ROUND(ROUND((IF(26&lt;=2,$AD$26,$AD$26+(26-2)*$AE$26))*(1+$C$6),2)*(IF($G$6="YES",$E$6,0)+IF($K$6="YES",$I$6,0)),2)</f>
        <v/>
      </c>
    </row>
    <row r="99">
      <c r="B99" s="40" t="n">
        <v>27</v>
      </c>
      <c r="C99" s="41">
        <f>ROUND((IF(27&lt;=5,$AD$20,$AD$20+(27-5)*$AE$20))*(1+$C$6),2)+ROUND(ROUND((IF(27&lt;=5,$AD$20,$AD$20+(27-5)*$AE$20))*(1+$C$6),2)*(IF($G$6="YES",$E$6,0)+IF($K$6="YES",$I$6,0)),2)</f>
        <v/>
      </c>
      <c r="D99" s="41">
        <f>ROUND((IF(27&lt;=15,$AD$21,$AD$21+(27-15)*$AE$21))*(1+$C$6),2)+ROUND(ROUND((IF(27&lt;=15,$AD$21,$AD$21+(27-15)*$AE$21))*(1+$C$6),2)*(IF($G$6="YES",$E$6,0)+IF($K$6="YES",$I$6,0)),2)</f>
        <v/>
      </c>
      <c r="E99" s="41">
        <f>ROUND((IF(27&lt;=2,$AD$22,IF(27&lt;=5,$AE$22,IF(27&lt;=10,$AF$22,IF(27&lt;=15,$AG$22,IF(27&lt;=20,$AH$22,IF(27&lt;=35,$AH$22+(27-20)*$AI$22,$AK$22+(27-35)*$AJ$22)))))))*(1+$C$6),2)+ROUND(ROUND((IF(27&lt;=2,$AD$22,IF(27&lt;=5,$AE$22,IF(27&lt;=10,$AF$22,IF(27&lt;=15,$AG$22,IF(27&lt;=20,$AH$22,IF(27&lt;=35,$AH$22+(27-20)*$AI$22,$AK$22+(27-35)*$AJ$22)))))))*(1+$C$6),2)*(IF($G$6="YES",$E$6,0)+IF($K$6="YES",$I$6,0)),2)</f>
        <v/>
      </c>
      <c r="F99" s="41">
        <f>ROUND((IF(27&lt;=2,$AD$23,IF(27&lt;=5,$AE$23,IF(27&lt;=10,$AF$23,IF(27&lt;=15,$AG$23,IF(27&lt;=20,$AH$23,IF(27&lt;=35,$AH$23+(27-20)*$AI$23,$AK$23+(27-35)*$AJ$23)))))))*(1+$C$6),2)+ROUND(ROUND((IF(27&lt;=2,$AD$23,IF(27&lt;=5,$AE$23,IF(27&lt;=10,$AF$23,IF(27&lt;=15,$AG$23,IF(27&lt;=20,$AH$23,IF(27&lt;=35,$AH$23+(27-20)*$AI$23,$AK$23+(27-35)*$AJ$23)))))))*(1+$C$6),2)*(IF($G$6="YES",$E$6,0)+IF($K$6="YES",$I$6,0)),2)</f>
        <v/>
      </c>
      <c r="G99" s="41">
        <f>ROUND((IF(27&lt;=2,$AD$24,IF(27&lt;=5,$AE$24,IF(27&lt;=10,$AF$24,IF(27&lt;=15,$AG$24,IF(27&lt;=20,$AH$24,IF(27&lt;=35,$AH$24+(27-20)*$AI$24,$AK$24+(27-35)*$AJ$24)))))))*(1+$C$6),2)+ROUND(ROUND((IF(27&lt;=2,$AD$24,IF(27&lt;=5,$AE$24,IF(27&lt;=10,$AF$24,IF(27&lt;=15,$AG$24,IF(27&lt;=20,$AH$24,IF(27&lt;=35,$AH$24+(27-20)*$AI$24,$AK$24+(27-35)*$AJ$24)))))))*(1+$C$6),2)*(IF($G$6="YES",$E$6,0)+IF($K$6="YES",$I$6,0)),2)</f>
        <v/>
      </c>
      <c r="H99" s="41">
        <f>ROUND((IF(27&lt;=2,$AD$25,$AD$25+(27-2)*$AE$25))*(1+$C$6),2)+ROUND(ROUND((IF(27&lt;=2,$AD$25,$AD$25+(27-2)*$AE$25))*(1+$C$6),2)*(IF($G$6="YES",$E$6,0)+IF($K$6="YES",$I$6,0)),2)+(27*$E$8*IF($C$8="YES",1,0))</f>
        <v/>
      </c>
      <c r="I99" s="42">
        <f>ROUND((IF(27&lt;=2,$AD$26,$AD$26+(27-2)*$AE$26))*(1+$C$6),2)+ROUND(ROUND((IF(27&lt;=2,$AD$26,$AD$26+(27-2)*$AE$26))*(1+$C$6),2)*(IF($G$6="YES",$E$6,0)+IF($K$6="YES",$I$6,0)),2)</f>
        <v/>
      </c>
    </row>
    <row r="100">
      <c r="B100" s="40" t="n">
        <v>28</v>
      </c>
      <c r="C100" s="41">
        <f>ROUND((IF(28&lt;=5,$AD$20,$AD$20+(28-5)*$AE$20))*(1+$C$6),2)+ROUND(ROUND((IF(28&lt;=5,$AD$20,$AD$20+(28-5)*$AE$20))*(1+$C$6),2)*(IF($G$6="YES",$E$6,0)+IF($K$6="YES",$I$6,0)),2)</f>
        <v/>
      </c>
      <c r="D100" s="41">
        <f>ROUND((IF(28&lt;=15,$AD$21,$AD$21+(28-15)*$AE$21))*(1+$C$6),2)+ROUND(ROUND((IF(28&lt;=15,$AD$21,$AD$21+(28-15)*$AE$21))*(1+$C$6),2)*(IF($G$6="YES",$E$6,0)+IF($K$6="YES",$I$6,0)),2)</f>
        <v/>
      </c>
      <c r="E100" s="41">
        <f>ROUND((IF(28&lt;=2,$AD$22,IF(28&lt;=5,$AE$22,IF(28&lt;=10,$AF$22,IF(28&lt;=15,$AG$22,IF(28&lt;=20,$AH$22,IF(28&lt;=35,$AH$22+(28-20)*$AI$22,$AK$22+(28-35)*$AJ$22)))))))*(1+$C$6),2)+ROUND(ROUND((IF(28&lt;=2,$AD$22,IF(28&lt;=5,$AE$22,IF(28&lt;=10,$AF$22,IF(28&lt;=15,$AG$22,IF(28&lt;=20,$AH$22,IF(28&lt;=35,$AH$22+(28-20)*$AI$22,$AK$22+(28-35)*$AJ$22)))))))*(1+$C$6),2)*(IF($G$6="YES",$E$6,0)+IF($K$6="YES",$I$6,0)),2)</f>
        <v/>
      </c>
      <c r="F100" s="41">
        <f>ROUND((IF(28&lt;=2,$AD$23,IF(28&lt;=5,$AE$23,IF(28&lt;=10,$AF$23,IF(28&lt;=15,$AG$23,IF(28&lt;=20,$AH$23,IF(28&lt;=35,$AH$23+(28-20)*$AI$23,$AK$23+(28-35)*$AJ$23)))))))*(1+$C$6),2)+ROUND(ROUND((IF(28&lt;=2,$AD$23,IF(28&lt;=5,$AE$23,IF(28&lt;=10,$AF$23,IF(28&lt;=15,$AG$23,IF(28&lt;=20,$AH$23,IF(28&lt;=35,$AH$23+(28-20)*$AI$23,$AK$23+(28-35)*$AJ$23)))))))*(1+$C$6),2)*(IF($G$6="YES",$E$6,0)+IF($K$6="YES",$I$6,0)),2)</f>
        <v/>
      </c>
      <c r="G100" s="41">
        <f>ROUND((IF(28&lt;=2,$AD$24,IF(28&lt;=5,$AE$24,IF(28&lt;=10,$AF$24,IF(28&lt;=15,$AG$24,IF(28&lt;=20,$AH$24,IF(28&lt;=35,$AH$24+(28-20)*$AI$24,$AK$24+(28-35)*$AJ$24)))))))*(1+$C$6),2)+ROUND(ROUND((IF(28&lt;=2,$AD$24,IF(28&lt;=5,$AE$24,IF(28&lt;=10,$AF$24,IF(28&lt;=15,$AG$24,IF(28&lt;=20,$AH$24,IF(28&lt;=35,$AH$24+(28-20)*$AI$24,$AK$24+(28-35)*$AJ$24)))))))*(1+$C$6),2)*(IF($G$6="YES",$E$6,0)+IF($K$6="YES",$I$6,0)),2)</f>
        <v/>
      </c>
      <c r="H100" s="41">
        <f>ROUND((IF(28&lt;=2,$AD$25,$AD$25+(28-2)*$AE$25))*(1+$C$6),2)+ROUND(ROUND((IF(28&lt;=2,$AD$25,$AD$25+(28-2)*$AE$25))*(1+$C$6),2)*(IF($G$6="YES",$E$6,0)+IF($K$6="YES",$I$6,0)),2)+(28*$E$8*IF($C$8="YES",1,0))</f>
        <v/>
      </c>
      <c r="I100" s="42">
        <f>ROUND((IF(28&lt;=2,$AD$26,$AD$26+(28-2)*$AE$26))*(1+$C$6),2)+ROUND(ROUND((IF(28&lt;=2,$AD$26,$AD$26+(28-2)*$AE$26))*(1+$C$6),2)*(IF($G$6="YES",$E$6,0)+IF($K$6="YES",$I$6,0)),2)</f>
        <v/>
      </c>
    </row>
    <row r="101">
      <c r="B101" s="40" t="n">
        <v>29</v>
      </c>
      <c r="C101" s="41">
        <f>ROUND((IF(29&lt;=5,$AD$20,$AD$20+(29-5)*$AE$20))*(1+$C$6),2)+ROUND(ROUND((IF(29&lt;=5,$AD$20,$AD$20+(29-5)*$AE$20))*(1+$C$6),2)*(IF($G$6="YES",$E$6,0)+IF($K$6="YES",$I$6,0)),2)</f>
        <v/>
      </c>
      <c r="D101" s="41">
        <f>ROUND((IF(29&lt;=15,$AD$21,$AD$21+(29-15)*$AE$21))*(1+$C$6),2)+ROUND(ROUND((IF(29&lt;=15,$AD$21,$AD$21+(29-15)*$AE$21))*(1+$C$6),2)*(IF($G$6="YES",$E$6,0)+IF($K$6="YES",$I$6,0)),2)</f>
        <v/>
      </c>
      <c r="E101" s="41">
        <f>ROUND((IF(29&lt;=2,$AD$22,IF(29&lt;=5,$AE$22,IF(29&lt;=10,$AF$22,IF(29&lt;=15,$AG$22,IF(29&lt;=20,$AH$22,IF(29&lt;=35,$AH$22+(29-20)*$AI$22,$AK$22+(29-35)*$AJ$22)))))))*(1+$C$6),2)+ROUND(ROUND((IF(29&lt;=2,$AD$22,IF(29&lt;=5,$AE$22,IF(29&lt;=10,$AF$22,IF(29&lt;=15,$AG$22,IF(29&lt;=20,$AH$22,IF(29&lt;=35,$AH$22+(29-20)*$AI$22,$AK$22+(29-35)*$AJ$22)))))))*(1+$C$6),2)*(IF($G$6="YES",$E$6,0)+IF($K$6="YES",$I$6,0)),2)</f>
        <v/>
      </c>
      <c r="F101" s="41">
        <f>ROUND((IF(29&lt;=2,$AD$23,IF(29&lt;=5,$AE$23,IF(29&lt;=10,$AF$23,IF(29&lt;=15,$AG$23,IF(29&lt;=20,$AH$23,IF(29&lt;=35,$AH$23+(29-20)*$AI$23,$AK$23+(29-35)*$AJ$23)))))))*(1+$C$6),2)+ROUND(ROUND((IF(29&lt;=2,$AD$23,IF(29&lt;=5,$AE$23,IF(29&lt;=10,$AF$23,IF(29&lt;=15,$AG$23,IF(29&lt;=20,$AH$23,IF(29&lt;=35,$AH$23+(29-20)*$AI$23,$AK$23+(29-35)*$AJ$23)))))))*(1+$C$6),2)*(IF($G$6="YES",$E$6,0)+IF($K$6="YES",$I$6,0)),2)</f>
        <v/>
      </c>
      <c r="G101" s="41">
        <f>ROUND((IF(29&lt;=2,$AD$24,IF(29&lt;=5,$AE$24,IF(29&lt;=10,$AF$24,IF(29&lt;=15,$AG$24,IF(29&lt;=20,$AH$24,IF(29&lt;=35,$AH$24+(29-20)*$AI$24,$AK$24+(29-35)*$AJ$24)))))))*(1+$C$6),2)+ROUND(ROUND((IF(29&lt;=2,$AD$24,IF(29&lt;=5,$AE$24,IF(29&lt;=10,$AF$24,IF(29&lt;=15,$AG$24,IF(29&lt;=20,$AH$24,IF(29&lt;=35,$AH$24+(29-20)*$AI$24,$AK$24+(29-35)*$AJ$24)))))))*(1+$C$6),2)*(IF($G$6="YES",$E$6,0)+IF($K$6="YES",$I$6,0)),2)</f>
        <v/>
      </c>
      <c r="H101" s="41">
        <f>ROUND((IF(29&lt;=2,$AD$25,$AD$25+(29-2)*$AE$25))*(1+$C$6),2)+ROUND(ROUND((IF(29&lt;=2,$AD$25,$AD$25+(29-2)*$AE$25))*(1+$C$6),2)*(IF($G$6="YES",$E$6,0)+IF($K$6="YES",$I$6,0)),2)+(29*$E$8*IF($C$8="YES",1,0))</f>
        <v/>
      </c>
      <c r="I101" s="42">
        <f>ROUND((IF(29&lt;=2,$AD$26,$AD$26+(29-2)*$AE$26))*(1+$C$6),2)+ROUND(ROUND((IF(29&lt;=2,$AD$26,$AD$26+(29-2)*$AE$26))*(1+$C$6),2)*(IF($G$6="YES",$E$6,0)+IF($K$6="YES",$I$6,0)),2)</f>
        <v/>
      </c>
    </row>
    <row r="102">
      <c r="B102" s="40" t="n">
        <v>30</v>
      </c>
      <c r="C102" s="41">
        <f>ROUND((IF(30&lt;=5,$AD$20,$AD$20+(30-5)*$AE$20))*(1+$C$6),2)+ROUND(ROUND((IF(30&lt;=5,$AD$20,$AD$20+(30-5)*$AE$20))*(1+$C$6),2)*(IF($G$6="YES",$E$6,0)+IF($K$6="YES",$I$6,0)),2)</f>
        <v/>
      </c>
      <c r="D102" s="41">
        <f>ROUND((IF(30&lt;=15,$AD$21,$AD$21+(30-15)*$AE$21))*(1+$C$6),2)+ROUND(ROUND((IF(30&lt;=15,$AD$21,$AD$21+(30-15)*$AE$21))*(1+$C$6),2)*(IF($G$6="YES",$E$6,0)+IF($K$6="YES",$I$6,0)),2)</f>
        <v/>
      </c>
      <c r="E102" s="41">
        <f>ROUND((IF(30&lt;=2,$AD$22,IF(30&lt;=5,$AE$22,IF(30&lt;=10,$AF$22,IF(30&lt;=15,$AG$22,IF(30&lt;=20,$AH$22,IF(30&lt;=35,$AH$22+(30-20)*$AI$22,$AK$22+(30-35)*$AJ$22)))))))*(1+$C$6),2)+ROUND(ROUND((IF(30&lt;=2,$AD$22,IF(30&lt;=5,$AE$22,IF(30&lt;=10,$AF$22,IF(30&lt;=15,$AG$22,IF(30&lt;=20,$AH$22,IF(30&lt;=35,$AH$22+(30-20)*$AI$22,$AK$22+(30-35)*$AJ$22)))))))*(1+$C$6),2)*(IF($G$6="YES",$E$6,0)+IF($K$6="YES",$I$6,0)),2)</f>
        <v/>
      </c>
      <c r="F102" s="41">
        <f>ROUND((IF(30&lt;=2,$AD$23,IF(30&lt;=5,$AE$23,IF(30&lt;=10,$AF$23,IF(30&lt;=15,$AG$23,IF(30&lt;=20,$AH$23,IF(30&lt;=35,$AH$23+(30-20)*$AI$23,$AK$23+(30-35)*$AJ$23)))))))*(1+$C$6),2)+ROUND(ROUND((IF(30&lt;=2,$AD$23,IF(30&lt;=5,$AE$23,IF(30&lt;=10,$AF$23,IF(30&lt;=15,$AG$23,IF(30&lt;=20,$AH$23,IF(30&lt;=35,$AH$23+(30-20)*$AI$23,$AK$23+(30-35)*$AJ$23)))))))*(1+$C$6),2)*(IF($G$6="YES",$E$6,0)+IF($K$6="YES",$I$6,0)),2)</f>
        <v/>
      </c>
      <c r="G102" s="41">
        <f>ROUND((IF(30&lt;=2,$AD$24,IF(30&lt;=5,$AE$24,IF(30&lt;=10,$AF$24,IF(30&lt;=15,$AG$24,IF(30&lt;=20,$AH$24,IF(30&lt;=35,$AH$24+(30-20)*$AI$24,$AK$24+(30-35)*$AJ$24)))))))*(1+$C$6),2)+ROUND(ROUND((IF(30&lt;=2,$AD$24,IF(30&lt;=5,$AE$24,IF(30&lt;=10,$AF$24,IF(30&lt;=15,$AG$24,IF(30&lt;=20,$AH$24,IF(30&lt;=35,$AH$24+(30-20)*$AI$24,$AK$24+(30-35)*$AJ$24)))))))*(1+$C$6),2)*(IF($G$6="YES",$E$6,0)+IF($K$6="YES",$I$6,0)),2)</f>
        <v/>
      </c>
      <c r="H102" s="41">
        <f>ROUND((IF(30&lt;=2,$AD$25,$AD$25+(30-2)*$AE$25))*(1+$C$6),2)+ROUND(ROUND((IF(30&lt;=2,$AD$25,$AD$25+(30-2)*$AE$25))*(1+$C$6),2)*(IF($G$6="YES",$E$6,0)+IF($K$6="YES",$I$6,0)),2)+(30*$E$8*IF($C$8="YES",1,0))</f>
        <v/>
      </c>
      <c r="I102" s="42">
        <f>ROUND((IF(30&lt;=2,$AD$26,$AD$26+(30-2)*$AE$26))*(1+$C$6),2)+ROUND(ROUND((IF(30&lt;=2,$AD$26,$AD$26+(30-2)*$AE$26))*(1+$C$6),2)*(IF($G$6="YES",$E$6,0)+IF($K$6="YES",$I$6,0)),2)</f>
        <v/>
      </c>
    </row>
    <row r="103">
      <c r="B103" s="37" t="n">
        <v>31</v>
      </c>
      <c r="C103" s="38">
        <f>ROUND((IF(31&lt;=5,$AD$20,$AD$20+(31-5)*$AE$20))*(1+$C$6),2)+ROUND(ROUND((IF(31&lt;=5,$AD$20,$AD$20+(31-5)*$AE$20))*(1+$C$6),2)*(IF($G$6="YES",$E$6,0)+IF($K$6="YES",$I$6,0)),2)</f>
        <v/>
      </c>
      <c r="D103" s="38">
        <f>ROUND((IF(31&lt;=15,$AD$21,$AD$21+(31-15)*$AE$21))*(1+$C$6),2)+ROUND(ROUND((IF(31&lt;=15,$AD$21,$AD$21+(31-15)*$AE$21))*(1+$C$6),2)*(IF($G$6="YES",$E$6,0)+IF($K$6="YES",$I$6,0)),2)</f>
        <v/>
      </c>
      <c r="E103" s="38">
        <f>ROUND((IF(31&lt;=2,$AD$22,IF(31&lt;=5,$AE$22,IF(31&lt;=10,$AF$22,IF(31&lt;=15,$AG$22,IF(31&lt;=20,$AH$22,IF(31&lt;=35,$AH$22+(31-20)*$AI$22,$AK$22+(31-35)*$AJ$22)))))))*(1+$C$6),2)+ROUND(ROUND((IF(31&lt;=2,$AD$22,IF(31&lt;=5,$AE$22,IF(31&lt;=10,$AF$22,IF(31&lt;=15,$AG$22,IF(31&lt;=20,$AH$22,IF(31&lt;=35,$AH$22+(31-20)*$AI$22,$AK$22+(31-35)*$AJ$22)))))))*(1+$C$6),2)*(IF($G$6="YES",$E$6,0)+IF($K$6="YES",$I$6,0)),2)</f>
        <v/>
      </c>
      <c r="F103" s="38">
        <f>ROUND((IF(31&lt;=2,$AD$23,IF(31&lt;=5,$AE$23,IF(31&lt;=10,$AF$23,IF(31&lt;=15,$AG$23,IF(31&lt;=20,$AH$23,IF(31&lt;=35,$AH$23+(31-20)*$AI$23,$AK$23+(31-35)*$AJ$23)))))))*(1+$C$6),2)+ROUND(ROUND((IF(31&lt;=2,$AD$23,IF(31&lt;=5,$AE$23,IF(31&lt;=10,$AF$23,IF(31&lt;=15,$AG$23,IF(31&lt;=20,$AH$23,IF(31&lt;=35,$AH$23+(31-20)*$AI$23,$AK$23+(31-35)*$AJ$23)))))))*(1+$C$6),2)*(IF($G$6="YES",$E$6,0)+IF($K$6="YES",$I$6,0)),2)</f>
        <v/>
      </c>
      <c r="G103" s="38">
        <f>ROUND((IF(31&lt;=2,$AD$24,IF(31&lt;=5,$AE$24,IF(31&lt;=10,$AF$24,IF(31&lt;=15,$AG$24,IF(31&lt;=20,$AH$24,IF(31&lt;=35,$AH$24+(31-20)*$AI$24,$AK$24+(31-35)*$AJ$24)))))))*(1+$C$6),2)+ROUND(ROUND((IF(31&lt;=2,$AD$24,IF(31&lt;=5,$AE$24,IF(31&lt;=10,$AF$24,IF(31&lt;=15,$AG$24,IF(31&lt;=20,$AH$24,IF(31&lt;=35,$AH$24+(31-20)*$AI$24,$AK$24+(31-35)*$AJ$24)))))))*(1+$C$6),2)*(IF($G$6="YES",$E$6,0)+IF($K$6="YES",$I$6,0)),2)</f>
        <v/>
      </c>
      <c r="H103" s="38">
        <f>ROUND((IF(31&lt;=2,$AD$25,$AD$25+(31-2)*$AE$25))*(1+$C$6),2)+ROUND(ROUND((IF(31&lt;=2,$AD$25,$AD$25+(31-2)*$AE$25))*(1+$C$6),2)*(IF($G$6="YES",$E$6,0)+IF($K$6="YES",$I$6,0)),2)+(31*$E$8*IF($C$8="YES",1,0))</f>
        <v/>
      </c>
      <c r="I103" s="39">
        <f>ROUND((IF(31&lt;=2,$AD$26,$AD$26+(31-2)*$AE$26))*(1+$C$6),2)+ROUND(ROUND((IF(31&lt;=2,$AD$26,$AD$26+(31-2)*$AE$26))*(1+$C$6),2)*(IF($G$6="YES",$E$6,0)+IF($K$6="YES",$I$6,0)),2)</f>
        <v/>
      </c>
    </row>
    <row r="104">
      <c r="B104" s="37" t="n">
        <v>32</v>
      </c>
      <c r="C104" s="38">
        <f>ROUND((IF(32&lt;=5,$AD$20,$AD$20+(32-5)*$AE$20))*(1+$C$6),2)+ROUND(ROUND((IF(32&lt;=5,$AD$20,$AD$20+(32-5)*$AE$20))*(1+$C$6),2)*(IF($G$6="YES",$E$6,0)+IF($K$6="YES",$I$6,0)),2)</f>
        <v/>
      </c>
      <c r="D104" s="38">
        <f>ROUND((IF(32&lt;=15,$AD$21,$AD$21+(32-15)*$AE$21))*(1+$C$6),2)+ROUND(ROUND((IF(32&lt;=15,$AD$21,$AD$21+(32-15)*$AE$21))*(1+$C$6),2)*(IF($G$6="YES",$E$6,0)+IF($K$6="YES",$I$6,0)),2)</f>
        <v/>
      </c>
      <c r="E104" s="38">
        <f>ROUND((IF(32&lt;=2,$AD$22,IF(32&lt;=5,$AE$22,IF(32&lt;=10,$AF$22,IF(32&lt;=15,$AG$22,IF(32&lt;=20,$AH$22,IF(32&lt;=35,$AH$22+(32-20)*$AI$22,$AK$22+(32-35)*$AJ$22)))))))*(1+$C$6),2)+ROUND(ROUND((IF(32&lt;=2,$AD$22,IF(32&lt;=5,$AE$22,IF(32&lt;=10,$AF$22,IF(32&lt;=15,$AG$22,IF(32&lt;=20,$AH$22,IF(32&lt;=35,$AH$22+(32-20)*$AI$22,$AK$22+(32-35)*$AJ$22)))))))*(1+$C$6),2)*(IF($G$6="YES",$E$6,0)+IF($K$6="YES",$I$6,0)),2)</f>
        <v/>
      </c>
      <c r="F104" s="38">
        <f>ROUND((IF(32&lt;=2,$AD$23,IF(32&lt;=5,$AE$23,IF(32&lt;=10,$AF$23,IF(32&lt;=15,$AG$23,IF(32&lt;=20,$AH$23,IF(32&lt;=35,$AH$23+(32-20)*$AI$23,$AK$23+(32-35)*$AJ$23)))))))*(1+$C$6),2)+ROUND(ROUND((IF(32&lt;=2,$AD$23,IF(32&lt;=5,$AE$23,IF(32&lt;=10,$AF$23,IF(32&lt;=15,$AG$23,IF(32&lt;=20,$AH$23,IF(32&lt;=35,$AH$23+(32-20)*$AI$23,$AK$23+(32-35)*$AJ$23)))))))*(1+$C$6),2)*(IF($G$6="YES",$E$6,0)+IF($K$6="YES",$I$6,0)),2)</f>
        <v/>
      </c>
      <c r="G104" s="38">
        <f>ROUND((IF(32&lt;=2,$AD$24,IF(32&lt;=5,$AE$24,IF(32&lt;=10,$AF$24,IF(32&lt;=15,$AG$24,IF(32&lt;=20,$AH$24,IF(32&lt;=35,$AH$24+(32-20)*$AI$24,$AK$24+(32-35)*$AJ$24)))))))*(1+$C$6),2)+ROUND(ROUND((IF(32&lt;=2,$AD$24,IF(32&lt;=5,$AE$24,IF(32&lt;=10,$AF$24,IF(32&lt;=15,$AG$24,IF(32&lt;=20,$AH$24,IF(32&lt;=35,$AH$24+(32-20)*$AI$24,$AK$24+(32-35)*$AJ$24)))))))*(1+$C$6),2)*(IF($G$6="YES",$E$6,0)+IF($K$6="YES",$I$6,0)),2)</f>
        <v/>
      </c>
      <c r="H104" s="38">
        <f>ROUND((IF(32&lt;=2,$AD$25,$AD$25+(32-2)*$AE$25))*(1+$C$6),2)+ROUND(ROUND((IF(32&lt;=2,$AD$25,$AD$25+(32-2)*$AE$25))*(1+$C$6),2)*(IF($G$6="YES",$E$6,0)+IF($K$6="YES",$I$6,0)),2)+(32*$E$8*IF($C$8="YES",1,0))</f>
        <v/>
      </c>
      <c r="I104" s="39">
        <f>ROUND((IF(32&lt;=2,$AD$26,$AD$26+(32-2)*$AE$26))*(1+$C$6),2)+ROUND(ROUND((IF(32&lt;=2,$AD$26,$AD$26+(32-2)*$AE$26))*(1+$C$6),2)*(IF($G$6="YES",$E$6,0)+IF($K$6="YES",$I$6,0)),2)</f>
        <v/>
      </c>
    </row>
    <row r="105">
      <c r="B105" s="37" t="n">
        <v>33</v>
      </c>
      <c r="C105" s="38">
        <f>ROUND((IF(33&lt;=5,$AD$20,$AD$20+(33-5)*$AE$20))*(1+$C$6),2)+ROUND(ROUND((IF(33&lt;=5,$AD$20,$AD$20+(33-5)*$AE$20))*(1+$C$6),2)*(IF($G$6="YES",$E$6,0)+IF($K$6="YES",$I$6,0)),2)</f>
        <v/>
      </c>
      <c r="D105" s="38">
        <f>ROUND((IF(33&lt;=15,$AD$21,$AD$21+(33-15)*$AE$21))*(1+$C$6),2)+ROUND(ROUND((IF(33&lt;=15,$AD$21,$AD$21+(33-15)*$AE$21))*(1+$C$6),2)*(IF($G$6="YES",$E$6,0)+IF($K$6="YES",$I$6,0)),2)</f>
        <v/>
      </c>
      <c r="E105" s="38">
        <f>ROUND((IF(33&lt;=2,$AD$22,IF(33&lt;=5,$AE$22,IF(33&lt;=10,$AF$22,IF(33&lt;=15,$AG$22,IF(33&lt;=20,$AH$22,IF(33&lt;=35,$AH$22+(33-20)*$AI$22,$AK$22+(33-35)*$AJ$22)))))))*(1+$C$6),2)+ROUND(ROUND((IF(33&lt;=2,$AD$22,IF(33&lt;=5,$AE$22,IF(33&lt;=10,$AF$22,IF(33&lt;=15,$AG$22,IF(33&lt;=20,$AH$22,IF(33&lt;=35,$AH$22+(33-20)*$AI$22,$AK$22+(33-35)*$AJ$22)))))))*(1+$C$6),2)*(IF($G$6="YES",$E$6,0)+IF($K$6="YES",$I$6,0)),2)</f>
        <v/>
      </c>
      <c r="F105" s="38">
        <f>ROUND((IF(33&lt;=2,$AD$23,IF(33&lt;=5,$AE$23,IF(33&lt;=10,$AF$23,IF(33&lt;=15,$AG$23,IF(33&lt;=20,$AH$23,IF(33&lt;=35,$AH$23+(33-20)*$AI$23,$AK$23+(33-35)*$AJ$23)))))))*(1+$C$6),2)+ROUND(ROUND((IF(33&lt;=2,$AD$23,IF(33&lt;=5,$AE$23,IF(33&lt;=10,$AF$23,IF(33&lt;=15,$AG$23,IF(33&lt;=20,$AH$23,IF(33&lt;=35,$AH$23+(33-20)*$AI$23,$AK$23+(33-35)*$AJ$23)))))))*(1+$C$6),2)*(IF($G$6="YES",$E$6,0)+IF($K$6="YES",$I$6,0)),2)</f>
        <v/>
      </c>
      <c r="G105" s="38">
        <f>ROUND((IF(33&lt;=2,$AD$24,IF(33&lt;=5,$AE$24,IF(33&lt;=10,$AF$24,IF(33&lt;=15,$AG$24,IF(33&lt;=20,$AH$24,IF(33&lt;=35,$AH$24+(33-20)*$AI$24,$AK$24+(33-35)*$AJ$24)))))))*(1+$C$6),2)+ROUND(ROUND((IF(33&lt;=2,$AD$24,IF(33&lt;=5,$AE$24,IF(33&lt;=10,$AF$24,IF(33&lt;=15,$AG$24,IF(33&lt;=20,$AH$24,IF(33&lt;=35,$AH$24+(33-20)*$AI$24,$AK$24+(33-35)*$AJ$24)))))))*(1+$C$6),2)*(IF($G$6="YES",$E$6,0)+IF($K$6="YES",$I$6,0)),2)</f>
        <v/>
      </c>
      <c r="H105" s="38">
        <f>ROUND((IF(33&lt;=2,$AD$25,$AD$25+(33-2)*$AE$25))*(1+$C$6),2)+ROUND(ROUND((IF(33&lt;=2,$AD$25,$AD$25+(33-2)*$AE$25))*(1+$C$6),2)*(IF($G$6="YES",$E$6,0)+IF($K$6="YES",$I$6,0)),2)+(33*$E$8*IF($C$8="YES",1,0))</f>
        <v/>
      </c>
      <c r="I105" s="39">
        <f>ROUND((IF(33&lt;=2,$AD$26,$AD$26+(33-2)*$AE$26))*(1+$C$6),2)+ROUND(ROUND((IF(33&lt;=2,$AD$26,$AD$26+(33-2)*$AE$26))*(1+$C$6),2)*(IF($G$6="YES",$E$6,0)+IF($K$6="YES",$I$6,0)),2)</f>
        <v/>
      </c>
    </row>
    <row r="106">
      <c r="B106" s="37" t="n">
        <v>34</v>
      </c>
      <c r="C106" s="38">
        <f>ROUND((IF(34&lt;=5,$AD$20,$AD$20+(34-5)*$AE$20))*(1+$C$6),2)+ROUND(ROUND((IF(34&lt;=5,$AD$20,$AD$20+(34-5)*$AE$20))*(1+$C$6),2)*(IF($G$6="YES",$E$6,0)+IF($K$6="YES",$I$6,0)),2)</f>
        <v/>
      </c>
      <c r="D106" s="38">
        <f>ROUND((IF(34&lt;=15,$AD$21,$AD$21+(34-15)*$AE$21))*(1+$C$6),2)+ROUND(ROUND((IF(34&lt;=15,$AD$21,$AD$21+(34-15)*$AE$21))*(1+$C$6),2)*(IF($G$6="YES",$E$6,0)+IF($K$6="YES",$I$6,0)),2)</f>
        <v/>
      </c>
      <c r="E106" s="38">
        <f>ROUND((IF(34&lt;=2,$AD$22,IF(34&lt;=5,$AE$22,IF(34&lt;=10,$AF$22,IF(34&lt;=15,$AG$22,IF(34&lt;=20,$AH$22,IF(34&lt;=35,$AH$22+(34-20)*$AI$22,$AK$22+(34-35)*$AJ$22)))))))*(1+$C$6),2)+ROUND(ROUND((IF(34&lt;=2,$AD$22,IF(34&lt;=5,$AE$22,IF(34&lt;=10,$AF$22,IF(34&lt;=15,$AG$22,IF(34&lt;=20,$AH$22,IF(34&lt;=35,$AH$22+(34-20)*$AI$22,$AK$22+(34-35)*$AJ$22)))))))*(1+$C$6),2)*(IF($G$6="YES",$E$6,0)+IF($K$6="YES",$I$6,0)),2)</f>
        <v/>
      </c>
      <c r="F106" s="38">
        <f>ROUND((IF(34&lt;=2,$AD$23,IF(34&lt;=5,$AE$23,IF(34&lt;=10,$AF$23,IF(34&lt;=15,$AG$23,IF(34&lt;=20,$AH$23,IF(34&lt;=35,$AH$23+(34-20)*$AI$23,$AK$23+(34-35)*$AJ$23)))))))*(1+$C$6),2)+ROUND(ROUND((IF(34&lt;=2,$AD$23,IF(34&lt;=5,$AE$23,IF(34&lt;=10,$AF$23,IF(34&lt;=15,$AG$23,IF(34&lt;=20,$AH$23,IF(34&lt;=35,$AH$23+(34-20)*$AI$23,$AK$23+(34-35)*$AJ$23)))))))*(1+$C$6),2)*(IF($G$6="YES",$E$6,0)+IF($K$6="YES",$I$6,0)),2)</f>
        <v/>
      </c>
      <c r="G106" s="38">
        <f>ROUND((IF(34&lt;=2,$AD$24,IF(34&lt;=5,$AE$24,IF(34&lt;=10,$AF$24,IF(34&lt;=15,$AG$24,IF(34&lt;=20,$AH$24,IF(34&lt;=35,$AH$24+(34-20)*$AI$24,$AK$24+(34-35)*$AJ$24)))))))*(1+$C$6),2)+ROUND(ROUND((IF(34&lt;=2,$AD$24,IF(34&lt;=5,$AE$24,IF(34&lt;=10,$AF$24,IF(34&lt;=15,$AG$24,IF(34&lt;=20,$AH$24,IF(34&lt;=35,$AH$24+(34-20)*$AI$24,$AK$24+(34-35)*$AJ$24)))))))*(1+$C$6),2)*(IF($G$6="YES",$E$6,0)+IF($K$6="YES",$I$6,0)),2)</f>
        <v/>
      </c>
      <c r="H106" s="38">
        <f>ROUND((IF(34&lt;=2,$AD$25,$AD$25+(34-2)*$AE$25))*(1+$C$6),2)+ROUND(ROUND((IF(34&lt;=2,$AD$25,$AD$25+(34-2)*$AE$25))*(1+$C$6),2)*(IF($G$6="YES",$E$6,0)+IF($K$6="YES",$I$6,0)),2)+(34*$E$8*IF($C$8="YES",1,0))</f>
        <v/>
      </c>
      <c r="I106" s="39">
        <f>ROUND((IF(34&lt;=2,$AD$26,$AD$26+(34-2)*$AE$26))*(1+$C$6),2)+ROUND(ROUND((IF(34&lt;=2,$AD$26,$AD$26+(34-2)*$AE$26))*(1+$C$6),2)*(IF($G$6="YES",$E$6,0)+IF($K$6="YES",$I$6,0)),2)</f>
        <v/>
      </c>
    </row>
    <row r="107">
      <c r="B107" s="37" t="n">
        <v>35</v>
      </c>
      <c r="C107" s="38">
        <f>ROUND((IF(35&lt;=5,$AD$20,$AD$20+(35-5)*$AE$20))*(1+$C$6),2)+ROUND(ROUND((IF(35&lt;=5,$AD$20,$AD$20+(35-5)*$AE$20))*(1+$C$6),2)*(IF($G$6="YES",$E$6,0)+IF($K$6="YES",$I$6,0)),2)</f>
        <v/>
      </c>
      <c r="D107" s="38">
        <f>ROUND((IF(35&lt;=15,$AD$21,$AD$21+(35-15)*$AE$21))*(1+$C$6),2)+ROUND(ROUND((IF(35&lt;=15,$AD$21,$AD$21+(35-15)*$AE$21))*(1+$C$6),2)*(IF($G$6="YES",$E$6,0)+IF($K$6="YES",$I$6,0)),2)</f>
        <v/>
      </c>
      <c r="E107" s="38">
        <f>ROUND((IF(35&lt;=2,$AD$22,IF(35&lt;=5,$AE$22,IF(35&lt;=10,$AF$22,IF(35&lt;=15,$AG$22,IF(35&lt;=20,$AH$22,IF(35&lt;=35,$AH$22+(35-20)*$AI$22,$AK$22+(35-35)*$AJ$22)))))))*(1+$C$6),2)+ROUND(ROUND((IF(35&lt;=2,$AD$22,IF(35&lt;=5,$AE$22,IF(35&lt;=10,$AF$22,IF(35&lt;=15,$AG$22,IF(35&lt;=20,$AH$22,IF(35&lt;=35,$AH$22+(35-20)*$AI$22,$AK$22+(35-35)*$AJ$22)))))))*(1+$C$6),2)*(IF($G$6="YES",$E$6,0)+IF($K$6="YES",$I$6,0)),2)</f>
        <v/>
      </c>
      <c r="F107" s="38">
        <f>ROUND((IF(35&lt;=2,$AD$23,IF(35&lt;=5,$AE$23,IF(35&lt;=10,$AF$23,IF(35&lt;=15,$AG$23,IF(35&lt;=20,$AH$23,IF(35&lt;=35,$AH$23+(35-20)*$AI$23,$AK$23+(35-35)*$AJ$23)))))))*(1+$C$6),2)+ROUND(ROUND((IF(35&lt;=2,$AD$23,IF(35&lt;=5,$AE$23,IF(35&lt;=10,$AF$23,IF(35&lt;=15,$AG$23,IF(35&lt;=20,$AH$23,IF(35&lt;=35,$AH$23+(35-20)*$AI$23,$AK$23+(35-35)*$AJ$23)))))))*(1+$C$6),2)*(IF($G$6="YES",$E$6,0)+IF($K$6="YES",$I$6,0)),2)</f>
        <v/>
      </c>
      <c r="G107" s="38">
        <f>ROUND((IF(35&lt;=2,$AD$24,IF(35&lt;=5,$AE$24,IF(35&lt;=10,$AF$24,IF(35&lt;=15,$AG$24,IF(35&lt;=20,$AH$24,IF(35&lt;=35,$AH$24+(35-20)*$AI$24,$AK$24+(35-35)*$AJ$24)))))))*(1+$C$6),2)+ROUND(ROUND((IF(35&lt;=2,$AD$24,IF(35&lt;=5,$AE$24,IF(35&lt;=10,$AF$24,IF(35&lt;=15,$AG$24,IF(35&lt;=20,$AH$24,IF(35&lt;=35,$AH$24+(35-20)*$AI$24,$AK$24+(35-35)*$AJ$24)))))))*(1+$C$6),2)*(IF($G$6="YES",$E$6,0)+IF($K$6="YES",$I$6,0)),2)</f>
        <v/>
      </c>
      <c r="H107" s="38">
        <f>ROUND((IF(35&lt;=2,$AD$25,$AD$25+(35-2)*$AE$25))*(1+$C$6),2)+ROUND(ROUND((IF(35&lt;=2,$AD$25,$AD$25+(35-2)*$AE$25))*(1+$C$6),2)*(IF($G$6="YES",$E$6,0)+IF($K$6="YES",$I$6,0)),2)+(35*$E$8*IF($C$8="YES",1,0))</f>
        <v/>
      </c>
      <c r="I107" s="39">
        <f>ROUND((IF(35&lt;=2,$AD$26,$AD$26+(35-2)*$AE$26))*(1+$C$6),2)+ROUND(ROUND((IF(35&lt;=2,$AD$26,$AD$26+(35-2)*$AE$26))*(1+$C$6),2)*(IF($G$6="YES",$E$6,0)+IF($K$6="YES",$I$6,0)),2)</f>
        <v/>
      </c>
    </row>
    <row r="108">
      <c r="B108" s="40" t="n">
        <v>36</v>
      </c>
      <c r="C108" s="43" t="inlineStr">
        <is>
          <t>see ECO/R</t>
        </is>
      </c>
      <c r="D108" s="43" t="inlineStr">
        <is>
          <t>see ECO/R</t>
        </is>
      </c>
      <c r="E108" s="41">
        <f>ROUND((IF(36&lt;=2,$AD$22,IF(36&lt;=5,$AE$22,IF(36&lt;=10,$AF$22,IF(36&lt;=15,$AG$22,IF(36&lt;=20,$AH$22,IF(36&lt;=35,$AH$22+(36-20)*$AI$22,$AK$22+(36-35)*$AJ$22)))))))*(1+$C$6),2)+ROUND(ROUND((IF(36&lt;=2,$AD$22,IF(36&lt;=5,$AE$22,IF(36&lt;=10,$AF$22,IF(36&lt;=15,$AG$22,IF(36&lt;=20,$AH$22,IF(36&lt;=35,$AH$22+(36-20)*$AI$22,$AK$22+(36-35)*$AJ$22)))))))*(1+$C$6),2)*(IF($G$6="YES",$E$6,0)+IF($K$6="YES",$I$6,0)),2)</f>
        <v/>
      </c>
      <c r="F108" s="41">
        <f>ROUND((IF(36&lt;=2,$AD$23,IF(36&lt;=5,$AE$23,IF(36&lt;=10,$AF$23,IF(36&lt;=15,$AG$23,IF(36&lt;=20,$AH$23,IF(36&lt;=35,$AH$23+(36-20)*$AI$23,$AK$23+(36-35)*$AJ$23)))))))*(1+$C$6),2)+ROUND(ROUND((IF(36&lt;=2,$AD$23,IF(36&lt;=5,$AE$23,IF(36&lt;=10,$AF$23,IF(36&lt;=15,$AG$23,IF(36&lt;=20,$AH$23,IF(36&lt;=35,$AH$23+(36-20)*$AI$23,$AK$23+(36-35)*$AJ$23)))))))*(1+$C$6),2)*(IF($G$6="YES",$E$6,0)+IF($K$6="YES",$I$6,0)),2)</f>
        <v/>
      </c>
      <c r="G108" s="41">
        <f>ROUND((IF(36&lt;=2,$AD$24,IF(36&lt;=5,$AE$24,IF(36&lt;=10,$AF$24,IF(36&lt;=15,$AG$24,IF(36&lt;=20,$AH$24,IF(36&lt;=35,$AH$24+(36-20)*$AI$24,$AK$24+(36-35)*$AJ$24)))))))*(1+$C$6),2)+ROUND(ROUND((IF(36&lt;=2,$AD$24,IF(36&lt;=5,$AE$24,IF(36&lt;=10,$AF$24,IF(36&lt;=15,$AG$24,IF(36&lt;=20,$AH$24,IF(36&lt;=35,$AH$24+(36-20)*$AI$24,$AK$24+(36-35)*$AJ$24)))))))*(1+$C$6),2)*(IF($G$6="YES",$E$6,0)+IF($K$6="YES",$I$6,0)),2)</f>
        <v/>
      </c>
      <c r="H108" s="41">
        <f>ROUND((IF(36&lt;=2,$AD$25,$AD$25+(36-2)*$AE$25))*(1+$C$6),2)+ROUND(ROUND((IF(36&lt;=2,$AD$25,$AD$25+(36-2)*$AE$25))*(1+$C$6),2)*(IF($G$6="YES",$E$6,0)+IF($K$6="YES",$I$6,0)),2)+(36*$E$8*IF($C$8="YES",1,0))</f>
        <v/>
      </c>
      <c r="I108" s="42">
        <f>ROUND((IF(36&lt;=2,$AD$26,$AD$26+(36-2)*$AE$26))*(1+$C$6),2)+ROUND(ROUND((IF(36&lt;=2,$AD$26,$AD$26+(36-2)*$AE$26))*(1+$C$6),2)*(IF($G$6="YES",$E$6,0)+IF($K$6="YES",$I$6,0)),2)</f>
        <v/>
      </c>
    </row>
    <row r="109">
      <c r="B109" s="40" t="n">
        <v>37</v>
      </c>
      <c r="C109" s="43" t="inlineStr">
        <is>
          <t>see ECO/R</t>
        </is>
      </c>
      <c r="D109" s="43" t="inlineStr">
        <is>
          <t>see ECO/R</t>
        </is>
      </c>
      <c r="E109" s="41">
        <f>ROUND((IF(37&lt;=2,$AD$22,IF(37&lt;=5,$AE$22,IF(37&lt;=10,$AF$22,IF(37&lt;=15,$AG$22,IF(37&lt;=20,$AH$22,IF(37&lt;=35,$AH$22+(37-20)*$AI$22,$AK$22+(37-35)*$AJ$22)))))))*(1+$C$6),2)+ROUND(ROUND((IF(37&lt;=2,$AD$22,IF(37&lt;=5,$AE$22,IF(37&lt;=10,$AF$22,IF(37&lt;=15,$AG$22,IF(37&lt;=20,$AH$22,IF(37&lt;=35,$AH$22+(37-20)*$AI$22,$AK$22+(37-35)*$AJ$22)))))))*(1+$C$6),2)*(IF($G$6="YES",$E$6,0)+IF($K$6="YES",$I$6,0)),2)</f>
        <v/>
      </c>
      <c r="F109" s="41">
        <f>ROUND((IF(37&lt;=2,$AD$23,IF(37&lt;=5,$AE$23,IF(37&lt;=10,$AF$23,IF(37&lt;=15,$AG$23,IF(37&lt;=20,$AH$23,IF(37&lt;=35,$AH$23+(37-20)*$AI$23,$AK$23+(37-35)*$AJ$23)))))))*(1+$C$6),2)+ROUND(ROUND((IF(37&lt;=2,$AD$23,IF(37&lt;=5,$AE$23,IF(37&lt;=10,$AF$23,IF(37&lt;=15,$AG$23,IF(37&lt;=20,$AH$23,IF(37&lt;=35,$AH$23+(37-20)*$AI$23,$AK$23+(37-35)*$AJ$23)))))))*(1+$C$6),2)*(IF($G$6="YES",$E$6,0)+IF($K$6="YES",$I$6,0)),2)</f>
        <v/>
      </c>
      <c r="G109" s="41">
        <f>ROUND((IF(37&lt;=2,$AD$24,IF(37&lt;=5,$AE$24,IF(37&lt;=10,$AF$24,IF(37&lt;=15,$AG$24,IF(37&lt;=20,$AH$24,IF(37&lt;=35,$AH$24+(37-20)*$AI$24,$AK$24+(37-35)*$AJ$24)))))))*(1+$C$6),2)+ROUND(ROUND((IF(37&lt;=2,$AD$24,IF(37&lt;=5,$AE$24,IF(37&lt;=10,$AF$24,IF(37&lt;=15,$AG$24,IF(37&lt;=20,$AH$24,IF(37&lt;=35,$AH$24+(37-20)*$AI$24,$AK$24+(37-35)*$AJ$24)))))))*(1+$C$6),2)*(IF($G$6="YES",$E$6,0)+IF($K$6="YES",$I$6,0)),2)</f>
        <v/>
      </c>
      <c r="H109" s="41">
        <f>ROUND((IF(37&lt;=2,$AD$25,$AD$25+(37-2)*$AE$25))*(1+$C$6),2)+ROUND(ROUND((IF(37&lt;=2,$AD$25,$AD$25+(37-2)*$AE$25))*(1+$C$6),2)*(IF($G$6="YES",$E$6,0)+IF($K$6="YES",$I$6,0)),2)+(37*$E$8*IF($C$8="YES",1,0))</f>
        <v/>
      </c>
      <c r="I109" s="42">
        <f>ROUND((IF(37&lt;=2,$AD$26,$AD$26+(37-2)*$AE$26))*(1+$C$6),2)+ROUND(ROUND((IF(37&lt;=2,$AD$26,$AD$26+(37-2)*$AE$26))*(1+$C$6),2)*(IF($G$6="YES",$E$6,0)+IF($K$6="YES",$I$6,0)),2)</f>
        <v/>
      </c>
    </row>
    <row r="110">
      <c r="B110" s="40" t="n">
        <v>38</v>
      </c>
      <c r="C110" s="43" t="inlineStr">
        <is>
          <t>see ECO/R</t>
        </is>
      </c>
      <c r="D110" s="43" t="inlineStr">
        <is>
          <t>see ECO/R</t>
        </is>
      </c>
      <c r="E110" s="41">
        <f>ROUND((IF(38&lt;=2,$AD$22,IF(38&lt;=5,$AE$22,IF(38&lt;=10,$AF$22,IF(38&lt;=15,$AG$22,IF(38&lt;=20,$AH$22,IF(38&lt;=35,$AH$22+(38-20)*$AI$22,$AK$22+(38-35)*$AJ$22)))))))*(1+$C$6),2)+ROUND(ROUND((IF(38&lt;=2,$AD$22,IF(38&lt;=5,$AE$22,IF(38&lt;=10,$AF$22,IF(38&lt;=15,$AG$22,IF(38&lt;=20,$AH$22,IF(38&lt;=35,$AH$22+(38-20)*$AI$22,$AK$22+(38-35)*$AJ$22)))))))*(1+$C$6),2)*(IF($G$6="YES",$E$6,0)+IF($K$6="YES",$I$6,0)),2)</f>
        <v/>
      </c>
      <c r="F110" s="41">
        <f>ROUND((IF(38&lt;=2,$AD$23,IF(38&lt;=5,$AE$23,IF(38&lt;=10,$AF$23,IF(38&lt;=15,$AG$23,IF(38&lt;=20,$AH$23,IF(38&lt;=35,$AH$23+(38-20)*$AI$23,$AK$23+(38-35)*$AJ$23)))))))*(1+$C$6),2)+ROUND(ROUND((IF(38&lt;=2,$AD$23,IF(38&lt;=5,$AE$23,IF(38&lt;=10,$AF$23,IF(38&lt;=15,$AG$23,IF(38&lt;=20,$AH$23,IF(38&lt;=35,$AH$23+(38-20)*$AI$23,$AK$23+(38-35)*$AJ$23)))))))*(1+$C$6),2)*(IF($G$6="YES",$E$6,0)+IF($K$6="YES",$I$6,0)),2)</f>
        <v/>
      </c>
      <c r="G110" s="41">
        <f>ROUND((IF(38&lt;=2,$AD$24,IF(38&lt;=5,$AE$24,IF(38&lt;=10,$AF$24,IF(38&lt;=15,$AG$24,IF(38&lt;=20,$AH$24,IF(38&lt;=35,$AH$24+(38-20)*$AI$24,$AK$24+(38-35)*$AJ$24)))))))*(1+$C$6),2)+ROUND(ROUND((IF(38&lt;=2,$AD$24,IF(38&lt;=5,$AE$24,IF(38&lt;=10,$AF$24,IF(38&lt;=15,$AG$24,IF(38&lt;=20,$AH$24,IF(38&lt;=35,$AH$24+(38-20)*$AI$24,$AK$24+(38-35)*$AJ$24)))))))*(1+$C$6),2)*(IF($G$6="YES",$E$6,0)+IF($K$6="YES",$I$6,0)),2)</f>
        <v/>
      </c>
      <c r="H110" s="41">
        <f>ROUND((IF(38&lt;=2,$AD$25,$AD$25+(38-2)*$AE$25))*(1+$C$6),2)+ROUND(ROUND((IF(38&lt;=2,$AD$25,$AD$25+(38-2)*$AE$25))*(1+$C$6),2)*(IF($G$6="YES",$E$6,0)+IF($K$6="YES",$I$6,0)),2)+(38*$E$8*IF($C$8="YES",1,0))</f>
        <v/>
      </c>
      <c r="I110" s="42">
        <f>ROUND((IF(38&lt;=2,$AD$26,$AD$26+(38-2)*$AE$26))*(1+$C$6),2)+ROUND(ROUND((IF(38&lt;=2,$AD$26,$AD$26+(38-2)*$AE$26))*(1+$C$6),2)*(IF($G$6="YES",$E$6,0)+IF($K$6="YES",$I$6,0)),2)</f>
        <v/>
      </c>
    </row>
    <row r="111">
      <c r="B111" s="40" t="n">
        <v>39</v>
      </c>
      <c r="C111" s="43" t="inlineStr">
        <is>
          <t>see ECO/R</t>
        </is>
      </c>
      <c r="D111" s="43" t="inlineStr">
        <is>
          <t>see ECO/R</t>
        </is>
      </c>
      <c r="E111" s="41">
        <f>ROUND((IF(39&lt;=2,$AD$22,IF(39&lt;=5,$AE$22,IF(39&lt;=10,$AF$22,IF(39&lt;=15,$AG$22,IF(39&lt;=20,$AH$22,IF(39&lt;=35,$AH$22+(39-20)*$AI$22,$AK$22+(39-35)*$AJ$22)))))))*(1+$C$6),2)+ROUND(ROUND((IF(39&lt;=2,$AD$22,IF(39&lt;=5,$AE$22,IF(39&lt;=10,$AF$22,IF(39&lt;=15,$AG$22,IF(39&lt;=20,$AH$22,IF(39&lt;=35,$AH$22+(39-20)*$AI$22,$AK$22+(39-35)*$AJ$22)))))))*(1+$C$6),2)*(IF($G$6="YES",$E$6,0)+IF($K$6="YES",$I$6,0)),2)</f>
        <v/>
      </c>
      <c r="F111" s="41">
        <f>ROUND((IF(39&lt;=2,$AD$23,IF(39&lt;=5,$AE$23,IF(39&lt;=10,$AF$23,IF(39&lt;=15,$AG$23,IF(39&lt;=20,$AH$23,IF(39&lt;=35,$AH$23+(39-20)*$AI$23,$AK$23+(39-35)*$AJ$23)))))))*(1+$C$6),2)+ROUND(ROUND((IF(39&lt;=2,$AD$23,IF(39&lt;=5,$AE$23,IF(39&lt;=10,$AF$23,IF(39&lt;=15,$AG$23,IF(39&lt;=20,$AH$23,IF(39&lt;=35,$AH$23+(39-20)*$AI$23,$AK$23+(39-35)*$AJ$23)))))))*(1+$C$6),2)*(IF($G$6="YES",$E$6,0)+IF($K$6="YES",$I$6,0)),2)</f>
        <v/>
      </c>
      <c r="G111" s="41">
        <f>ROUND((IF(39&lt;=2,$AD$24,IF(39&lt;=5,$AE$24,IF(39&lt;=10,$AF$24,IF(39&lt;=15,$AG$24,IF(39&lt;=20,$AH$24,IF(39&lt;=35,$AH$24+(39-20)*$AI$24,$AK$24+(39-35)*$AJ$24)))))))*(1+$C$6),2)+ROUND(ROUND((IF(39&lt;=2,$AD$24,IF(39&lt;=5,$AE$24,IF(39&lt;=10,$AF$24,IF(39&lt;=15,$AG$24,IF(39&lt;=20,$AH$24,IF(39&lt;=35,$AH$24+(39-20)*$AI$24,$AK$24+(39-35)*$AJ$24)))))))*(1+$C$6),2)*(IF($G$6="YES",$E$6,0)+IF($K$6="YES",$I$6,0)),2)</f>
        <v/>
      </c>
      <c r="H111" s="41">
        <f>ROUND((IF(39&lt;=2,$AD$25,$AD$25+(39-2)*$AE$25))*(1+$C$6),2)+ROUND(ROUND((IF(39&lt;=2,$AD$25,$AD$25+(39-2)*$AE$25))*(1+$C$6),2)*(IF($G$6="YES",$E$6,0)+IF($K$6="YES",$I$6,0)),2)+(39*$E$8*IF($C$8="YES",1,0))</f>
        <v/>
      </c>
      <c r="I111" s="42">
        <f>ROUND((IF(39&lt;=2,$AD$26,$AD$26+(39-2)*$AE$26))*(1+$C$6),2)+ROUND(ROUND((IF(39&lt;=2,$AD$26,$AD$26+(39-2)*$AE$26))*(1+$C$6),2)*(IF($G$6="YES",$E$6,0)+IF($K$6="YES",$I$6,0)),2)</f>
        <v/>
      </c>
    </row>
    <row r="112">
      <c r="B112" s="44" t="n">
        <v>40</v>
      </c>
      <c r="C112" s="45" t="inlineStr">
        <is>
          <t>see ECO/R</t>
        </is>
      </c>
      <c r="D112" s="45" t="inlineStr">
        <is>
          <t>see ECO/R</t>
        </is>
      </c>
      <c r="E112" s="46">
        <f>ROUND((IF(40&lt;=2,$AD$22,IF(40&lt;=5,$AE$22,IF(40&lt;=10,$AF$22,IF(40&lt;=15,$AG$22,IF(40&lt;=20,$AH$22,IF(40&lt;=35,$AH$22+(40-20)*$AI$22,$AK$22+(40-35)*$AJ$22)))))))*(1+$C$6),2)+ROUND(ROUND((IF(40&lt;=2,$AD$22,IF(40&lt;=5,$AE$22,IF(40&lt;=10,$AF$22,IF(40&lt;=15,$AG$22,IF(40&lt;=20,$AH$22,IF(40&lt;=35,$AH$22+(40-20)*$AI$22,$AK$22+(40-35)*$AJ$22)))))))*(1+$C$6),2)*(IF($G$6="YES",$E$6,0)+IF($K$6="YES",$I$6,0)),2)</f>
        <v/>
      </c>
      <c r="F112" s="46">
        <f>ROUND((IF(40&lt;=2,$AD$23,IF(40&lt;=5,$AE$23,IF(40&lt;=10,$AF$23,IF(40&lt;=15,$AG$23,IF(40&lt;=20,$AH$23,IF(40&lt;=35,$AH$23+(40-20)*$AI$23,$AK$23+(40-35)*$AJ$23)))))))*(1+$C$6),2)+ROUND(ROUND((IF(40&lt;=2,$AD$23,IF(40&lt;=5,$AE$23,IF(40&lt;=10,$AF$23,IF(40&lt;=15,$AG$23,IF(40&lt;=20,$AH$23,IF(40&lt;=35,$AH$23+(40-20)*$AI$23,$AK$23+(40-35)*$AJ$23)))))))*(1+$C$6),2)*(IF($G$6="YES",$E$6,0)+IF($K$6="YES",$I$6,0)),2)</f>
        <v/>
      </c>
      <c r="G112" s="46">
        <f>ROUND((IF(40&lt;=2,$AD$24,IF(40&lt;=5,$AE$24,IF(40&lt;=10,$AF$24,IF(40&lt;=15,$AG$24,IF(40&lt;=20,$AH$24,IF(40&lt;=35,$AH$24+(40-20)*$AI$24,$AK$24+(40-35)*$AJ$24)))))))*(1+$C$6),2)+ROUND(ROUND((IF(40&lt;=2,$AD$24,IF(40&lt;=5,$AE$24,IF(40&lt;=10,$AF$24,IF(40&lt;=15,$AG$24,IF(40&lt;=20,$AH$24,IF(40&lt;=35,$AH$24+(40-20)*$AI$24,$AK$24+(40-35)*$AJ$24)))))))*(1+$C$6),2)*(IF($G$6="YES",$E$6,0)+IF($K$6="YES",$I$6,0)),2)</f>
        <v/>
      </c>
      <c r="H112" s="46">
        <f>ROUND((IF(40&lt;=2,$AD$25,$AD$25+(40-2)*$AE$25))*(1+$C$6),2)+ROUND(ROUND((IF(40&lt;=2,$AD$25,$AD$25+(40-2)*$AE$25))*(1+$C$6),2)*(IF($G$6="YES",$E$6,0)+IF($K$6="YES",$I$6,0)),2)+(40*$E$8*IF($C$8="YES",1,0))</f>
        <v/>
      </c>
      <c r="I112" s="47">
        <f>ROUND((IF(40&lt;=2,$AD$26,$AD$26+(40-2)*$AE$26))*(1+$C$6),2)+ROUND(ROUND((IF(40&lt;=2,$AD$26,$AD$26+(40-2)*$AE$26))*(1+$C$6),2)*(IF($G$6="YES",$E$6,0)+IF($K$6="YES",$I$6,0)),2)</f>
        <v/>
      </c>
    </row>
    <row r="113"/>
    <row r="114"/>
    <row r="115" ht="21.95" customHeight="1" s="98">
      <c r="B115" s="99" t="inlineStr">
        <is>
          <t>2.  Ecommerce Rate  —  Ecommerce card</t>
        </is>
      </c>
    </row>
    <row r="116" ht="30" customHeight="1" s="98">
      <c r="B116" s="18" t="inlineStr">
        <is>
          <t>Service</t>
        </is>
      </c>
      <c r="C116" s="19" t="inlineStr">
        <is>
          <t>Description</t>
        </is>
      </c>
      <c r="D116" s="19" t="inlineStr">
        <is>
          <t>Min charge
(excl VAT)</t>
        </is>
      </c>
      <c r="E116" s="19" t="inlineStr">
        <is>
          <t>Up to (kg)</t>
        </is>
      </c>
      <c r="F116" s="19" t="inlineStr">
        <is>
          <t>Rate/kg
thereafter (excl)</t>
        </is>
      </c>
      <c r="G116" s="19" t="inlineStr">
        <is>
          <t>Min charge
(incl VAT)</t>
        </is>
      </c>
      <c r="H116" s="19" t="inlineStr">
        <is>
          <t>Rate/kg
thereafter (incl)</t>
        </is>
      </c>
      <c r="I116" s="20" t="inlineStr">
        <is>
          <t>Notes</t>
        </is>
      </c>
    </row>
    <row r="117" ht="24" customHeight="1" s="98">
      <c r="B117" s="21" t="inlineStr">
        <is>
          <t>LPF</t>
        </is>
      </c>
      <c r="C117" s="22" t="inlineStr">
        <is>
          <t>Local Priority Flyer</t>
        </is>
      </c>
      <c r="D117" s="23">
        <f>$AD$117</f>
        <v/>
      </c>
      <c r="E117" s="24" t="n">
        <v>5</v>
      </c>
      <c r="F117" s="23">
        <f>$AE$117</f>
        <v/>
      </c>
      <c r="G117" s="23">
        <f>ROUND($AD$117*(1+$C$6),2)+ROUND(ROUND($AD$117*(1+$C$6),2)*(IF($G$6="YES",$E$6,0)+IF($K$6="YES",$I$6,0)),2)</f>
        <v/>
      </c>
      <c r="H117" s="23">
        <f>ROUND($AE$117*(1+$C$6),2)+ROUND(ROUND($AE$117*(1+$C$6),2)*(IF($G$6="YES",$E$6,0)+IF($K$6="YES",$I$6,0)),2)</f>
        <v/>
      </c>
      <c r="I117" s="25" t="inlineStr">
        <is>
          <t>Local service — beyond 35kg, priced at the ECO/R rate above.</t>
        </is>
      </c>
      <c r="AD117" s="26" t="n">
        <v>94.95999999999999</v>
      </c>
      <c r="AE117" s="26" t="n">
        <v>13.04</v>
      </c>
    </row>
    <row r="118" ht="24" customHeight="1" s="98">
      <c r="B118" s="27" t="inlineStr">
        <is>
          <t>LPP</t>
        </is>
      </c>
      <c r="C118" s="28" t="inlineStr">
        <is>
          <t>Local Priority Parcel</t>
        </is>
      </c>
      <c r="D118" s="29">
        <f>$AD$118</f>
        <v/>
      </c>
      <c r="E118" s="30" t="n">
        <v>15</v>
      </c>
      <c r="F118" s="29">
        <f>$AE$118</f>
        <v/>
      </c>
      <c r="G118" s="29">
        <f>ROUND($AD$118*(1+$C$6),2)+ROUND(ROUND($AD$118*(1+$C$6),2)*(IF($G$6="YES",$E$6,0)+IF($K$6="YES",$I$6,0)),2)</f>
        <v/>
      </c>
      <c r="H118" s="29">
        <f>ROUND($AE$118*(1+$C$6),2)+ROUND(ROUND($AE$118*(1+$C$6),2)*(IF($G$6="YES",$E$6,0)+IF($K$6="YES",$I$6,0)),2)</f>
        <v/>
      </c>
      <c r="I118" s="31" t="inlineStr">
        <is>
          <t>Local service — beyond 35kg, priced at the ECO/R rate above.</t>
        </is>
      </c>
      <c r="AD118" s="26" t="n">
        <v>109.2</v>
      </c>
      <c r="AE118" s="26" t="n">
        <v>13.04</v>
      </c>
    </row>
    <row r="119">
      <c r="B119" s="21" t="inlineStr">
        <is>
          <t>ECO</t>
        </is>
      </c>
      <c r="C119" s="22" t="inlineStr">
        <is>
          <t>Economy Road — National</t>
        </is>
      </c>
      <c r="D119" s="23">
        <f>$AD$119</f>
        <v/>
      </c>
      <c r="E119" s="24" t="n">
        <v>2</v>
      </c>
      <c r="F119" s="23">
        <f>$AI$119</f>
        <v/>
      </c>
      <c r="G119" s="23">
        <f>ROUND($AD$119*(1+$C$6),2)+ROUND(ROUND($AD$119*(1+$C$6),2)*(IF($G$6="YES",$E$6,0)+IF($K$6="YES",$I$6,0)),2)</f>
        <v/>
      </c>
      <c r="H119" s="23">
        <f>ROUND($AI$119*(1+$C$6),2)+ROUND(ROUND($AI$119*(1+$C$6),2)*(IF($G$6="YES",$E$6,0)+IF($K$6="YES",$I$6,0)),2)</f>
        <v/>
      </c>
      <c r="I119" s="25" t="n"/>
      <c r="AD119" s="26" t="n">
        <v>94.95999999999999</v>
      </c>
      <c r="AE119" s="26" t="n">
        <v>104</v>
      </c>
      <c r="AF119" s="26" t="n">
        <v>149.22</v>
      </c>
      <c r="AG119" s="26" t="n">
        <v>180.87</v>
      </c>
      <c r="AH119" s="26" t="n">
        <v>208</v>
      </c>
      <c r="AI119" s="26" t="n">
        <v>13.04</v>
      </c>
      <c r="AJ119" s="26" t="n">
        <v>17.39</v>
      </c>
      <c r="AK119" s="26" t="n">
        <v>403.65</v>
      </c>
    </row>
    <row r="120">
      <c r="B120" s="27" t="inlineStr">
        <is>
          <t>ECOR</t>
        </is>
      </c>
      <c r="C120" s="28" t="inlineStr">
        <is>
          <t>Economy Road — Regional</t>
        </is>
      </c>
      <c r="D120" s="29">
        <f>$AD$120</f>
        <v/>
      </c>
      <c r="E120" s="30" t="n">
        <v>2</v>
      </c>
      <c r="F120" s="29">
        <f>$AI$120</f>
        <v/>
      </c>
      <c r="G120" s="29">
        <f>ROUND($AD$120*(1+$C$6),2)+ROUND(ROUND($AD$120*(1+$C$6),2)*(IF($G$6="YES",$E$6,0)+IF($K$6="YES",$I$6,0)),2)</f>
        <v/>
      </c>
      <c r="H120" s="29">
        <f>ROUND($AI$120*(1+$C$6),2)+ROUND(ROUND($AI$120*(1+$C$6),2)*(IF($G$6="YES",$E$6,0)+IF($K$6="YES",$I$6,0)),2)</f>
        <v/>
      </c>
      <c r="I120" s="31" t="n"/>
      <c r="AD120" s="26" t="n">
        <v>104.09</v>
      </c>
      <c r="AE120" s="26" t="n">
        <v>106</v>
      </c>
      <c r="AF120" s="26" t="n">
        <v>152.8</v>
      </c>
      <c r="AG120" s="26" t="n">
        <v>185.22</v>
      </c>
      <c r="AH120" s="26" t="n">
        <v>213</v>
      </c>
      <c r="AI120" s="26" t="n">
        <v>13.04</v>
      </c>
      <c r="AJ120" s="26" t="n">
        <v>17.39</v>
      </c>
      <c r="AK120" s="26" t="n">
        <v>408.65</v>
      </c>
    </row>
    <row r="121">
      <c r="B121" s="21" t="inlineStr">
        <is>
          <t>PRI</t>
        </is>
      </c>
      <c r="C121" s="22" t="inlineStr">
        <is>
          <t>Priority Courier — National</t>
        </is>
      </c>
      <c r="D121" s="23">
        <f>$AD$121</f>
        <v/>
      </c>
      <c r="E121" s="24" t="n">
        <v>2</v>
      </c>
      <c r="F121" s="23">
        <f>$AE$121</f>
        <v/>
      </c>
      <c r="G121" s="23">
        <f>ROUND($AD$121*(1+$C$6),2)+ROUND(ROUND($AD$121*(1+$C$6),2)*(IF($G$6="YES",$E$6,0)+IF($K$6="YES",$I$6,0)),2)</f>
        <v/>
      </c>
      <c r="H121" s="23">
        <f>ROUND($AE$121*(1+$C$6),2)+ROUND(ROUND($AE$121*(1+$C$6),2)*(IF($G$6="YES",$E$6,0)+IF($K$6="YES",$I$6,0)),2)</f>
        <v/>
      </c>
      <c r="I121" s="25" t="inlineStr">
        <is>
          <t>May carry an additional R/kg airfreight surcharge on certain inter-zone routes - see Global Settings above.</t>
        </is>
      </c>
      <c r="AD121" s="26" t="n">
        <v>151.93</v>
      </c>
      <c r="AE121" s="26" t="n">
        <v>48</v>
      </c>
    </row>
    <row r="122">
      <c r="B122" s="48" t="inlineStr">
        <is>
          <t>PRIR</t>
        </is>
      </c>
      <c r="C122" s="49" t="inlineStr">
        <is>
          <t>Priority Courier — Regional</t>
        </is>
      </c>
      <c r="D122" s="50">
        <f>$AD$122</f>
        <v/>
      </c>
      <c r="E122" s="51" t="n">
        <v>2</v>
      </c>
      <c r="F122" s="50">
        <f>$AE$122</f>
        <v/>
      </c>
      <c r="G122" s="50">
        <f>ROUND($AD$122*(1+$C$6),2)+ROUND(ROUND($AD$122*(1+$C$6),2)*(IF($G$6="YES",$E$6,0)+IF($K$6="YES",$I$6,0)),2)</f>
        <v/>
      </c>
      <c r="H122" s="50">
        <f>ROUND($AE$122*(1+$C$6),2)+ROUND(ROUND($AE$122*(1+$C$6),2)*(IF($G$6="YES",$E$6,0)+IF($K$6="YES",$I$6,0)),2)</f>
        <v/>
      </c>
      <c r="I122" s="52" t="inlineStr">
        <is>
          <t>May carry an additional R/kg airfreight surcharge on certain inter-zone routes - see Global Settings above.</t>
        </is>
      </c>
      <c r="AD122" s="26" t="n">
        <v>166.54</v>
      </c>
      <c r="AE122" s="26" t="n">
        <v>48</v>
      </c>
    </row>
    <row r="123"/>
    <row r="124">
      <c r="B124" s="36" t="inlineStr">
        <is>
          <t>Weight-based price  —  VAT &amp; fuel levy EXCLUDED</t>
        </is>
      </c>
    </row>
    <row r="125" ht="18" customHeight="1" s="98">
      <c r="B125" s="18" t="inlineStr">
        <is>
          <t>Kg</t>
        </is>
      </c>
      <c r="C125" s="19" t="inlineStr">
        <is>
          <t>LPF</t>
        </is>
      </c>
      <c r="D125" s="19" t="inlineStr">
        <is>
          <t>LPP</t>
        </is>
      </c>
      <c r="E125" s="19" t="inlineStr">
        <is>
          <t>ECO</t>
        </is>
      </c>
      <c r="F125" s="19" t="inlineStr">
        <is>
          <t>ECOR</t>
        </is>
      </c>
      <c r="G125" s="19" t="inlineStr">
        <is>
          <t>PRI</t>
        </is>
      </c>
      <c r="H125" s="20" t="inlineStr">
        <is>
          <t>PRIR</t>
        </is>
      </c>
    </row>
    <row r="126">
      <c r="B126" s="37" t="n">
        <v>1</v>
      </c>
      <c r="C126" s="38">
        <f>IF(1&lt;=5,$AD$117,$AD$117+(1-5)*$AE$117)</f>
        <v/>
      </c>
      <c r="D126" s="38">
        <f>IF(1&lt;=15,$AD$118,$AD$118+(1-15)*$AE$118)</f>
        <v/>
      </c>
      <c r="E126" s="38">
        <f>IF(1&lt;=2,$AD$119,IF(1&lt;=5,$AE$119,IF(1&lt;=10,$AF$119,IF(1&lt;=15,$AG$119,IF(1&lt;=20,$AH$119,IF(1&lt;=35,$AH$119+(1-20)*$AI$119,$AK$119+(1-35)*$AJ$119))))))</f>
        <v/>
      </c>
      <c r="F126" s="38">
        <f>IF(1&lt;=2,$AD$120,IF(1&lt;=5,$AE$120,IF(1&lt;=10,$AF$120,IF(1&lt;=15,$AG$120,IF(1&lt;=20,$AH$120,IF(1&lt;=35,$AH$120+(1-20)*$AI$120,$AK$120+(1-35)*$AJ$120))))))</f>
        <v/>
      </c>
      <c r="G126" s="38">
        <f>IF(1&lt;=2,$AD$121,$AD$121+(1-2)*$AE$121)</f>
        <v/>
      </c>
      <c r="H126" s="39">
        <f>IF(1&lt;=2,$AD$122,$AD$122+(1-2)*$AE$122)</f>
        <v/>
      </c>
    </row>
    <row r="127">
      <c r="B127" s="37" t="n">
        <v>2</v>
      </c>
      <c r="C127" s="38">
        <f>IF(2&lt;=5,$AD$117,$AD$117+(2-5)*$AE$117)</f>
        <v/>
      </c>
      <c r="D127" s="38">
        <f>IF(2&lt;=15,$AD$118,$AD$118+(2-15)*$AE$118)</f>
        <v/>
      </c>
      <c r="E127" s="38">
        <f>IF(2&lt;=2,$AD$119,IF(2&lt;=5,$AE$119,IF(2&lt;=10,$AF$119,IF(2&lt;=15,$AG$119,IF(2&lt;=20,$AH$119,IF(2&lt;=35,$AH$119+(2-20)*$AI$119,$AK$119+(2-35)*$AJ$119))))))</f>
        <v/>
      </c>
      <c r="F127" s="38">
        <f>IF(2&lt;=2,$AD$120,IF(2&lt;=5,$AE$120,IF(2&lt;=10,$AF$120,IF(2&lt;=15,$AG$120,IF(2&lt;=20,$AH$120,IF(2&lt;=35,$AH$120+(2-20)*$AI$120,$AK$120+(2-35)*$AJ$120))))))</f>
        <v/>
      </c>
      <c r="G127" s="38">
        <f>IF(2&lt;=2,$AD$121,$AD$121+(2-2)*$AE$121)</f>
        <v/>
      </c>
      <c r="H127" s="39">
        <f>IF(2&lt;=2,$AD$122,$AD$122+(2-2)*$AE$122)</f>
        <v/>
      </c>
    </row>
    <row r="128">
      <c r="B128" s="37" t="n">
        <v>3</v>
      </c>
      <c r="C128" s="38">
        <f>IF(3&lt;=5,$AD$117,$AD$117+(3-5)*$AE$117)</f>
        <v/>
      </c>
      <c r="D128" s="38">
        <f>IF(3&lt;=15,$AD$118,$AD$118+(3-15)*$AE$118)</f>
        <v/>
      </c>
      <c r="E128" s="38">
        <f>IF(3&lt;=2,$AD$119,IF(3&lt;=5,$AE$119,IF(3&lt;=10,$AF$119,IF(3&lt;=15,$AG$119,IF(3&lt;=20,$AH$119,IF(3&lt;=35,$AH$119+(3-20)*$AI$119,$AK$119+(3-35)*$AJ$119))))))</f>
        <v/>
      </c>
      <c r="F128" s="38">
        <f>IF(3&lt;=2,$AD$120,IF(3&lt;=5,$AE$120,IF(3&lt;=10,$AF$120,IF(3&lt;=15,$AG$120,IF(3&lt;=20,$AH$120,IF(3&lt;=35,$AH$120+(3-20)*$AI$120,$AK$120+(3-35)*$AJ$120))))))</f>
        <v/>
      </c>
      <c r="G128" s="38">
        <f>IF(3&lt;=2,$AD$121,$AD$121+(3-2)*$AE$121)</f>
        <v/>
      </c>
      <c r="H128" s="39">
        <f>IF(3&lt;=2,$AD$122,$AD$122+(3-2)*$AE$122)</f>
        <v/>
      </c>
    </row>
    <row r="129">
      <c r="B129" s="37" t="n">
        <v>4</v>
      </c>
      <c r="C129" s="38">
        <f>IF(4&lt;=5,$AD$117,$AD$117+(4-5)*$AE$117)</f>
        <v/>
      </c>
      <c r="D129" s="38">
        <f>IF(4&lt;=15,$AD$118,$AD$118+(4-15)*$AE$118)</f>
        <v/>
      </c>
      <c r="E129" s="38">
        <f>IF(4&lt;=2,$AD$119,IF(4&lt;=5,$AE$119,IF(4&lt;=10,$AF$119,IF(4&lt;=15,$AG$119,IF(4&lt;=20,$AH$119,IF(4&lt;=35,$AH$119+(4-20)*$AI$119,$AK$119+(4-35)*$AJ$119))))))</f>
        <v/>
      </c>
      <c r="F129" s="38">
        <f>IF(4&lt;=2,$AD$120,IF(4&lt;=5,$AE$120,IF(4&lt;=10,$AF$120,IF(4&lt;=15,$AG$120,IF(4&lt;=20,$AH$120,IF(4&lt;=35,$AH$120+(4-20)*$AI$120,$AK$120+(4-35)*$AJ$120))))))</f>
        <v/>
      </c>
      <c r="G129" s="38">
        <f>IF(4&lt;=2,$AD$121,$AD$121+(4-2)*$AE$121)</f>
        <v/>
      </c>
      <c r="H129" s="39">
        <f>IF(4&lt;=2,$AD$122,$AD$122+(4-2)*$AE$122)</f>
        <v/>
      </c>
    </row>
    <row r="130">
      <c r="B130" s="37" t="n">
        <v>5</v>
      </c>
      <c r="C130" s="38">
        <f>IF(5&lt;=5,$AD$117,$AD$117+(5-5)*$AE$117)</f>
        <v/>
      </c>
      <c r="D130" s="38">
        <f>IF(5&lt;=15,$AD$118,$AD$118+(5-15)*$AE$118)</f>
        <v/>
      </c>
      <c r="E130" s="38">
        <f>IF(5&lt;=2,$AD$119,IF(5&lt;=5,$AE$119,IF(5&lt;=10,$AF$119,IF(5&lt;=15,$AG$119,IF(5&lt;=20,$AH$119,IF(5&lt;=35,$AH$119+(5-20)*$AI$119,$AK$119+(5-35)*$AJ$119))))))</f>
        <v/>
      </c>
      <c r="F130" s="38">
        <f>IF(5&lt;=2,$AD$120,IF(5&lt;=5,$AE$120,IF(5&lt;=10,$AF$120,IF(5&lt;=15,$AG$120,IF(5&lt;=20,$AH$120,IF(5&lt;=35,$AH$120+(5-20)*$AI$120,$AK$120+(5-35)*$AJ$120))))))</f>
        <v/>
      </c>
      <c r="G130" s="38">
        <f>IF(5&lt;=2,$AD$121,$AD$121+(5-2)*$AE$121)</f>
        <v/>
      </c>
      <c r="H130" s="39">
        <f>IF(5&lt;=2,$AD$122,$AD$122+(5-2)*$AE$122)</f>
        <v/>
      </c>
    </row>
    <row r="131">
      <c r="B131" s="40" t="n">
        <v>6</v>
      </c>
      <c r="C131" s="41">
        <f>IF(6&lt;=5,$AD$117,$AD$117+(6-5)*$AE$117)</f>
        <v/>
      </c>
      <c r="D131" s="41">
        <f>IF(6&lt;=15,$AD$118,$AD$118+(6-15)*$AE$118)</f>
        <v/>
      </c>
      <c r="E131" s="41">
        <f>IF(6&lt;=2,$AD$119,IF(6&lt;=5,$AE$119,IF(6&lt;=10,$AF$119,IF(6&lt;=15,$AG$119,IF(6&lt;=20,$AH$119,IF(6&lt;=35,$AH$119+(6-20)*$AI$119,$AK$119+(6-35)*$AJ$119))))))</f>
        <v/>
      </c>
      <c r="F131" s="41">
        <f>IF(6&lt;=2,$AD$120,IF(6&lt;=5,$AE$120,IF(6&lt;=10,$AF$120,IF(6&lt;=15,$AG$120,IF(6&lt;=20,$AH$120,IF(6&lt;=35,$AH$120+(6-20)*$AI$120,$AK$120+(6-35)*$AJ$120))))))</f>
        <v/>
      </c>
      <c r="G131" s="41">
        <f>IF(6&lt;=2,$AD$121,$AD$121+(6-2)*$AE$121)</f>
        <v/>
      </c>
      <c r="H131" s="42">
        <f>IF(6&lt;=2,$AD$122,$AD$122+(6-2)*$AE$122)</f>
        <v/>
      </c>
    </row>
    <row r="132">
      <c r="B132" s="40" t="n">
        <v>7</v>
      </c>
      <c r="C132" s="41">
        <f>IF(7&lt;=5,$AD$117,$AD$117+(7-5)*$AE$117)</f>
        <v/>
      </c>
      <c r="D132" s="41">
        <f>IF(7&lt;=15,$AD$118,$AD$118+(7-15)*$AE$118)</f>
        <v/>
      </c>
      <c r="E132" s="41">
        <f>IF(7&lt;=2,$AD$119,IF(7&lt;=5,$AE$119,IF(7&lt;=10,$AF$119,IF(7&lt;=15,$AG$119,IF(7&lt;=20,$AH$119,IF(7&lt;=35,$AH$119+(7-20)*$AI$119,$AK$119+(7-35)*$AJ$119))))))</f>
        <v/>
      </c>
      <c r="F132" s="41">
        <f>IF(7&lt;=2,$AD$120,IF(7&lt;=5,$AE$120,IF(7&lt;=10,$AF$120,IF(7&lt;=15,$AG$120,IF(7&lt;=20,$AH$120,IF(7&lt;=35,$AH$120+(7-20)*$AI$120,$AK$120+(7-35)*$AJ$120))))))</f>
        <v/>
      </c>
      <c r="G132" s="41">
        <f>IF(7&lt;=2,$AD$121,$AD$121+(7-2)*$AE$121)</f>
        <v/>
      </c>
      <c r="H132" s="42">
        <f>IF(7&lt;=2,$AD$122,$AD$122+(7-2)*$AE$122)</f>
        <v/>
      </c>
    </row>
    <row r="133">
      <c r="B133" s="40" t="n">
        <v>8</v>
      </c>
      <c r="C133" s="41">
        <f>IF(8&lt;=5,$AD$117,$AD$117+(8-5)*$AE$117)</f>
        <v/>
      </c>
      <c r="D133" s="41">
        <f>IF(8&lt;=15,$AD$118,$AD$118+(8-15)*$AE$118)</f>
        <v/>
      </c>
      <c r="E133" s="41">
        <f>IF(8&lt;=2,$AD$119,IF(8&lt;=5,$AE$119,IF(8&lt;=10,$AF$119,IF(8&lt;=15,$AG$119,IF(8&lt;=20,$AH$119,IF(8&lt;=35,$AH$119+(8-20)*$AI$119,$AK$119+(8-35)*$AJ$119))))))</f>
        <v/>
      </c>
      <c r="F133" s="41">
        <f>IF(8&lt;=2,$AD$120,IF(8&lt;=5,$AE$120,IF(8&lt;=10,$AF$120,IF(8&lt;=15,$AG$120,IF(8&lt;=20,$AH$120,IF(8&lt;=35,$AH$120+(8-20)*$AI$120,$AK$120+(8-35)*$AJ$120))))))</f>
        <v/>
      </c>
      <c r="G133" s="41">
        <f>IF(8&lt;=2,$AD$121,$AD$121+(8-2)*$AE$121)</f>
        <v/>
      </c>
      <c r="H133" s="42">
        <f>IF(8&lt;=2,$AD$122,$AD$122+(8-2)*$AE$122)</f>
        <v/>
      </c>
    </row>
    <row r="134">
      <c r="B134" s="40" t="n">
        <v>9</v>
      </c>
      <c r="C134" s="41">
        <f>IF(9&lt;=5,$AD$117,$AD$117+(9-5)*$AE$117)</f>
        <v/>
      </c>
      <c r="D134" s="41">
        <f>IF(9&lt;=15,$AD$118,$AD$118+(9-15)*$AE$118)</f>
        <v/>
      </c>
      <c r="E134" s="41">
        <f>IF(9&lt;=2,$AD$119,IF(9&lt;=5,$AE$119,IF(9&lt;=10,$AF$119,IF(9&lt;=15,$AG$119,IF(9&lt;=20,$AH$119,IF(9&lt;=35,$AH$119+(9-20)*$AI$119,$AK$119+(9-35)*$AJ$119))))))</f>
        <v/>
      </c>
      <c r="F134" s="41">
        <f>IF(9&lt;=2,$AD$120,IF(9&lt;=5,$AE$120,IF(9&lt;=10,$AF$120,IF(9&lt;=15,$AG$120,IF(9&lt;=20,$AH$120,IF(9&lt;=35,$AH$120+(9-20)*$AI$120,$AK$120+(9-35)*$AJ$120))))))</f>
        <v/>
      </c>
      <c r="G134" s="41">
        <f>IF(9&lt;=2,$AD$121,$AD$121+(9-2)*$AE$121)</f>
        <v/>
      </c>
      <c r="H134" s="42">
        <f>IF(9&lt;=2,$AD$122,$AD$122+(9-2)*$AE$122)</f>
        <v/>
      </c>
    </row>
    <row r="135">
      <c r="B135" s="40" t="n">
        <v>10</v>
      </c>
      <c r="C135" s="41">
        <f>IF(10&lt;=5,$AD$117,$AD$117+(10-5)*$AE$117)</f>
        <v/>
      </c>
      <c r="D135" s="41">
        <f>IF(10&lt;=15,$AD$118,$AD$118+(10-15)*$AE$118)</f>
        <v/>
      </c>
      <c r="E135" s="41">
        <f>IF(10&lt;=2,$AD$119,IF(10&lt;=5,$AE$119,IF(10&lt;=10,$AF$119,IF(10&lt;=15,$AG$119,IF(10&lt;=20,$AH$119,IF(10&lt;=35,$AH$119+(10-20)*$AI$119,$AK$119+(10-35)*$AJ$119))))))</f>
        <v/>
      </c>
      <c r="F135" s="41">
        <f>IF(10&lt;=2,$AD$120,IF(10&lt;=5,$AE$120,IF(10&lt;=10,$AF$120,IF(10&lt;=15,$AG$120,IF(10&lt;=20,$AH$120,IF(10&lt;=35,$AH$120+(10-20)*$AI$120,$AK$120+(10-35)*$AJ$120))))))</f>
        <v/>
      </c>
      <c r="G135" s="41">
        <f>IF(10&lt;=2,$AD$121,$AD$121+(10-2)*$AE$121)</f>
        <v/>
      </c>
      <c r="H135" s="42">
        <f>IF(10&lt;=2,$AD$122,$AD$122+(10-2)*$AE$122)</f>
        <v/>
      </c>
    </row>
    <row r="136">
      <c r="B136" s="37" t="n">
        <v>11</v>
      </c>
      <c r="C136" s="38">
        <f>IF(11&lt;=5,$AD$117,$AD$117+(11-5)*$AE$117)</f>
        <v/>
      </c>
      <c r="D136" s="38">
        <f>IF(11&lt;=15,$AD$118,$AD$118+(11-15)*$AE$118)</f>
        <v/>
      </c>
      <c r="E136" s="38">
        <f>IF(11&lt;=2,$AD$119,IF(11&lt;=5,$AE$119,IF(11&lt;=10,$AF$119,IF(11&lt;=15,$AG$119,IF(11&lt;=20,$AH$119,IF(11&lt;=35,$AH$119+(11-20)*$AI$119,$AK$119+(11-35)*$AJ$119))))))</f>
        <v/>
      </c>
      <c r="F136" s="38">
        <f>IF(11&lt;=2,$AD$120,IF(11&lt;=5,$AE$120,IF(11&lt;=10,$AF$120,IF(11&lt;=15,$AG$120,IF(11&lt;=20,$AH$120,IF(11&lt;=35,$AH$120+(11-20)*$AI$120,$AK$120+(11-35)*$AJ$120))))))</f>
        <v/>
      </c>
      <c r="G136" s="38">
        <f>IF(11&lt;=2,$AD$121,$AD$121+(11-2)*$AE$121)</f>
        <v/>
      </c>
      <c r="H136" s="39">
        <f>IF(11&lt;=2,$AD$122,$AD$122+(11-2)*$AE$122)</f>
        <v/>
      </c>
    </row>
    <row r="137">
      <c r="B137" s="37" t="n">
        <v>12</v>
      </c>
      <c r="C137" s="38">
        <f>IF(12&lt;=5,$AD$117,$AD$117+(12-5)*$AE$117)</f>
        <v/>
      </c>
      <c r="D137" s="38">
        <f>IF(12&lt;=15,$AD$118,$AD$118+(12-15)*$AE$118)</f>
        <v/>
      </c>
      <c r="E137" s="38">
        <f>IF(12&lt;=2,$AD$119,IF(12&lt;=5,$AE$119,IF(12&lt;=10,$AF$119,IF(12&lt;=15,$AG$119,IF(12&lt;=20,$AH$119,IF(12&lt;=35,$AH$119+(12-20)*$AI$119,$AK$119+(12-35)*$AJ$119))))))</f>
        <v/>
      </c>
      <c r="F137" s="38">
        <f>IF(12&lt;=2,$AD$120,IF(12&lt;=5,$AE$120,IF(12&lt;=10,$AF$120,IF(12&lt;=15,$AG$120,IF(12&lt;=20,$AH$120,IF(12&lt;=35,$AH$120+(12-20)*$AI$120,$AK$120+(12-35)*$AJ$120))))))</f>
        <v/>
      </c>
      <c r="G137" s="38">
        <f>IF(12&lt;=2,$AD$121,$AD$121+(12-2)*$AE$121)</f>
        <v/>
      </c>
      <c r="H137" s="39">
        <f>IF(12&lt;=2,$AD$122,$AD$122+(12-2)*$AE$122)</f>
        <v/>
      </c>
    </row>
    <row r="138">
      <c r="B138" s="37" t="n">
        <v>13</v>
      </c>
      <c r="C138" s="38">
        <f>IF(13&lt;=5,$AD$117,$AD$117+(13-5)*$AE$117)</f>
        <v/>
      </c>
      <c r="D138" s="38">
        <f>IF(13&lt;=15,$AD$118,$AD$118+(13-15)*$AE$118)</f>
        <v/>
      </c>
      <c r="E138" s="38">
        <f>IF(13&lt;=2,$AD$119,IF(13&lt;=5,$AE$119,IF(13&lt;=10,$AF$119,IF(13&lt;=15,$AG$119,IF(13&lt;=20,$AH$119,IF(13&lt;=35,$AH$119+(13-20)*$AI$119,$AK$119+(13-35)*$AJ$119))))))</f>
        <v/>
      </c>
      <c r="F138" s="38">
        <f>IF(13&lt;=2,$AD$120,IF(13&lt;=5,$AE$120,IF(13&lt;=10,$AF$120,IF(13&lt;=15,$AG$120,IF(13&lt;=20,$AH$120,IF(13&lt;=35,$AH$120+(13-20)*$AI$120,$AK$120+(13-35)*$AJ$120))))))</f>
        <v/>
      </c>
      <c r="G138" s="38">
        <f>IF(13&lt;=2,$AD$121,$AD$121+(13-2)*$AE$121)</f>
        <v/>
      </c>
      <c r="H138" s="39">
        <f>IF(13&lt;=2,$AD$122,$AD$122+(13-2)*$AE$122)</f>
        <v/>
      </c>
    </row>
    <row r="139">
      <c r="B139" s="37" t="n">
        <v>14</v>
      </c>
      <c r="C139" s="38">
        <f>IF(14&lt;=5,$AD$117,$AD$117+(14-5)*$AE$117)</f>
        <v/>
      </c>
      <c r="D139" s="38">
        <f>IF(14&lt;=15,$AD$118,$AD$118+(14-15)*$AE$118)</f>
        <v/>
      </c>
      <c r="E139" s="38">
        <f>IF(14&lt;=2,$AD$119,IF(14&lt;=5,$AE$119,IF(14&lt;=10,$AF$119,IF(14&lt;=15,$AG$119,IF(14&lt;=20,$AH$119,IF(14&lt;=35,$AH$119+(14-20)*$AI$119,$AK$119+(14-35)*$AJ$119))))))</f>
        <v/>
      </c>
      <c r="F139" s="38">
        <f>IF(14&lt;=2,$AD$120,IF(14&lt;=5,$AE$120,IF(14&lt;=10,$AF$120,IF(14&lt;=15,$AG$120,IF(14&lt;=20,$AH$120,IF(14&lt;=35,$AH$120+(14-20)*$AI$120,$AK$120+(14-35)*$AJ$120))))))</f>
        <v/>
      </c>
      <c r="G139" s="38">
        <f>IF(14&lt;=2,$AD$121,$AD$121+(14-2)*$AE$121)</f>
        <v/>
      </c>
      <c r="H139" s="39">
        <f>IF(14&lt;=2,$AD$122,$AD$122+(14-2)*$AE$122)</f>
        <v/>
      </c>
    </row>
    <row r="140">
      <c r="B140" s="37" t="n">
        <v>15</v>
      </c>
      <c r="C140" s="38">
        <f>IF(15&lt;=5,$AD$117,$AD$117+(15-5)*$AE$117)</f>
        <v/>
      </c>
      <c r="D140" s="38">
        <f>IF(15&lt;=15,$AD$118,$AD$118+(15-15)*$AE$118)</f>
        <v/>
      </c>
      <c r="E140" s="38">
        <f>IF(15&lt;=2,$AD$119,IF(15&lt;=5,$AE$119,IF(15&lt;=10,$AF$119,IF(15&lt;=15,$AG$119,IF(15&lt;=20,$AH$119,IF(15&lt;=35,$AH$119+(15-20)*$AI$119,$AK$119+(15-35)*$AJ$119))))))</f>
        <v/>
      </c>
      <c r="F140" s="38">
        <f>IF(15&lt;=2,$AD$120,IF(15&lt;=5,$AE$120,IF(15&lt;=10,$AF$120,IF(15&lt;=15,$AG$120,IF(15&lt;=20,$AH$120,IF(15&lt;=35,$AH$120+(15-20)*$AI$120,$AK$120+(15-35)*$AJ$120))))))</f>
        <v/>
      </c>
      <c r="G140" s="38">
        <f>IF(15&lt;=2,$AD$121,$AD$121+(15-2)*$AE$121)</f>
        <v/>
      </c>
      <c r="H140" s="39">
        <f>IF(15&lt;=2,$AD$122,$AD$122+(15-2)*$AE$122)</f>
        <v/>
      </c>
    </row>
    <row r="141">
      <c r="B141" s="40" t="n">
        <v>16</v>
      </c>
      <c r="C141" s="41">
        <f>IF(16&lt;=5,$AD$117,$AD$117+(16-5)*$AE$117)</f>
        <v/>
      </c>
      <c r="D141" s="41">
        <f>IF(16&lt;=15,$AD$118,$AD$118+(16-15)*$AE$118)</f>
        <v/>
      </c>
      <c r="E141" s="41">
        <f>IF(16&lt;=2,$AD$119,IF(16&lt;=5,$AE$119,IF(16&lt;=10,$AF$119,IF(16&lt;=15,$AG$119,IF(16&lt;=20,$AH$119,IF(16&lt;=35,$AH$119+(16-20)*$AI$119,$AK$119+(16-35)*$AJ$119))))))</f>
        <v/>
      </c>
      <c r="F141" s="41">
        <f>IF(16&lt;=2,$AD$120,IF(16&lt;=5,$AE$120,IF(16&lt;=10,$AF$120,IF(16&lt;=15,$AG$120,IF(16&lt;=20,$AH$120,IF(16&lt;=35,$AH$120+(16-20)*$AI$120,$AK$120+(16-35)*$AJ$120))))))</f>
        <v/>
      </c>
      <c r="G141" s="41">
        <f>IF(16&lt;=2,$AD$121,$AD$121+(16-2)*$AE$121)</f>
        <v/>
      </c>
      <c r="H141" s="42">
        <f>IF(16&lt;=2,$AD$122,$AD$122+(16-2)*$AE$122)</f>
        <v/>
      </c>
    </row>
    <row r="142">
      <c r="B142" s="40" t="n">
        <v>17</v>
      </c>
      <c r="C142" s="41">
        <f>IF(17&lt;=5,$AD$117,$AD$117+(17-5)*$AE$117)</f>
        <v/>
      </c>
      <c r="D142" s="41">
        <f>IF(17&lt;=15,$AD$118,$AD$118+(17-15)*$AE$118)</f>
        <v/>
      </c>
      <c r="E142" s="41">
        <f>IF(17&lt;=2,$AD$119,IF(17&lt;=5,$AE$119,IF(17&lt;=10,$AF$119,IF(17&lt;=15,$AG$119,IF(17&lt;=20,$AH$119,IF(17&lt;=35,$AH$119+(17-20)*$AI$119,$AK$119+(17-35)*$AJ$119))))))</f>
        <v/>
      </c>
      <c r="F142" s="41">
        <f>IF(17&lt;=2,$AD$120,IF(17&lt;=5,$AE$120,IF(17&lt;=10,$AF$120,IF(17&lt;=15,$AG$120,IF(17&lt;=20,$AH$120,IF(17&lt;=35,$AH$120+(17-20)*$AI$120,$AK$120+(17-35)*$AJ$120))))))</f>
        <v/>
      </c>
      <c r="G142" s="41">
        <f>IF(17&lt;=2,$AD$121,$AD$121+(17-2)*$AE$121)</f>
        <v/>
      </c>
      <c r="H142" s="42">
        <f>IF(17&lt;=2,$AD$122,$AD$122+(17-2)*$AE$122)</f>
        <v/>
      </c>
    </row>
    <row r="143">
      <c r="B143" s="40" t="n">
        <v>18</v>
      </c>
      <c r="C143" s="41">
        <f>IF(18&lt;=5,$AD$117,$AD$117+(18-5)*$AE$117)</f>
        <v/>
      </c>
      <c r="D143" s="41">
        <f>IF(18&lt;=15,$AD$118,$AD$118+(18-15)*$AE$118)</f>
        <v/>
      </c>
      <c r="E143" s="41">
        <f>IF(18&lt;=2,$AD$119,IF(18&lt;=5,$AE$119,IF(18&lt;=10,$AF$119,IF(18&lt;=15,$AG$119,IF(18&lt;=20,$AH$119,IF(18&lt;=35,$AH$119+(18-20)*$AI$119,$AK$119+(18-35)*$AJ$119))))))</f>
        <v/>
      </c>
      <c r="F143" s="41">
        <f>IF(18&lt;=2,$AD$120,IF(18&lt;=5,$AE$120,IF(18&lt;=10,$AF$120,IF(18&lt;=15,$AG$120,IF(18&lt;=20,$AH$120,IF(18&lt;=35,$AH$120+(18-20)*$AI$120,$AK$120+(18-35)*$AJ$120))))))</f>
        <v/>
      </c>
      <c r="G143" s="41">
        <f>IF(18&lt;=2,$AD$121,$AD$121+(18-2)*$AE$121)</f>
        <v/>
      </c>
      <c r="H143" s="42">
        <f>IF(18&lt;=2,$AD$122,$AD$122+(18-2)*$AE$122)</f>
        <v/>
      </c>
    </row>
    <row r="144">
      <c r="B144" s="40" t="n">
        <v>19</v>
      </c>
      <c r="C144" s="41">
        <f>IF(19&lt;=5,$AD$117,$AD$117+(19-5)*$AE$117)</f>
        <v/>
      </c>
      <c r="D144" s="41">
        <f>IF(19&lt;=15,$AD$118,$AD$118+(19-15)*$AE$118)</f>
        <v/>
      </c>
      <c r="E144" s="41">
        <f>IF(19&lt;=2,$AD$119,IF(19&lt;=5,$AE$119,IF(19&lt;=10,$AF$119,IF(19&lt;=15,$AG$119,IF(19&lt;=20,$AH$119,IF(19&lt;=35,$AH$119+(19-20)*$AI$119,$AK$119+(19-35)*$AJ$119))))))</f>
        <v/>
      </c>
      <c r="F144" s="41">
        <f>IF(19&lt;=2,$AD$120,IF(19&lt;=5,$AE$120,IF(19&lt;=10,$AF$120,IF(19&lt;=15,$AG$120,IF(19&lt;=20,$AH$120,IF(19&lt;=35,$AH$120+(19-20)*$AI$120,$AK$120+(19-35)*$AJ$120))))))</f>
        <v/>
      </c>
      <c r="G144" s="41">
        <f>IF(19&lt;=2,$AD$121,$AD$121+(19-2)*$AE$121)</f>
        <v/>
      </c>
      <c r="H144" s="42">
        <f>IF(19&lt;=2,$AD$122,$AD$122+(19-2)*$AE$122)</f>
        <v/>
      </c>
    </row>
    <row r="145">
      <c r="B145" s="40" t="n">
        <v>20</v>
      </c>
      <c r="C145" s="41">
        <f>IF(20&lt;=5,$AD$117,$AD$117+(20-5)*$AE$117)</f>
        <v/>
      </c>
      <c r="D145" s="41">
        <f>IF(20&lt;=15,$AD$118,$AD$118+(20-15)*$AE$118)</f>
        <v/>
      </c>
      <c r="E145" s="41">
        <f>IF(20&lt;=2,$AD$119,IF(20&lt;=5,$AE$119,IF(20&lt;=10,$AF$119,IF(20&lt;=15,$AG$119,IF(20&lt;=20,$AH$119,IF(20&lt;=35,$AH$119+(20-20)*$AI$119,$AK$119+(20-35)*$AJ$119))))))</f>
        <v/>
      </c>
      <c r="F145" s="41">
        <f>IF(20&lt;=2,$AD$120,IF(20&lt;=5,$AE$120,IF(20&lt;=10,$AF$120,IF(20&lt;=15,$AG$120,IF(20&lt;=20,$AH$120,IF(20&lt;=35,$AH$120+(20-20)*$AI$120,$AK$120+(20-35)*$AJ$120))))))</f>
        <v/>
      </c>
      <c r="G145" s="41">
        <f>IF(20&lt;=2,$AD$121,$AD$121+(20-2)*$AE$121)</f>
        <v/>
      </c>
      <c r="H145" s="42">
        <f>IF(20&lt;=2,$AD$122,$AD$122+(20-2)*$AE$122)</f>
        <v/>
      </c>
    </row>
    <row r="146">
      <c r="B146" s="37" t="n">
        <v>21</v>
      </c>
      <c r="C146" s="38">
        <f>IF(21&lt;=5,$AD$117,$AD$117+(21-5)*$AE$117)</f>
        <v/>
      </c>
      <c r="D146" s="38">
        <f>IF(21&lt;=15,$AD$118,$AD$118+(21-15)*$AE$118)</f>
        <v/>
      </c>
      <c r="E146" s="38">
        <f>IF(21&lt;=2,$AD$119,IF(21&lt;=5,$AE$119,IF(21&lt;=10,$AF$119,IF(21&lt;=15,$AG$119,IF(21&lt;=20,$AH$119,IF(21&lt;=35,$AH$119+(21-20)*$AI$119,$AK$119+(21-35)*$AJ$119))))))</f>
        <v/>
      </c>
      <c r="F146" s="38">
        <f>IF(21&lt;=2,$AD$120,IF(21&lt;=5,$AE$120,IF(21&lt;=10,$AF$120,IF(21&lt;=15,$AG$120,IF(21&lt;=20,$AH$120,IF(21&lt;=35,$AH$120+(21-20)*$AI$120,$AK$120+(21-35)*$AJ$120))))))</f>
        <v/>
      </c>
      <c r="G146" s="38">
        <f>IF(21&lt;=2,$AD$121,$AD$121+(21-2)*$AE$121)</f>
        <v/>
      </c>
      <c r="H146" s="39">
        <f>IF(21&lt;=2,$AD$122,$AD$122+(21-2)*$AE$122)</f>
        <v/>
      </c>
    </row>
    <row r="147">
      <c r="B147" s="37" t="n">
        <v>22</v>
      </c>
      <c r="C147" s="38">
        <f>IF(22&lt;=5,$AD$117,$AD$117+(22-5)*$AE$117)</f>
        <v/>
      </c>
      <c r="D147" s="38">
        <f>IF(22&lt;=15,$AD$118,$AD$118+(22-15)*$AE$118)</f>
        <v/>
      </c>
      <c r="E147" s="38">
        <f>IF(22&lt;=2,$AD$119,IF(22&lt;=5,$AE$119,IF(22&lt;=10,$AF$119,IF(22&lt;=15,$AG$119,IF(22&lt;=20,$AH$119,IF(22&lt;=35,$AH$119+(22-20)*$AI$119,$AK$119+(22-35)*$AJ$119))))))</f>
        <v/>
      </c>
      <c r="F147" s="38">
        <f>IF(22&lt;=2,$AD$120,IF(22&lt;=5,$AE$120,IF(22&lt;=10,$AF$120,IF(22&lt;=15,$AG$120,IF(22&lt;=20,$AH$120,IF(22&lt;=35,$AH$120+(22-20)*$AI$120,$AK$120+(22-35)*$AJ$120))))))</f>
        <v/>
      </c>
      <c r="G147" s="38">
        <f>IF(22&lt;=2,$AD$121,$AD$121+(22-2)*$AE$121)</f>
        <v/>
      </c>
      <c r="H147" s="39">
        <f>IF(22&lt;=2,$AD$122,$AD$122+(22-2)*$AE$122)</f>
        <v/>
      </c>
    </row>
    <row r="148">
      <c r="B148" s="37" t="n">
        <v>23</v>
      </c>
      <c r="C148" s="38">
        <f>IF(23&lt;=5,$AD$117,$AD$117+(23-5)*$AE$117)</f>
        <v/>
      </c>
      <c r="D148" s="38">
        <f>IF(23&lt;=15,$AD$118,$AD$118+(23-15)*$AE$118)</f>
        <v/>
      </c>
      <c r="E148" s="38">
        <f>IF(23&lt;=2,$AD$119,IF(23&lt;=5,$AE$119,IF(23&lt;=10,$AF$119,IF(23&lt;=15,$AG$119,IF(23&lt;=20,$AH$119,IF(23&lt;=35,$AH$119+(23-20)*$AI$119,$AK$119+(23-35)*$AJ$119))))))</f>
        <v/>
      </c>
      <c r="F148" s="38">
        <f>IF(23&lt;=2,$AD$120,IF(23&lt;=5,$AE$120,IF(23&lt;=10,$AF$120,IF(23&lt;=15,$AG$120,IF(23&lt;=20,$AH$120,IF(23&lt;=35,$AH$120+(23-20)*$AI$120,$AK$120+(23-35)*$AJ$120))))))</f>
        <v/>
      </c>
      <c r="G148" s="38">
        <f>IF(23&lt;=2,$AD$121,$AD$121+(23-2)*$AE$121)</f>
        <v/>
      </c>
      <c r="H148" s="39">
        <f>IF(23&lt;=2,$AD$122,$AD$122+(23-2)*$AE$122)</f>
        <v/>
      </c>
    </row>
    <row r="149">
      <c r="B149" s="37" t="n">
        <v>24</v>
      </c>
      <c r="C149" s="38">
        <f>IF(24&lt;=5,$AD$117,$AD$117+(24-5)*$AE$117)</f>
        <v/>
      </c>
      <c r="D149" s="38">
        <f>IF(24&lt;=15,$AD$118,$AD$118+(24-15)*$AE$118)</f>
        <v/>
      </c>
      <c r="E149" s="38">
        <f>IF(24&lt;=2,$AD$119,IF(24&lt;=5,$AE$119,IF(24&lt;=10,$AF$119,IF(24&lt;=15,$AG$119,IF(24&lt;=20,$AH$119,IF(24&lt;=35,$AH$119+(24-20)*$AI$119,$AK$119+(24-35)*$AJ$119))))))</f>
        <v/>
      </c>
      <c r="F149" s="38">
        <f>IF(24&lt;=2,$AD$120,IF(24&lt;=5,$AE$120,IF(24&lt;=10,$AF$120,IF(24&lt;=15,$AG$120,IF(24&lt;=20,$AH$120,IF(24&lt;=35,$AH$120+(24-20)*$AI$120,$AK$120+(24-35)*$AJ$120))))))</f>
        <v/>
      </c>
      <c r="G149" s="38">
        <f>IF(24&lt;=2,$AD$121,$AD$121+(24-2)*$AE$121)</f>
        <v/>
      </c>
      <c r="H149" s="39">
        <f>IF(24&lt;=2,$AD$122,$AD$122+(24-2)*$AE$122)</f>
        <v/>
      </c>
    </row>
    <row r="150">
      <c r="B150" s="37" t="n">
        <v>25</v>
      </c>
      <c r="C150" s="38">
        <f>IF(25&lt;=5,$AD$117,$AD$117+(25-5)*$AE$117)</f>
        <v/>
      </c>
      <c r="D150" s="38">
        <f>IF(25&lt;=15,$AD$118,$AD$118+(25-15)*$AE$118)</f>
        <v/>
      </c>
      <c r="E150" s="38">
        <f>IF(25&lt;=2,$AD$119,IF(25&lt;=5,$AE$119,IF(25&lt;=10,$AF$119,IF(25&lt;=15,$AG$119,IF(25&lt;=20,$AH$119,IF(25&lt;=35,$AH$119+(25-20)*$AI$119,$AK$119+(25-35)*$AJ$119))))))</f>
        <v/>
      </c>
      <c r="F150" s="38">
        <f>IF(25&lt;=2,$AD$120,IF(25&lt;=5,$AE$120,IF(25&lt;=10,$AF$120,IF(25&lt;=15,$AG$120,IF(25&lt;=20,$AH$120,IF(25&lt;=35,$AH$120+(25-20)*$AI$120,$AK$120+(25-35)*$AJ$120))))))</f>
        <v/>
      </c>
      <c r="G150" s="38">
        <f>IF(25&lt;=2,$AD$121,$AD$121+(25-2)*$AE$121)</f>
        <v/>
      </c>
      <c r="H150" s="39">
        <f>IF(25&lt;=2,$AD$122,$AD$122+(25-2)*$AE$122)</f>
        <v/>
      </c>
    </row>
    <row r="151">
      <c r="B151" s="40" t="n">
        <v>26</v>
      </c>
      <c r="C151" s="41">
        <f>IF(26&lt;=5,$AD$117,$AD$117+(26-5)*$AE$117)</f>
        <v/>
      </c>
      <c r="D151" s="41">
        <f>IF(26&lt;=15,$AD$118,$AD$118+(26-15)*$AE$118)</f>
        <v/>
      </c>
      <c r="E151" s="41">
        <f>IF(26&lt;=2,$AD$119,IF(26&lt;=5,$AE$119,IF(26&lt;=10,$AF$119,IF(26&lt;=15,$AG$119,IF(26&lt;=20,$AH$119,IF(26&lt;=35,$AH$119+(26-20)*$AI$119,$AK$119+(26-35)*$AJ$119))))))</f>
        <v/>
      </c>
      <c r="F151" s="41">
        <f>IF(26&lt;=2,$AD$120,IF(26&lt;=5,$AE$120,IF(26&lt;=10,$AF$120,IF(26&lt;=15,$AG$120,IF(26&lt;=20,$AH$120,IF(26&lt;=35,$AH$120+(26-20)*$AI$120,$AK$120+(26-35)*$AJ$120))))))</f>
        <v/>
      </c>
      <c r="G151" s="41">
        <f>IF(26&lt;=2,$AD$121,$AD$121+(26-2)*$AE$121)</f>
        <v/>
      </c>
      <c r="H151" s="42">
        <f>IF(26&lt;=2,$AD$122,$AD$122+(26-2)*$AE$122)</f>
        <v/>
      </c>
    </row>
    <row r="152">
      <c r="B152" s="40" t="n">
        <v>27</v>
      </c>
      <c r="C152" s="41">
        <f>IF(27&lt;=5,$AD$117,$AD$117+(27-5)*$AE$117)</f>
        <v/>
      </c>
      <c r="D152" s="41">
        <f>IF(27&lt;=15,$AD$118,$AD$118+(27-15)*$AE$118)</f>
        <v/>
      </c>
      <c r="E152" s="41">
        <f>IF(27&lt;=2,$AD$119,IF(27&lt;=5,$AE$119,IF(27&lt;=10,$AF$119,IF(27&lt;=15,$AG$119,IF(27&lt;=20,$AH$119,IF(27&lt;=35,$AH$119+(27-20)*$AI$119,$AK$119+(27-35)*$AJ$119))))))</f>
        <v/>
      </c>
      <c r="F152" s="41">
        <f>IF(27&lt;=2,$AD$120,IF(27&lt;=5,$AE$120,IF(27&lt;=10,$AF$120,IF(27&lt;=15,$AG$120,IF(27&lt;=20,$AH$120,IF(27&lt;=35,$AH$120+(27-20)*$AI$120,$AK$120+(27-35)*$AJ$120))))))</f>
        <v/>
      </c>
      <c r="G152" s="41">
        <f>IF(27&lt;=2,$AD$121,$AD$121+(27-2)*$AE$121)</f>
        <v/>
      </c>
      <c r="H152" s="42">
        <f>IF(27&lt;=2,$AD$122,$AD$122+(27-2)*$AE$122)</f>
        <v/>
      </c>
    </row>
    <row r="153">
      <c r="B153" s="40" t="n">
        <v>28</v>
      </c>
      <c r="C153" s="41">
        <f>IF(28&lt;=5,$AD$117,$AD$117+(28-5)*$AE$117)</f>
        <v/>
      </c>
      <c r="D153" s="41">
        <f>IF(28&lt;=15,$AD$118,$AD$118+(28-15)*$AE$118)</f>
        <v/>
      </c>
      <c r="E153" s="41">
        <f>IF(28&lt;=2,$AD$119,IF(28&lt;=5,$AE$119,IF(28&lt;=10,$AF$119,IF(28&lt;=15,$AG$119,IF(28&lt;=20,$AH$119,IF(28&lt;=35,$AH$119+(28-20)*$AI$119,$AK$119+(28-35)*$AJ$119))))))</f>
        <v/>
      </c>
      <c r="F153" s="41">
        <f>IF(28&lt;=2,$AD$120,IF(28&lt;=5,$AE$120,IF(28&lt;=10,$AF$120,IF(28&lt;=15,$AG$120,IF(28&lt;=20,$AH$120,IF(28&lt;=35,$AH$120+(28-20)*$AI$120,$AK$120+(28-35)*$AJ$120))))))</f>
        <v/>
      </c>
      <c r="G153" s="41">
        <f>IF(28&lt;=2,$AD$121,$AD$121+(28-2)*$AE$121)</f>
        <v/>
      </c>
      <c r="H153" s="42">
        <f>IF(28&lt;=2,$AD$122,$AD$122+(28-2)*$AE$122)</f>
        <v/>
      </c>
    </row>
    <row r="154">
      <c r="B154" s="40" t="n">
        <v>29</v>
      </c>
      <c r="C154" s="41">
        <f>IF(29&lt;=5,$AD$117,$AD$117+(29-5)*$AE$117)</f>
        <v/>
      </c>
      <c r="D154" s="41">
        <f>IF(29&lt;=15,$AD$118,$AD$118+(29-15)*$AE$118)</f>
        <v/>
      </c>
      <c r="E154" s="41">
        <f>IF(29&lt;=2,$AD$119,IF(29&lt;=5,$AE$119,IF(29&lt;=10,$AF$119,IF(29&lt;=15,$AG$119,IF(29&lt;=20,$AH$119,IF(29&lt;=35,$AH$119+(29-20)*$AI$119,$AK$119+(29-35)*$AJ$119))))))</f>
        <v/>
      </c>
      <c r="F154" s="41">
        <f>IF(29&lt;=2,$AD$120,IF(29&lt;=5,$AE$120,IF(29&lt;=10,$AF$120,IF(29&lt;=15,$AG$120,IF(29&lt;=20,$AH$120,IF(29&lt;=35,$AH$120+(29-20)*$AI$120,$AK$120+(29-35)*$AJ$120))))))</f>
        <v/>
      </c>
      <c r="G154" s="41">
        <f>IF(29&lt;=2,$AD$121,$AD$121+(29-2)*$AE$121)</f>
        <v/>
      </c>
      <c r="H154" s="42">
        <f>IF(29&lt;=2,$AD$122,$AD$122+(29-2)*$AE$122)</f>
        <v/>
      </c>
    </row>
    <row r="155">
      <c r="B155" s="40" t="n">
        <v>30</v>
      </c>
      <c r="C155" s="41">
        <f>IF(30&lt;=5,$AD$117,$AD$117+(30-5)*$AE$117)</f>
        <v/>
      </c>
      <c r="D155" s="41">
        <f>IF(30&lt;=15,$AD$118,$AD$118+(30-15)*$AE$118)</f>
        <v/>
      </c>
      <c r="E155" s="41">
        <f>IF(30&lt;=2,$AD$119,IF(30&lt;=5,$AE$119,IF(30&lt;=10,$AF$119,IF(30&lt;=15,$AG$119,IF(30&lt;=20,$AH$119,IF(30&lt;=35,$AH$119+(30-20)*$AI$119,$AK$119+(30-35)*$AJ$119))))))</f>
        <v/>
      </c>
      <c r="F155" s="41">
        <f>IF(30&lt;=2,$AD$120,IF(30&lt;=5,$AE$120,IF(30&lt;=10,$AF$120,IF(30&lt;=15,$AG$120,IF(30&lt;=20,$AH$120,IF(30&lt;=35,$AH$120+(30-20)*$AI$120,$AK$120+(30-35)*$AJ$120))))))</f>
        <v/>
      </c>
      <c r="G155" s="41">
        <f>IF(30&lt;=2,$AD$121,$AD$121+(30-2)*$AE$121)</f>
        <v/>
      </c>
      <c r="H155" s="42">
        <f>IF(30&lt;=2,$AD$122,$AD$122+(30-2)*$AE$122)</f>
        <v/>
      </c>
    </row>
    <row r="156">
      <c r="B156" s="37" t="n">
        <v>31</v>
      </c>
      <c r="C156" s="38">
        <f>IF(31&lt;=5,$AD$117,$AD$117+(31-5)*$AE$117)</f>
        <v/>
      </c>
      <c r="D156" s="38">
        <f>IF(31&lt;=15,$AD$118,$AD$118+(31-15)*$AE$118)</f>
        <v/>
      </c>
      <c r="E156" s="38">
        <f>IF(31&lt;=2,$AD$119,IF(31&lt;=5,$AE$119,IF(31&lt;=10,$AF$119,IF(31&lt;=15,$AG$119,IF(31&lt;=20,$AH$119,IF(31&lt;=35,$AH$119+(31-20)*$AI$119,$AK$119+(31-35)*$AJ$119))))))</f>
        <v/>
      </c>
      <c r="F156" s="38">
        <f>IF(31&lt;=2,$AD$120,IF(31&lt;=5,$AE$120,IF(31&lt;=10,$AF$120,IF(31&lt;=15,$AG$120,IF(31&lt;=20,$AH$120,IF(31&lt;=35,$AH$120+(31-20)*$AI$120,$AK$120+(31-35)*$AJ$120))))))</f>
        <v/>
      </c>
      <c r="G156" s="38">
        <f>IF(31&lt;=2,$AD$121,$AD$121+(31-2)*$AE$121)</f>
        <v/>
      </c>
      <c r="H156" s="39">
        <f>IF(31&lt;=2,$AD$122,$AD$122+(31-2)*$AE$122)</f>
        <v/>
      </c>
    </row>
    <row r="157">
      <c r="B157" s="37" t="n">
        <v>32</v>
      </c>
      <c r="C157" s="38">
        <f>IF(32&lt;=5,$AD$117,$AD$117+(32-5)*$AE$117)</f>
        <v/>
      </c>
      <c r="D157" s="38">
        <f>IF(32&lt;=15,$AD$118,$AD$118+(32-15)*$AE$118)</f>
        <v/>
      </c>
      <c r="E157" s="38">
        <f>IF(32&lt;=2,$AD$119,IF(32&lt;=5,$AE$119,IF(32&lt;=10,$AF$119,IF(32&lt;=15,$AG$119,IF(32&lt;=20,$AH$119,IF(32&lt;=35,$AH$119+(32-20)*$AI$119,$AK$119+(32-35)*$AJ$119))))))</f>
        <v/>
      </c>
      <c r="F157" s="38">
        <f>IF(32&lt;=2,$AD$120,IF(32&lt;=5,$AE$120,IF(32&lt;=10,$AF$120,IF(32&lt;=15,$AG$120,IF(32&lt;=20,$AH$120,IF(32&lt;=35,$AH$120+(32-20)*$AI$120,$AK$120+(32-35)*$AJ$120))))))</f>
        <v/>
      </c>
      <c r="G157" s="38">
        <f>IF(32&lt;=2,$AD$121,$AD$121+(32-2)*$AE$121)</f>
        <v/>
      </c>
      <c r="H157" s="39">
        <f>IF(32&lt;=2,$AD$122,$AD$122+(32-2)*$AE$122)</f>
        <v/>
      </c>
    </row>
    <row r="158">
      <c r="B158" s="37" t="n">
        <v>33</v>
      </c>
      <c r="C158" s="38">
        <f>IF(33&lt;=5,$AD$117,$AD$117+(33-5)*$AE$117)</f>
        <v/>
      </c>
      <c r="D158" s="38">
        <f>IF(33&lt;=15,$AD$118,$AD$118+(33-15)*$AE$118)</f>
        <v/>
      </c>
      <c r="E158" s="38">
        <f>IF(33&lt;=2,$AD$119,IF(33&lt;=5,$AE$119,IF(33&lt;=10,$AF$119,IF(33&lt;=15,$AG$119,IF(33&lt;=20,$AH$119,IF(33&lt;=35,$AH$119+(33-20)*$AI$119,$AK$119+(33-35)*$AJ$119))))))</f>
        <v/>
      </c>
      <c r="F158" s="38">
        <f>IF(33&lt;=2,$AD$120,IF(33&lt;=5,$AE$120,IF(33&lt;=10,$AF$120,IF(33&lt;=15,$AG$120,IF(33&lt;=20,$AH$120,IF(33&lt;=35,$AH$120+(33-20)*$AI$120,$AK$120+(33-35)*$AJ$120))))))</f>
        <v/>
      </c>
      <c r="G158" s="38">
        <f>IF(33&lt;=2,$AD$121,$AD$121+(33-2)*$AE$121)</f>
        <v/>
      </c>
      <c r="H158" s="39">
        <f>IF(33&lt;=2,$AD$122,$AD$122+(33-2)*$AE$122)</f>
        <v/>
      </c>
    </row>
    <row r="159">
      <c r="B159" s="37" t="n">
        <v>34</v>
      </c>
      <c r="C159" s="38">
        <f>IF(34&lt;=5,$AD$117,$AD$117+(34-5)*$AE$117)</f>
        <v/>
      </c>
      <c r="D159" s="38">
        <f>IF(34&lt;=15,$AD$118,$AD$118+(34-15)*$AE$118)</f>
        <v/>
      </c>
      <c r="E159" s="38">
        <f>IF(34&lt;=2,$AD$119,IF(34&lt;=5,$AE$119,IF(34&lt;=10,$AF$119,IF(34&lt;=15,$AG$119,IF(34&lt;=20,$AH$119,IF(34&lt;=35,$AH$119+(34-20)*$AI$119,$AK$119+(34-35)*$AJ$119))))))</f>
        <v/>
      </c>
      <c r="F159" s="38">
        <f>IF(34&lt;=2,$AD$120,IF(34&lt;=5,$AE$120,IF(34&lt;=10,$AF$120,IF(34&lt;=15,$AG$120,IF(34&lt;=20,$AH$120,IF(34&lt;=35,$AH$120+(34-20)*$AI$120,$AK$120+(34-35)*$AJ$120))))))</f>
        <v/>
      </c>
      <c r="G159" s="38">
        <f>IF(34&lt;=2,$AD$121,$AD$121+(34-2)*$AE$121)</f>
        <v/>
      </c>
      <c r="H159" s="39">
        <f>IF(34&lt;=2,$AD$122,$AD$122+(34-2)*$AE$122)</f>
        <v/>
      </c>
    </row>
    <row r="160">
      <c r="B160" s="37" t="n">
        <v>35</v>
      </c>
      <c r="C160" s="38">
        <f>IF(35&lt;=5,$AD$117,$AD$117+(35-5)*$AE$117)</f>
        <v/>
      </c>
      <c r="D160" s="38">
        <f>IF(35&lt;=15,$AD$118,$AD$118+(35-15)*$AE$118)</f>
        <v/>
      </c>
      <c r="E160" s="38">
        <f>IF(35&lt;=2,$AD$119,IF(35&lt;=5,$AE$119,IF(35&lt;=10,$AF$119,IF(35&lt;=15,$AG$119,IF(35&lt;=20,$AH$119,IF(35&lt;=35,$AH$119+(35-20)*$AI$119,$AK$119+(35-35)*$AJ$119))))))</f>
        <v/>
      </c>
      <c r="F160" s="38">
        <f>IF(35&lt;=2,$AD$120,IF(35&lt;=5,$AE$120,IF(35&lt;=10,$AF$120,IF(35&lt;=15,$AG$120,IF(35&lt;=20,$AH$120,IF(35&lt;=35,$AH$120+(35-20)*$AI$120,$AK$120+(35-35)*$AJ$120))))))</f>
        <v/>
      </c>
      <c r="G160" s="38">
        <f>IF(35&lt;=2,$AD$121,$AD$121+(35-2)*$AE$121)</f>
        <v/>
      </c>
      <c r="H160" s="39">
        <f>IF(35&lt;=2,$AD$122,$AD$122+(35-2)*$AE$122)</f>
        <v/>
      </c>
    </row>
    <row r="161">
      <c r="B161" s="40" t="n">
        <v>36</v>
      </c>
      <c r="C161" s="43" t="inlineStr">
        <is>
          <t>see ECO/R</t>
        </is>
      </c>
      <c r="D161" s="43" t="inlineStr">
        <is>
          <t>see ECO/R</t>
        </is>
      </c>
      <c r="E161" s="41">
        <f>IF(36&lt;=2,$AD$119,IF(36&lt;=5,$AE$119,IF(36&lt;=10,$AF$119,IF(36&lt;=15,$AG$119,IF(36&lt;=20,$AH$119,IF(36&lt;=35,$AH$119+(36-20)*$AI$119,$AK$119+(36-35)*$AJ$119))))))</f>
        <v/>
      </c>
      <c r="F161" s="41">
        <f>IF(36&lt;=2,$AD$120,IF(36&lt;=5,$AE$120,IF(36&lt;=10,$AF$120,IF(36&lt;=15,$AG$120,IF(36&lt;=20,$AH$120,IF(36&lt;=35,$AH$120+(36-20)*$AI$120,$AK$120+(36-35)*$AJ$120))))))</f>
        <v/>
      </c>
      <c r="G161" s="41">
        <f>IF(36&lt;=2,$AD$121,$AD$121+(36-2)*$AE$121)</f>
        <v/>
      </c>
      <c r="H161" s="42">
        <f>IF(36&lt;=2,$AD$122,$AD$122+(36-2)*$AE$122)</f>
        <v/>
      </c>
    </row>
    <row r="162">
      <c r="B162" s="40" t="n">
        <v>37</v>
      </c>
      <c r="C162" s="43" t="inlineStr">
        <is>
          <t>see ECO/R</t>
        </is>
      </c>
      <c r="D162" s="43" t="inlineStr">
        <is>
          <t>see ECO/R</t>
        </is>
      </c>
      <c r="E162" s="41">
        <f>IF(37&lt;=2,$AD$119,IF(37&lt;=5,$AE$119,IF(37&lt;=10,$AF$119,IF(37&lt;=15,$AG$119,IF(37&lt;=20,$AH$119,IF(37&lt;=35,$AH$119+(37-20)*$AI$119,$AK$119+(37-35)*$AJ$119))))))</f>
        <v/>
      </c>
      <c r="F162" s="41">
        <f>IF(37&lt;=2,$AD$120,IF(37&lt;=5,$AE$120,IF(37&lt;=10,$AF$120,IF(37&lt;=15,$AG$120,IF(37&lt;=20,$AH$120,IF(37&lt;=35,$AH$120+(37-20)*$AI$120,$AK$120+(37-35)*$AJ$120))))))</f>
        <v/>
      </c>
      <c r="G162" s="41">
        <f>IF(37&lt;=2,$AD$121,$AD$121+(37-2)*$AE$121)</f>
        <v/>
      </c>
      <c r="H162" s="42">
        <f>IF(37&lt;=2,$AD$122,$AD$122+(37-2)*$AE$122)</f>
        <v/>
      </c>
    </row>
    <row r="163">
      <c r="B163" s="40" t="n">
        <v>38</v>
      </c>
      <c r="C163" s="43" t="inlineStr">
        <is>
          <t>see ECO/R</t>
        </is>
      </c>
      <c r="D163" s="43" t="inlineStr">
        <is>
          <t>see ECO/R</t>
        </is>
      </c>
      <c r="E163" s="41">
        <f>IF(38&lt;=2,$AD$119,IF(38&lt;=5,$AE$119,IF(38&lt;=10,$AF$119,IF(38&lt;=15,$AG$119,IF(38&lt;=20,$AH$119,IF(38&lt;=35,$AH$119+(38-20)*$AI$119,$AK$119+(38-35)*$AJ$119))))))</f>
        <v/>
      </c>
      <c r="F163" s="41">
        <f>IF(38&lt;=2,$AD$120,IF(38&lt;=5,$AE$120,IF(38&lt;=10,$AF$120,IF(38&lt;=15,$AG$120,IF(38&lt;=20,$AH$120,IF(38&lt;=35,$AH$120+(38-20)*$AI$120,$AK$120+(38-35)*$AJ$120))))))</f>
        <v/>
      </c>
      <c r="G163" s="41">
        <f>IF(38&lt;=2,$AD$121,$AD$121+(38-2)*$AE$121)</f>
        <v/>
      </c>
      <c r="H163" s="42">
        <f>IF(38&lt;=2,$AD$122,$AD$122+(38-2)*$AE$122)</f>
        <v/>
      </c>
    </row>
    <row r="164">
      <c r="B164" s="40" t="n">
        <v>39</v>
      </c>
      <c r="C164" s="43" t="inlineStr">
        <is>
          <t>see ECO/R</t>
        </is>
      </c>
      <c r="D164" s="43" t="inlineStr">
        <is>
          <t>see ECO/R</t>
        </is>
      </c>
      <c r="E164" s="41">
        <f>IF(39&lt;=2,$AD$119,IF(39&lt;=5,$AE$119,IF(39&lt;=10,$AF$119,IF(39&lt;=15,$AG$119,IF(39&lt;=20,$AH$119,IF(39&lt;=35,$AH$119+(39-20)*$AI$119,$AK$119+(39-35)*$AJ$119))))))</f>
        <v/>
      </c>
      <c r="F164" s="41">
        <f>IF(39&lt;=2,$AD$120,IF(39&lt;=5,$AE$120,IF(39&lt;=10,$AF$120,IF(39&lt;=15,$AG$120,IF(39&lt;=20,$AH$120,IF(39&lt;=35,$AH$120+(39-20)*$AI$120,$AK$120+(39-35)*$AJ$120))))))</f>
        <v/>
      </c>
      <c r="G164" s="41">
        <f>IF(39&lt;=2,$AD$121,$AD$121+(39-2)*$AE$121)</f>
        <v/>
      </c>
      <c r="H164" s="42">
        <f>IF(39&lt;=2,$AD$122,$AD$122+(39-2)*$AE$122)</f>
        <v/>
      </c>
    </row>
    <row r="165">
      <c r="B165" s="44" t="n">
        <v>40</v>
      </c>
      <c r="C165" s="45" t="inlineStr">
        <is>
          <t>see ECO/R</t>
        </is>
      </c>
      <c r="D165" s="45" t="inlineStr">
        <is>
          <t>see ECO/R</t>
        </is>
      </c>
      <c r="E165" s="46">
        <f>IF(40&lt;=2,$AD$119,IF(40&lt;=5,$AE$119,IF(40&lt;=10,$AF$119,IF(40&lt;=15,$AG$119,IF(40&lt;=20,$AH$119,IF(40&lt;=35,$AH$119+(40-20)*$AI$119,$AK$119+(40-35)*$AJ$119))))))</f>
        <v/>
      </c>
      <c r="F165" s="46">
        <f>IF(40&lt;=2,$AD$120,IF(40&lt;=5,$AE$120,IF(40&lt;=10,$AF$120,IF(40&lt;=15,$AG$120,IF(40&lt;=20,$AH$120,IF(40&lt;=35,$AH$120+(40-20)*$AI$120,$AK$120+(40-35)*$AJ$120))))))</f>
        <v/>
      </c>
      <c r="G165" s="46">
        <f>IF(40&lt;=2,$AD$121,$AD$121+(40-2)*$AE$121)</f>
        <v/>
      </c>
      <c r="H165" s="47">
        <f>IF(40&lt;=2,$AD$122,$AD$122+(40-2)*$AE$122)</f>
        <v/>
      </c>
    </row>
    <row r="166"/>
    <row r="167">
      <c r="B167" s="36" t="inlineStr">
        <is>
          <t>Weight-based price  —  VAT &amp; fuel levy INCLUDED</t>
        </is>
      </c>
    </row>
    <row r="168" ht="18" customHeight="1" s="98">
      <c r="B168" s="18" t="inlineStr">
        <is>
          <t>Kg</t>
        </is>
      </c>
      <c r="C168" s="19" t="inlineStr">
        <is>
          <t>LPF</t>
        </is>
      </c>
      <c r="D168" s="19" t="inlineStr">
        <is>
          <t>LPP</t>
        </is>
      </c>
      <c r="E168" s="19" t="inlineStr">
        <is>
          <t>ECO</t>
        </is>
      </c>
      <c r="F168" s="19" t="inlineStr">
        <is>
          <t>ECOR</t>
        </is>
      </c>
      <c r="G168" s="19" t="inlineStr">
        <is>
          <t>PRI</t>
        </is>
      </c>
      <c r="H168" s="20" t="inlineStr">
        <is>
          <t>PRIR</t>
        </is>
      </c>
    </row>
    <row r="169">
      <c r="B169" s="37" t="n">
        <v>1</v>
      </c>
      <c r="C169" s="38">
        <f>ROUND((IF(1&lt;=5,$AD$117,$AD$117+(1-5)*$AE$117))*(1+$C$6),2)+ROUND(ROUND((IF(1&lt;=5,$AD$117,$AD$117+(1-5)*$AE$117))*(1+$C$6),2)*(IF($G$6="YES",$E$6,0)+IF($K$6="YES",$I$6,0)),2)</f>
        <v/>
      </c>
      <c r="D169" s="38">
        <f>ROUND((IF(1&lt;=15,$AD$118,$AD$118+(1-15)*$AE$118))*(1+$C$6),2)+ROUND(ROUND((IF(1&lt;=15,$AD$118,$AD$118+(1-15)*$AE$118))*(1+$C$6),2)*(IF($G$6="YES",$E$6,0)+IF($K$6="YES",$I$6,0)),2)</f>
        <v/>
      </c>
      <c r="E169" s="38">
        <f>ROUND((IF(1&lt;=2,$AD$119,IF(1&lt;=5,$AE$119,IF(1&lt;=10,$AF$119,IF(1&lt;=15,$AG$119,IF(1&lt;=20,$AH$119,IF(1&lt;=35,$AH$119+(1-20)*$AI$119,$AK$119+(1-35)*$AJ$119)))))))*(1+$C$6),2)+ROUND(ROUND((IF(1&lt;=2,$AD$119,IF(1&lt;=5,$AE$119,IF(1&lt;=10,$AF$119,IF(1&lt;=15,$AG$119,IF(1&lt;=20,$AH$119,IF(1&lt;=35,$AH$119+(1-20)*$AI$119,$AK$119+(1-35)*$AJ$119)))))))*(1+$C$6),2)*(IF($G$6="YES",$E$6,0)+IF($K$6="YES",$I$6,0)),2)</f>
        <v/>
      </c>
      <c r="F169" s="38">
        <f>ROUND((IF(1&lt;=2,$AD$120,IF(1&lt;=5,$AE$120,IF(1&lt;=10,$AF$120,IF(1&lt;=15,$AG$120,IF(1&lt;=20,$AH$120,IF(1&lt;=35,$AH$120+(1-20)*$AI$120,$AK$120+(1-35)*$AJ$120)))))))*(1+$C$6),2)+ROUND(ROUND((IF(1&lt;=2,$AD$120,IF(1&lt;=5,$AE$120,IF(1&lt;=10,$AF$120,IF(1&lt;=15,$AG$120,IF(1&lt;=20,$AH$120,IF(1&lt;=35,$AH$120+(1-20)*$AI$120,$AK$120+(1-35)*$AJ$120)))))))*(1+$C$6),2)*(IF($G$6="YES",$E$6,0)+IF($K$6="YES",$I$6,0)),2)</f>
        <v/>
      </c>
      <c r="G169" s="38">
        <f>ROUND((IF(1&lt;=2,$AD$121,$AD$121+(1-2)*$AE$121))*(1+$C$6),2)+ROUND(ROUND((IF(1&lt;=2,$AD$121,$AD$121+(1-2)*$AE$121))*(1+$C$6),2)*(IF($G$6="YES",$E$6,0)+IF($K$6="YES",$I$6,0)),2)+(1*$E$8*IF($C$8="YES",1,0))</f>
        <v/>
      </c>
      <c r="H169" s="39">
        <f>ROUND((IF(1&lt;=2,$AD$122,$AD$122+(1-2)*$AE$122))*(1+$C$6),2)+ROUND(ROUND((IF(1&lt;=2,$AD$122,$AD$122+(1-2)*$AE$122))*(1+$C$6),2)*(IF($G$6="YES",$E$6,0)+IF($K$6="YES",$I$6,0)),2)</f>
        <v/>
      </c>
    </row>
    <row r="170">
      <c r="B170" s="37" t="n">
        <v>2</v>
      </c>
      <c r="C170" s="38">
        <f>ROUND((IF(2&lt;=5,$AD$117,$AD$117+(2-5)*$AE$117))*(1+$C$6),2)+ROUND(ROUND((IF(2&lt;=5,$AD$117,$AD$117+(2-5)*$AE$117))*(1+$C$6),2)*(IF($G$6="YES",$E$6,0)+IF($K$6="YES",$I$6,0)),2)</f>
        <v/>
      </c>
      <c r="D170" s="38">
        <f>ROUND((IF(2&lt;=15,$AD$118,$AD$118+(2-15)*$AE$118))*(1+$C$6),2)+ROUND(ROUND((IF(2&lt;=15,$AD$118,$AD$118+(2-15)*$AE$118))*(1+$C$6),2)*(IF($G$6="YES",$E$6,0)+IF($K$6="YES",$I$6,0)),2)</f>
        <v/>
      </c>
      <c r="E170" s="38">
        <f>ROUND((IF(2&lt;=2,$AD$119,IF(2&lt;=5,$AE$119,IF(2&lt;=10,$AF$119,IF(2&lt;=15,$AG$119,IF(2&lt;=20,$AH$119,IF(2&lt;=35,$AH$119+(2-20)*$AI$119,$AK$119+(2-35)*$AJ$119)))))))*(1+$C$6),2)+ROUND(ROUND((IF(2&lt;=2,$AD$119,IF(2&lt;=5,$AE$119,IF(2&lt;=10,$AF$119,IF(2&lt;=15,$AG$119,IF(2&lt;=20,$AH$119,IF(2&lt;=35,$AH$119+(2-20)*$AI$119,$AK$119+(2-35)*$AJ$119)))))))*(1+$C$6),2)*(IF($G$6="YES",$E$6,0)+IF($K$6="YES",$I$6,0)),2)</f>
        <v/>
      </c>
      <c r="F170" s="38">
        <f>ROUND((IF(2&lt;=2,$AD$120,IF(2&lt;=5,$AE$120,IF(2&lt;=10,$AF$120,IF(2&lt;=15,$AG$120,IF(2&lt;=20,$AH$120,IF(2&lt;=35,$AH$120+(2-20)*$AI$120,$AK$120+(2-35)*$AJ$120)))))))*(1+$C$6),2)+ROUND(ROUND((IF(2&lt;=2,$AD$120,IF(2&lt;=5,$AE$120,IF(2&lt;=10,$AF$120,IF(2&lt;=15,$AG$120,IF(2&lt;=20,$AH$120,IF(2&lt;=35,$AH$120+(2-20)*$AI$120,$AK$120+(2-35)*$AJ$120)))))))*(1+$C$6),2)*(IF($G$6="YES",$E$6,0)+IF($K$6="YES",$I$6,0)),2)</f>
        <v/>
      </c>
      <c r="G170" s="38">
        <f>ROUND((IF(2&lt;=2,$AD$121,$AD$121+(2-2)*$AE$121))*(1+$C$6),2)+ROUND(ROUND((IF(2&lt;=2,$AD$121,$AD$121+(2-2)*$AE$121))*(1+$C$6),2)*(IF($G$6="YES",$E$6,0)+IF($K$6="YES",$I$6,0)),2)+(2*$E$8*IF($C$8="YES",1,0))</f>
        <v/>
      </c>
      <c r="H170" s="39">
        <f>ROUND((IF(2&lt;=2,$AD$122,$AD$122+(2-2)*$AE$122))*(1+$C$6),2)+ROUND(ROUND((IF(2&lt;=2,$AD$122,$AD$122+(2-2)*$AE$122))*(1+$C$6),2)*(IF($G$6="YES",$E$6,0)+IF($K$6="YES",$I$6,0)),2)</f>
        <v/>
      </c>
    </row>
    <row r="171">
      <c r="B171" s="37" t="n">
        <v>3</v>
      </c>
      <c r="C171" s="38">
        <f>ROUND((IF(3&lt;=5,$AD$117,$AD$117+(3-5)*$AE$117))*(1+$C$6),2)+ROUND(ROUND((IF(3&lt;=5,$AD$117,$AD$117+(3-5)*$AE$117))*(1+$C$6),2)*(IF($G$6="YES",$E$6,0)+IF($K$6="YES",$I$6,0)),2)</f>
        <v/>
      </c>
      <c r="D171" s="38">
        <f>ROUND((IF(3&lt;=15,$AD$118,$AD$118+(3-15)*$AE$118))*(1+$C$6),2)+ROUND(ROUND((IF(3&lt;=15,$AD$118,$AD$118+(3-15)*$AE$118))*(1+$C$6),2)*(IF($G$6="YES",$E$6,0)+IF($K$6="YES",$I$6,0)),2)</f>
        <v/>
      </c>
      <c r="E171" s="38">
        <f>ROUND((IF(3&lt;=2,$AD$119,IF(3&lt;=5,$AE$119,IF(3&lt;=10,$AF$119,IF(3&lt;=15,$AG$119,IF(3&lt;=20,$AH$119,IF(3&lt;=35,$AH$119+(3-20)*$AI$119,$AK$119+(3-35)*$AJ$119)))))))*(1+$C$6),2)+ROUND(ROUND((IF(3&lt;=2,$AD$119,IF(3&lt;=5,$AE$119,IF(3&lt;=10,$AF$119,IF(3&lt;=15,$AG$119,IF(3&lt;=20,$AH$119,IF(3&lt;=35,$AH$119+(3-20)*$AI$119,$AK$119+(3-35)*$AJ$119)))))))*(1+$C$6),2)*(IF($G$6="YES",$E$6,0)+IF($K$6="YES",$I$6,0)),2)</f>
        <v/>
      </c>
      <c r="F171" s="38">
        <f>ROUND((IF(3&lt;=2,$AD$120,IF(3&lt;=5,$AE$120,IF(3&lt;=10,$AF$120,IF(3&lt;=15,$AG$120,IF(3&lt;=20,$AH$120,IF(3&lt;=35,$AH$120+(3-20)*$AI$120,$AK$120+(3-35)*$AJ$120)))))))*(1+$C$6),2)+ROUND(ROUND((IF(3&lt;=2,$AD$120,IF(3&lt;=5,$AE$120,IF(3&lt;=10,$AF$120,IF(3&lt;=15,$AG$120,IF(3&lt;=20,$AH$120,IF(3&lt;=35,$AH$120+(3-20)*$AI$120,$AK$120+(3-35)*$AJ$120)))))))*(1+$C$6),2)*(IF($G$6="YES",$E$6,0)+IF($K$6="YES",$I$6,0)),2)</f>
        <v/>
      </c>
      <c r="G171" s="38">
        <f>ROUND((IF(3&lt;=2,$AD$121,$AD$121+(3-2)*$AE$121))*(1+$C$6),2)+ROUND(ROUND((IF(3&lt;=2,$AD$121,$AD$121+(3-2)*$AE$121))*(1+$C$6),2)*(IF($G$6="YES",$E$6,0)+IF($K$6="YES",$I$6,0)),2)+(3*$E$8*IF($C$8="YES",1,0))</f>
        <v/>
      </c>
      <c r="H171" s="39">
        <f>ROUND((IF(3&lt;=2,$AD$122,$AD$122+(3-2)*$AE$122))*(1+$C$6),2)+ROUND(ROUND((IF(3&lt;=2,$AD$122,$AD$122+(3-2)*$AE$122))*(1+$C$6),2)*(IF($G$6="YES",$E$6,0)+IF($K$6="YES",$I$6,0)),2)</f>
        <v/>
      </c>
    </row>
    <row r="172">
      <c r="B172" s="37" t="n">
        <v>4</v>
      </c>
      <c r="C172" s="38">
        <f>ROUND((IF(4&lt;=5,$AD$117,$AD$117+(4-5)*$AE$117))*(1+$C$6),2)+ROUND(ROUND((IF(4&lt;=5,$AD$117,$AD$117+(4-5)*$AE$117))*(1+$C$6),2)*(IF($G$6="YES",$E$6,0)+IF($K$6="YES",$I$6,0)),2)</f>
        <v/>
      </c>
      <c r="D172" s="38">
        <f>ROUND((IF(4&lt;=15,$AD$118,$AD$118+(4-15)*$AE$118))*(1+$C$6),2)+ROUND(ROUND((IF(4&lt;=15,$AD$118,$AD$118+(4-15)*$AE$118))*(1+$C$6),2)*(IF($G$6="YES",$E$6,0)+IF($K$6="YES",$I$6,0)),2)</f>
        <v/>
      </c>
      <c r="E172" s="38">
        <f>ROUND((IF(4&lt;=2,$AD$119,IF(4&lt;=5,$AE$119,IF(4&lt;=10,$AF$119,IF(4&lt;=15,$AG$119,IF(4&lt;=20,$AH$119,IF(4&lt;=35,$AH$119+(4-20)*$AI$119,$AK$119+(4-35)*$AJ$119)))))))*(1+$C$6),2)+ROUND(ROUND((IF(4&lt;=2,$AD$119,IF(4&lt;=5,$AE$119,IF(4&lt;=10,$AF$119,IF(4&lt;=15,$AG$119,IF(4&lt;=20,$AH$119,IF(4&lt;=35,$AH$119+(4-20)*$AI$119,$AK$119+(4-35)*$AJ$119)))))))*(1+$C$6),2)*(IF($G$6="YES",$E$6,0)+IF($K$6="YES",$I$6,0)),2)</f>
        <v/>
      </c>
      <c r="F172" s="38">
        <f>ROUND((IF(4&lt;=2,$AD$120,IF(4&lt;=5,$AE$120,IF(4&lt;=10,$AF$120,IF(4&lt;=15,$AG$120,IF(4&lt;=20,$AH$120,IF(4&lt;=35,$AH$120+(4-20)*$AI$120,$AK$120+(4-35)*$AJ$120)))))))*(1+$C$6),2)+ROUND(ROUND((IF(4&lt;=2,$AD$120,IF(4&lt;=5,$AE$120,IF(4&lt;=10,$AF$120,IF(4&lt;=15,$AG$120,IF(4&lt;=20,$AH$120,IF(4&lt;=35,$AH$120+(4-20)*$AI$120,$AK$120+(4-35)*$AJ$120)))))))*(1+$C$6),2)*(IF($G$6="YES",$E$6,0)+IF($K$6="YES",$I$6,0)),2)</f>
        <v/>
      </c>
      <c r="G172" s="38">
        <f>ROUND((IF(4&lt;=2,$AD$121,$AD$121+(4-2)*$AE$121))*(1+$C$6),2)+ROUND(ROUND((IF(4&lt;=2,$AD$121,$AD$121+(4-2)*$AE$121))*(1+$C$6),2)*(IF($G$6="YES",$E$6,0)+IF($K$6="YES",$I$6,0)),2)+(4*$E$8*IF($C$8="YES",1,0))</f>
        <v/>
      </c>
      <c r="H172" s="39">
        <f>ROUND((IF(4&lt;=2,$AD$122,$AD$122+(4-2)*$AE$122))*(1+$C$6),2)+ROUND(ROUND((IF(4&lt;=2,$AD$122,$AD$122+(4-2)*$AE$122))*(1+$C$6),2)*(IF($G$6="YES",$E$6,0)+IF($K$6="YES",$I$6,0)),2)</f>
        <v/>
      </c>
    </row>
    <row r="173">
      <c r="B173" s="37" t="n">
        <v>5</v>
      </c>
      <c r="C173" s="38">
        <f>ROUND((IF(5&lt;=5,$AD$117,$AD$117+(5-5)*$AE$117))*(1+$C$6),2)+ROUND(ROUND((IF(5&lt;=5,$AD$117,$AD$117+(5-5)*$AE$117))*(1+$C$6),2)*(IF($G$6="YES",$E$6,0)+IF($K$6="YES",$I$6,0)),2)</f>
        <v/>
      </c>
      <c r="D173" s="38">
        <f>ROUND((IF(5&lt;=15,$AD$118,$AD$118+(5-15)*$AE$118))*(1+$C$6),2)+ROUND(ROUND((IF(5&lt;=15,$AD$118,$AD$118+(5-15)*$AE$118))*(1+$C$6),2)*(IF($G$6="YES",$E$6,0)+IF($K$6="YES",$I$6,0)),2)</f>
        <v/>
      </c>
      <c r="E173" s="38">
        <f>ROUND((IF(5&lt;=2,$AD$119,IF(5&lt;=5,$AE$119,IF(5&lt;=10,$AF$119,IF(5&lt;=15,$AG$119,IF(5&lt;=20,$AH$119,IF(5&lt;=35,$AH$119+(5-20)*$AI$119,$AK$119+(5-35)*$AJ$119)))))))*(1+$C$6),2)+ROUND(ROUND((IF(5&lt;=2,$AD$119,IF(5&lt;=5,$AE$119,IF(5&lt;=10,$AF$119,IF(5&lt;=15,$AG$119,IF(5&lt;=20,$AH$119,IF(5&lt;=35,$AH$119+(5-20)*$AI$119,$AK$119+(5-35)*$AJ$119)))))))*(1+$C$6),2)*(IF($G$6="YES",$E$6,0)+IF($K$6="YES",$I$6,0)),2)</f>
        <v/>
      </c>
      <c r="F173" s="38">
        <f>ROUND((IF(5&lt;=2,$AD$120,IF(5&lt;=5,$AE$120,IF(5&lt;=10,$AF$120,IF(5&lt;=15,$AG$120,IF(5&lt;=20,$AH$120,IF(5&lt;=35,$AH$120+(5-20)*$AI$120,$AK$120+(5-35)*$AJ$120)))))))*(1+$C$6),2)+ROUND(ROUND((IF(5&lt;=2,$AD$120,IF(5&lt;=5,$AE$120,IF(5&lt;=10,$AF$120,IF(5&lt;=15,$AG$120,IF(5&lt;=20,$AH$120,IF(5&lt;=35,$AH$120+(5-20)*$AI$120,$AK$120+(5-35)*$AJ$120)))))))*(1+$C$6),2)*(IF($G$6="YES",$E$6,0)+IF($K$6="YES",$I$6,0)),2)</f>
        <v/>
      </c>
      <c r="G173" s="38">
        <f>ROUND((IF(5&lt;=2,$AD$121,$AD$121+(5-2)*$AE$121))*(1+$C$6),2)+ROUND(ROUND((IF(5&lt;=2,$AD$121,$AD$121+(5-2)*$AE$121))*(1+$C$6),2)*(IF($G$6="YES",$E$6,0)+IF($K$6="YES",$I$6,0)),2)+(5*$E$8*IF($C$8="YES",1,0))</f>
        <v/>
      </c>
      <c r="H173" s="39">
        <f>ROUND((IF(5&lt;=2,$AD$122,$AD$122+(5-2)*$AE$122))*(1+$C$6),2)+ROUND(ROUND((IF(5&lt;=2,$AD$122,$AD$122+(5-2)*$AE$122))*(1+$C$6),2)*(IF($G$6="YES",$E$6,0)+IF($K$6="YES",$I$6,0)),2)</f>
        <v/>
      </c>
    </row>
    <row r="174">
      <c r="B174" s="40" t="n">
        <v>6</v>
      </c>
      <c r="C174" s="41">
        <f>ROUND((IF(6&lt;=5,$AD$117,$AD$117+(6-5)*$AE$117))*(1+$C$6),2)+ROUND(ROUND((IF(6&lt;=5,$AD$117,$AD$117+(6-5)*$AE$117))*(1+$C$6),2)*(IF($G$6="YES",$E$6,0)+IF($K$6="YES",$I$6,0)),2)</f>
        <v/>
      </c>
      <c r="D174" s="41">
        <f>ROUND((IF(6&lt;=15,$AD$118,$AD$118+(6-15)*$AE$118))*(1+$C$6),2)+ROUND(ROUND((IF(6&lt;=15,$AD$118,$AD$118+(6-15)*$AE$118))*(1+$C$6),2)*(IF($G$6="YES",$E$6,0)+IF($K$6="YES",$I$6,0)),2)</f>
        <v/>
      </c>
      <c r="E174" s="41">
        <f>ROUND((IF(6&lt;=2,$AD$119,IF(6&lt;=5,$AE$119,IF(6&lt;=10,$AF$119,IF(6&lt;=15,$AG$119,IF(6&lt;=20,$AH$119,IF(6&lt;=35,$AH$119+(6-20)*$AI$119,$AK$119+(6-35)*$AJ$119)))))))*(1+$C$6),2)+ROUND(ROUND((IF(6&lt;=2,$AD$119,IF(6&lt;=5,$AE$119,IF(6&lt;=10,$AF$119,IF(6&lt;=15,$AG$119,IF(6&lt;=20,$AH$119,IF(6&lt;=35,$AH$119+(6-20)*$AI$119,$AK$119+(6-35)*$AJ$119)))))))*(1+$C$6),2)*(IF($G$6="YES",$E$6,0)+IF($K$6="YES",$I$6,0)),2)</f>
        <v/>
      </c>
      <c r="F174" s="41">
        <f>ROUND((IF(6&lt;=2,$AD$120,IF(6&lt;=5,$AE$120,IF(6&lt;=10,$AF$120,IF(6&lt;=15,$AG$120,IF(6&lt;=20,$AH$120,IF(6&lt;=35,$AH$120+(6-20)*$AI$120,$AK$120+(6-35)*$AJ$120)))))))*(1+$C$6),2)+ROUND(ROUND((IF(6&lt;=2,$AD$120,IF(6&lt;=5,$AE$120,IF(6&lt;=10,$AF$120,IF(6&lt;=15,$AG$120,IF(6&lt;=20,$AH$120,IF(6&lt;=35,$AH$120+(6-20)*$AI$120,$AK$120+(6-35)*$AJ$120)))))))*(1+$C$6),2)*(IF($G$6="YES",$E$6,0)+IF($K$6="YES",$I$6,0)),2)</f>
        <v/>
      </c>
      <c r="G174" s="41">
        <f>ROUND((IF(6&lt;=2,$AD$121,$AD$121+(6-2)*$AE$121))*(1+$C$6),2)+ROUND(ROUND((IF(6&lt;=2,$AD$121,$AD$121+(6-2)*$AE$121))*(1+$C$6),2)*(IF($G$6="YES",$E$6,0)+IF($K$6="YES",$I$6,0)),2)+(6*$E$8*IF($C$8="YES",1,0))</f>
        <v/>
      </c>
      <c r="H174" s="42">
        <f>ROUND((IF(6&lt;=2,$AD$122,$AD$122+(6-2)*$AE$122))*(1+$C$6),2)+ROUND(ROUND((IF(6&lt;=2,$AD$122,$AD$122+(6-2)*$AE$122))*(1+$C$6),2)*(IF($G$6="YES",$E$6,0)+IF($K$6="YES",$I$6,0)),2)</f>
        <v/>
      </c>
    </row>
    <row r="175">
      <c r="B175" s="40" t="n">
        <v>7</v>
      </c>
      <c r="C175" s="41">
        <f>ROUND((IF(7&lt;=5,$AD$117,$AD$117+(7-5)*$AE$117))*(1+$C$6),2)+ROUND(ROUND((IF(7&lt;=5,$AD$117,$AD$117+(7-5)*$AE$117))*(1+$C$6),2)*(IF($G$6="YES",$E$6,0)+IF($K$6="YES",$I$6,0)),2)</f>
        <v/>
      </c>
      <c r="D175" s="41">
        <f>ROUND((IF(7&lt;=15,$AD$118,$AD$118+(7-15)*$AE$118))*(1+$C$6),2)+ROUND(ROUND((IF(7&lt;=15,$AD$118,$AD$118+(7-15)*$AE$118))*(1+$C$6),2)*(IF($G$6="YES",$E$6,0)+IF($K$6="YES",$I$6,0)),2)</f>
        <v/>
      </c>
      <c r="E175" s="41">
        <f>ROUND((IF(7&lt;=2,$AD$119,IF(7&lt;=5,$AE$119,IF(7&lt;=10,$AF$119,IF(7&lt;=15,$AG$119,IF(7&lt;=20,$AH$119,IF(7&lt;=35,$AH$119+(7-20)*$AI$119,$AK$119+(7-35)*$AJ$119)))))))*(1+$C$6),2)+ROUND(ROUND((IF(7&lt;=2,$AD$119,IF(7&lt;=5,$AE$119,IF(7&lt;=10,$AF$119,IF(7&lt;=15,$AG$119,IF(7&lt;=20,$AH$119,IF(7&lt;=35,$AH$119+(7-20)*$AI$119,$AK$119+(7-35)*$AJ$119)))))))*(1+$C$6),2)*(IF($G$6="YES",$E$6,0)+IF($K$6="YES",$I$6,0)),2)</f>
        <v/>
      </c>
      <c r="F175" s="41">
        <f>ROUND((IF(7&lt;=2,$AD$120,IF(7&lt;=5,$AE$120,IF(7&lt;=10,$AF$120,IF(7&lt;=15,$AG$120,IF(7&lt;=20,$AH$120,IF(7&lt;=35,$AH$120+(7-20)*$AI$120,$AK$120+(7-35)*$AJ$120)))))))*(1+$C$6),2)+ROUND(ROUND((IF(7&lt;=2,$AD$120,IF(7&lt;=5,$AE$120,IF(7&lt;=10,$AF$120,IF(7&lt;=15,$AG$120,IF(7&lt;=20,$AH$120,IF(7&lt;=35,$AH$120+(7-20)*$AI$120,$AK$120+(7-35)*$AJ$120)))))))*(1+$C$6),2)*(IF($G$6="YES",$E$6,0)+IF($K$6="YES",$I$6,0)),2)</f>
        <v/>
      </c>
      <c r="G175" s="41">
        <f>ROUND((IF(7&lt;=2,$AD$121,$AD$121+(7-2)*$AE$121))*(1+$C$6),2)+ROUND(ROUND((IF(7&lt;=2,$AD$121,$AD$121+(7-2)*$AE$121))*(1+$C$6),2)*(IF($G$6="YES",$E$6,0)+IF($K$6="YES",$I$6,0)),2)+(7*$E$8*IF($C$8="YES",1,0))</f>
        <v/>
      </c>
      <c r="H175" s="42">
        <f>ROUND((IF(7&lt;=2,$AD$122,$AD$122+(7-2)*$AE$122))*(1+$C$6),2)+ROUND(ROUND((IF(7&lt;=2,$AD$122,$AD$122+(7-2)*$AE$122))*(1+$C$6),2)*(IF($G$6="YES",$E$6,0)+IF($K$6="YES",$I$6,0)),2)</f>
        <v/>
      </c>
    </row>
    <row r="176">
      <c r="B176" s="40" t="n">
        <v>8</v>
      </c>
      <c r="C176" s="41">
        <f>ROUND((IF(8&lt;=5,$AD$117,$AD$117+(8-5)*$AE$117))*(1+$C$6),2)+ROUND(ROUND((IF(8&lt;=5,$AD$117,$AD$117+(8-5)*$AE$117))*(1+$C$6),2)*(IF($G$6="YES",$E$6,0)+IF($K$6="YES",$I$6,0)),2)</f>
        <v/>
      </c>
      <c r="D176" s="41">
        <f>ROUND((IF(8&lt;=15,$AD$118,$AD$118+(8-15)*$AE$118))*(1+$C$6),2)+ROUND(ROUND((IF(8&lt;=15,$AD$118,$AD$118+(8-15)*$AE$118))*(1+$C$6),2)*(IF($G$6="YES",$E$6,0)+IF($K$6="YES",$I$6,0)),2)</f>
        <v/>
      </c>
      <c r="E176" s="41">
        <f>ROUND((IF(8&lt;=2,$AD$119,IF(8&lt;=5,$AE$119,IF(8&lt;=10,$AF$119,IF(8&lt;=15,$AG$119,IF(8&lt;=20,$AH$119,IF(8&lt;=35,$AH$119+(8-20)*$AI$119,$AK$119+(8-35)*$AJ$119)))))))*(1+$C$6),2)+ROUND(ROUND((IF(8&lt;=2,$AD$119,IF(8&lt;=5,$AE$119,IF(8&lt;=10,$AF$119,IF(8&lt;=15,$AG$119,IF(8&lt;=20,$AH$119,IF(8&lt;=35,$AH$119+(8-20)*$AI$119,$AK$119+(8-35)*$AJ$119)))))))*(1+$C$6),2)*(IF($G$6="YES",$E$6,0)+IF($K$6="YES",$I$6,0)),2)</f>
        <v/>
      </c>
      <c r="F176" s="41">
        <f>ROUND((IF(8&lt;=2,$AD$120,IF(8&lt;=5,$AE$120,IF(8&lt;=10,$AF$120,IF(8&lt;=15,$AG$120,IF(8&lt;=20,$AH$120,IF(8&lt;=35,$AH$120+(8-20)*$AI$120,$AK$120+(8-35)*$AJ$120)))))))*(1+$C$6),2)+ROUND(ROUND((IF(8&lt;=2,$AD$120,IF(8&lt;=5,$AE$120,IF(8&lt;=10,$AF$120,IF(8&lt;=15,$AG$120,IF(8&lt;=20,$AH$120,IF(8&lt;=35,$AH$120+(8-20)*$AI$120,$AK$120+(8-35)*$AJ$120)))))))*(1+$C$6),2)*(IF($G$6="YES",$E$6,0)+IF($K$6="YES",$I$6,0)),2)</f>
        <v/>
      </c>
      <c r="G176" s="41">
        <f>ROUND((IF(8&lt;=2,$AD$121,$AD$121+(8-2)*$AE$121))*(1+$C$6),2)+ROUND(ROUND((IF(8&lt;=2,$AD$121,$AD$121+(8-2)*$AE$121))*(1+$C$6),2)*(IF($G$6="YES",$E$6,0)+IF($K$6="YES",$I$6,0)),2)+(8*$E$8*IF($C$8="YES",1,0))</f>
        <v/>
      </c>
      <c r="H176" s="42">
        <f>ROUND((IF(8&lt;=2,$AD$122,$AD$122+(8-2)*$AE$122))*(1+$C$6),2)+ROUND(ROUND((IF(8&lt;=2,$AD$122,$AD$122+(8-2)*$AE$122))*(1+$C$6),2)*(IF($G$6="YES",$E$6,0)+IF($K$6="YES",$I$6,0)),2)</f>
        <v/>
      </c>
    </row>
    <row r="177">
      <c r="B177" s="40" t="n">
        <v>9</v>
      </c>
      <c r="C177" s="41">
        <f>ROUND((IF(9&lt;=5,$AD$117,$AD$117+(9-5)*$AE$117))*(1+$C$6),2)+ROUND(ROUND((IF(9&lt;=5,$AD$117,$AD$117+(9-5)*$AE$117))*(1+$C$6),2)*(IF($G$6="YES",$E$6,0)+IF($K$6="YES",$I$6,0)),2)</f>
        <v/>
      </c>
      <c r="D177" s="41">
        <f>ROUND((IF(9&lt;=15,$AD$118,$AD$118+(9-15)*$AE$118))*(1+$C$6),2)+ROUND(ROUND((IF(9&lt;=15,$AD$118,$AD$118+(9-15)*$AE$118))*(1+$C$6),2)*(IF($G$6="YES",$E$6,0)+IF($K$6="YES",$I$6,0)),2)</f>
        <v/>
      </c>
      <c r="E177" s="41">
        <f>ROUND((IF(9&lt;=2,$AD$119,IF(9&lt;=5,$AE$119,IF(9&lt;=10,$AF$119,IF(9&lt;=15,$AG$119,IF(9&lt;=20,$AH$119,IF(9&lt;=35,$AH$119+(9-20)*$AI$119,$AK$119+(9-35)*$AJ$119)))))))*(1+$C$6),2)+ROUND(ROUND((IF(9&lt;=2,$AD$119,IF(9&lt;=5,$AE$119,IF(9&lt;=10,$AF$119,IF(9&lt;=15,$AG$119,IF(9&lt;=20,$AH$119,IF(9&lt;=35,$AH$119+(9-20)*$AI$119,$AK$119+(9-35)*$AJ$119)))))))*(1+$C$6),2)*(IF($G$6="YES",$E$6,0)+IF($K$6="YES",$I$6,0)),2)</f>
        <v/>
      </c>
      <c r="F177" s="41">
        <f>ROUND((IF(9&lt;=2,$AD$120,IF(9&lt;=5,$AE$120,IF(9&lt;=10,$AF$120,IF(9&lt;=15,$AG$120,IF(9&lt;=20,$AH$120,IF(9&lt;=35,$AH$120+(9-20)*$AI$120,$AK$120+(9-35)*$AJ$120)))))))*(1+$C$6),2)+ROUND(ROUND((IF(9&lt;=2,$AD$120,IF(9&lt;=5,$AE$120,IF(9&lt;=10,$AF$120,IF(9&lt;=15,$AG$120,IF(9&lt;=20,$AH$120,IF(9&lt;=35,$AH$120+(9-20)*$AI$120,$AK$120+(9-35)*$AJ$120)))))))*(1+$C$6),2)*(IF($G$6="YES",$E$6,0)+IF($K$6="YES",$I$6,0)),2)</f>
        <v/>
      </c>
      <c r="G177" s="41">
        <f>ROUND((IF(9&lt;=2,$AD$121,$AD$121+(9-2)*$AE$121))*(1+$C$6),2)+ROUND(ROUND((IF(9&lt;=2,$AD$121,$AD$121+(9-2)*$AE$121))*(1+$C$6),2)*(IF($G$6="YES",$E$6,0)+IF($K$6="YES",$I$6,0)),2)+(9*$E$8*IF($C$8="YES",1,0))</f>
        <v/>
      </c>
      <c r="H177" s="42">
        <f>ROUND((IF(9&lt;=2,$AD$122,$AD$122+(9-2)*$AE$122))*(1+$C$6),2)+ROUND(ROUND((IF(9&lt;=2,$AD$122,$AD$122+(9-2)*$AE$122))*(1+$C$6),2)*(IF($G$6="YES",$E$6,0)+IF($K$6="YES",$I$6,0)),2)</f>
        <v/>
      </c>
    </row>
    <row r="178">
      <c r="B178" s="40" t="n">
        <v>10</v>
      </c>
      <c r="C178" s="41">
        <f>ROUND((IF(10&lt;=5,$AD$117,$AD$117+(10-5)*$AE$117))*(1+$C$6),2)+ROUND(ROUND((IF(10&lt;=5,$AD$117,$AD$117+(10-5)*$AE$117))*(1+$C$6),2)*(IF($G$6="YES",$E$6,0)+IF($K$6="YES",$I$6,0)),2)</f>
        <v/>
      </c>
      <c r="D178" s="41">
        <f>ROUND((IF(10&lt;=15,$AD$118,$AD$118+(10-15)*$AE$118))*(1+$C$6),2)+ROUND(ROUND((IF(10&lt;=15,$AD$118,$AD$118+(10-15)*$AE$118))*(1+$C$6),2)*(IF($G$6="YES",$E$6,0)+IF($K$6="YES",$I$6,0)),2)</f>
        <v/>
      </c>
      <c r="E178" s="41">
        <f>ROUND((IF(10&lt;=2,$AD$119,IF(10&lt;=5,$AE$119,IF(10&lt;=10,$AF$119,IF(10&lt;=15,$AG$119,IF(10&lt;=20,$AH$119,IF(10&lt;=35,$AH$119+(10-20)*$AI$119,$AK$119+(10-35)*$AJ$119)))))))*(1+$C$6),2)+ROUND(ROUND((IF(10&lt;=2,$AD$119,IF(10&lt;=5,$AE$119,IF(10&lt;=10,$AF$119,IF(10&lt;=15,$AG$119,IF(10&lt;=20,$AH$119,IF(10&lt;=35,$AH$119+(10-20)*$AI$119,$AK$119+(10-35)*$AJ$119)))))))*(1+$C$6),2)*(IF($G$6="YES",$E$6,0)+IF($K$6="YES",$I$6,0)),2)</f>
        <v/>
      </c>
      <c r="F178" s="41">
        <f>ROUND((IF(10&lt;=2,$AD$120,IF(10&lt;=5,$AE$120,IF(10&lt;=10,$AF$120,IF(10&lt;=15,$AG$120,IF(10&lt;=20,$AH$120,IF(10&lt;=35,$AH$120+(10-20)*$AI$120,$AK$120+(10-35)*$AJ$120)))))))*(1+$C$6),2)+ROUND(ROUND((IF(10&lt;=2,$AD$120,IF(10&lt;=5,$AE$120,IF(10&lt;=10,$AF$120,IF(10&lt;=15,$AG$120,IF(10&lt;=20,$AH$120,IF(10&lt;=35,$AH$120+(10-20)*$AI$120,$AK$120+(10-35)*$AJ$120)))))))*(1+$C$6),2)*(IF($G$6="YES",$E$6,0)+IF($K$6="YES",$I$6,0)),2)</f>
        <v/>
      </c>
      <c r="G178" s="41">
        <f>ROUND((IF(10&lt;=2,$AD$121,$AD$121+(10-2)*$AE$121))*(1+$C$6),2)+ROUND(ROUND((IF(10&lt;=2,$AD$121,$AD$121+(10-2)*$AE$121))*(1+$C$6),2)*(IF($G$6="YES",$E$6,0)+IF($K$6="YES",$I$6,0)),2)+(10*$E$8*IF($C$8="YES",1,0))</f>
        <v/>
      </c>
      <c r="H178" s="42">
        <f>ROUND((IF(10&lt;=2,$AD$122,$AD$122+(10-2)*$AE$122))*(1+$C$6),2)+ROUND(ROUND((IF(10&lt;=2,$AD$122,$AD$122+(10-2)*$AE$122))*(1+$C$6),2)*(IF($G$6="YES",$E$6,0)+IF($K$6="YES",$I$6,0)),2)</f>
        <v/>
      </c>
    </row>
    <row r="179">
      <c r="B179" s="37" t="n">
        <v>11</v>
      </c>
      <c r="C179" s="38">
        <f>ROUND((IF(11&lt;=5,$AD$117,$AD$117+(11-5)*$AE$117))*(1+$C$6),2)+ROUND(ROUND((IF(11&lt;=5,$AD$117,$AD$117+(11-5)*$AE$117))*(1+$C$6),2)*(IF($G$6="YES",$E$6,0)+IF($K$6="YES",$I$6,0)),2)</f>
        <v/>
      </c>
      <c r="D179" s="38">
        <f>ROUND((IF(11&lt;=15,$AD$118,$AD$118+(11-15)*$AE$118))*(1+$C$6),2)+ROUND(ROUND((IF(11&lt;=15,$AD$118,$AD$118+(11-15)*$AE$118))*(1+$C$6),2)*(IF($G$6="YES",$E$6,0)+IF($K$6="YES",$I$6,0)),2)</f>
        <v/>
      </c>
      <c r="E179" s="38">
        <f>ROUND((IF(11&lt;=2,$AD$119,IF(11&lt;=5,$AE$119,IF(11&lt;=10,$AF$119,IF(11&lt;=15,$AG$119,IF(11&lt;=20,$AH$119,IF(11&lt;=35,$AH$119+(11-20)*$AI$119,$AK$119+(11-35)*$AJ$119)))))))*(1+$C$6),2)+ROUND(ROUND((IF(11&lt;=2,$AD$119,IF(11&lt;=5,$AE$119,IF(11&lt;=10,$AF$119,IF(11&lt;=15,$AG$119,IF(11&lt;=20,$AH$119,IF(11&lt;=35,$AH$119+(11-20)*$AI$119,$AK$119+(11-35)*$AJ$119)))))))*(1+$C$6),2)*(IF($G$6="YES",$E$6,0)+IF($K$6="YES",$I$6,0)),2)</f>
        <v/>
      </c>
      <c r="F179" s="38">
        <f>ROUND((IF(11&lt;=2,$AD$120,IF(11&lt;=5,$AE$120,IF(11&lt;=10,$AF$120,IF(11&lt;=15,$AG$120,IF(11&lt;=20,$AH$120,IF(11&lt;=35,$AH$120+(11-20)*$AI$120,$AK$120+(11-35)*$AJ$120)))))))*(1+$C$6),2)+ROUND(ROUND((IF(11&lt;=2,$AD$120,IF(11&lt;=5,$AE$120,IF(11&lt;=10,$AF$120,IF(11&lt;=15,$AG$120,IF(11&lt;=20,$AH$120,IF(11&lt;=35,$AH$120+(11-20)*$AI$120,$AK$120+(11-35)*$AJ$120)))))))*(1+$C$6),2)*(IF($G$6="YES",$E$6,0)+IF($K$6="YES",$I$6,0)),2)</f>
        <v/>
      </c>
      <c r="G179" s="38">
        <f>ROUND((IF(11&lt;=2,$AD$121,$AD$121+(11-2)*$AE$121))*(1+$C$6),2)+ROUND(ROUND((IF(11&lt;=2,$AD$121,$AD$121+(11-2)*$AE$121))*(1+$C$6),2)*(IF($G$6="YES",$E$6,0)+IF($K$6="YES",$I$6,0)),2)+(11*$E$8*IF($C$8="YES",1,0))</f>
        <v/>
      </c>
      <c r="H179" s="39">
        <f>ROUND((IF(11&lt;=2,$AD$122,$AD$122+(11-2)*$AE$122))*(1+$C$6),2)+ROUND(ROUND((IF(11&lt;=2,$AD$122,$AD$122+(11-2)*$AE$122))*(1+$C$6),2)*(IF($G$6="YES",$E$6,0)+IF($K$6="YES",$I$6,0)),2)</f>
        <v/>
      </c>
    </row>
    <row r="180">
      <c r="B180" s="37" t="n">
        <v>12</v>
      </c>
      <c r="C180" s="38">
        <f>ROUND((IF(12&lt;=5,$AD$117,$AD$117+(12-5)*$AE$117))*(1+$C$6),2)+ROUND(ROUND((IF(12&lt;=5,$AD$117,$AD$117+(12-5)*$AE$117))*(1+$C$6),2)*(IF($G$6="YES",$E$6,0)+IF($K$6="YES",$I$6,0)),2)</f>
        <v/>
      </c>
      <c r="D180" s="38">
        <f>ROUND((IF(12&lt;=15,$AD$118,$AD$118+(12-15)*$AE$118))*(1+$C$6),2)+ROUND(ROUND((IF(12&lt;=15,$AD$118,$AD$118+(12-15)*$AE$118))*(1+$C$6),2)*(IF($G$6="YES",$E$6,0)+IF($K$6="YES",$I$6,0)),2)</f>
        <v/>
      </c>
      <c r="E180" s="38">
        <f>ROUND((IF(12&lt;=2,$AD$119,IF(12&lt;=5,$AE$119,IF(12&lt;=10,$AF$119,IF(12&lt;=15,$AG$119,IF(12&lt;=20,$AH$119,IF(12&lt;=35,$AH$119+(12-20)*$AI$119,$AK$119+(12-35)*$AJ$119)))))))*(1+$C$6),2)+ROUND(ROUND((IF(12&lt;=2,$AD$119,IF(12&lt;=5,$AE$119,IF(12&lt;=10,$AF$119,IF(12&lt;=15,$AG$119,IF(12&lt;=20,$AH$119,IF(12&lt;=35,$AH$119+(12-20)*$AI$119,$AK$119+(12-35)*$AJ$119)))))))*(1+$C$6),2)*(IF($G$6="YES",$E$6,0)+IF($K$6="YES",$I$6,0)),2)</f>
        <v/>
      </c>
      <c r="F180" s="38">
        <f>ROUND((IF(12&lt;=2,$AD$120,IF(12&lt;=5,$AE$120,IF(12&lt;=10,$AF$120,IF(12&lt;=15,$AG$120,IF(12&lt;=20,$AH$120,IF(12&lt;=35,$AH$120+(12-20)*$AI$120,$AK$120+(12-35)*$AJ$120)))))))*(1+$C$6),2)+ROUND(ROUND((IF(12&lt;=2,$AD$120,IF(12&lt;=5,$AE$120,IF(12&lt;=10,$AF$120,IF(12&lt;=15,$AG$120,IF(12&lt;=20,$AH$120,IF(12&lt;=35,$AH$120+(12-20)*$AI$120,$AK$120+(12-35)*$AJ$120)))))))*(1+$C$6),2)*(IF($G$6="YES",$E$6,0)+IF($K$6="YES",$I$6,0)),2)</f>
        <v/>
      </c>
      <c r="G180" s="38">
        <f>ROUND((IF(12&lt;=2,$AD$121,$AD$121+(12-2)*$AE$121))*(1+$C$6),2)+ROUND(ROUND((IF(12&lt;=2,$AD$121,$AD$121+(12-2)*$AE$121))*(1+$C$6),2)*(IF($G$6="YES",$E$6,0)+IF($K$6="YES",$I$6,0)),2)+(12*$E$8*IF($C$8="YES",1,0))</f>
        <v/>
      </c>
      <c r="H180" s="39">
        <f>ROUND((IF(12&lt;=2,$AD$122,$AD$122+(12-2)*$AE$122))*(1+$C$6),2)+ROUND(ROUND((IF(12&lt;=2,$AD$122,$AD$122+(12-2)*$AE$122))*(1+$C$6),2)*(IF($G$6="YES",$E$6,0)+IF($K$6="YES",$I$6,0)),2)</f>
        <v/>
      </c>
    </row>
    <row r="181">
      <c r="B181" s="37" t="n">
        <v>13</v>
      </c>
      <c r="C181" s="38">
        <f>ROUND((IF(13&lt;=5,$AD$117,$AD$117+(13-5)*$AE$117))*(1+$C$6),2)+ROUND(ROUND((IF(13&lt;=5,$AD$117,$AD$117+(13-5)*$AE$117))*(1+$C$6),2)*(IF($G$6="YES",$E$6,0)+IF($K$6="YES",$I$6,0)),2)</f>
        <v/>
      </c>
      <c r="D181" s="38">
        <f>ROUND((IF(13&lt;=15,$AD$118,$AD$118+(13-15)*$AE$118))*(1+$C$6),2)+ROUND(ROUND((IF(13&lt;=15,$AD$118,$AD$118+(13-15)*$AE$118))*(1+$C$6),2)*(IF($G$6="YES",$E$6,0)+IF($K$6="YES",$I$6,0)),2)</f>
        <v/>
      </c>
      <c r="E181" s="38">
        <f>ROUND((IF(13&lt;=2,$AD$119,IF(13&lt;=5,$AE$119,IF(13&lt;=10,$AF$119,IF(13&lt;=15,$AG$119,IF(13&lt;=20,$AH$119,IF(13&lt;=35,$AH$119+(13-20)*$AI$119,$AK$119+(13-35)*$AJ$119)))))))*(1+$C$6),2)+ROUND(ROUND((IF(13&lt;=2,$AD$119,IF(13&lt;=5,$AE$119,IF(13&lt;=10,$AF$119,IF(13&lt;=15,$AG$119,IF(13&lt;=20,$AH$119,IF(13&lt;=35,$AH$119+(13-20)*$AI$119,$AK$119+(13-35)*$AJ$119)))))))*(1+$C$6),2)*(IF($G$6="YES",$E$6,0)+IF($K$6="YES",$I$6,0)),2)</f>
        <v/>
      </c>
      <c r="F181" s="38">
        <f>ROUND((IF(13&lt;=2,$AD$120,IF(13&lt;=5,$AE$120,IF(13&lt;=10,$AF$120,IF(13&lt;=15,$AG$120,IF(13&lt;=20,$AH$120,IF(13&lt;=35,$AH$120+(13-20)*$AI$120,$AK$120+(13-35)*$AJ$120)))))))*(1+$C$6),2)+ROUND(ROUND((IF(13&lt;=2,$AD$120,IF(13&lt;=5,$AE$120,IF(13&lt;=10,$AF$120,IF(13&lt;=15,$AG$120,IF(13&lt;=20,$AH$120,IF(13&lt;=35,$AH$120+(13-20)*$AI$120,$AK$120+(13-35)*$AJ$120)))))))*(1+$C$6),2)*(IF($G$6="YES",$E$6,0)+IF($K$6="YES",$I$6,0)),2)</f>
        <v/>
      </c>
      <c r="G181" s="38">
        <f>ROUND((IF(13&lt;=2,$AD$121,$AD$121+(13-2)*$AE$121))*(1+$C$6),2)+ROUND(ROUND((IF(13&lt;=2,$AD$121,$AD$121+(13-2)*$AE$121))*(1+$C$6),2)*(IF($G$6="YES",$E$6,0)+IF($K$6="YES",$I$6,0)),2)+(13*$E$8*IF($C$8="YES",1,0))</f>
        <v/>
      </c>
      <c r="H181" s="39">
        <f>ROUND((IF(13&lt;=2,$AD$122,$AD$122+(13-2)*$AE$122))*(1+$C$6),2)+ROUND(ROUND((IF(13&lt;=2,$AD$122,$AD$122+(13-2)*$AE$122))*(1+$C$6),2)*(IF($G$6="YES",$E$6,0)+IF($K$6="YES",$I$6,0)),2)</f>
        <v/>
      </c>
    </row>
    <row r="182">
      <c r="B182" s="37" t="n">
        <v>14</v>
      </c>
      <c r="C182" s="38">
        <f>ROUND((IF(14&lt;=5,$AD$117,$AD$117+(14-5)*$AE$117))*(1+$C$6),2)+ROUND(ROUND((IF(14&lt;=5,$AD$117,$AD$117+(14-5)*$AE$117))*(1+$C$6),2)*(IF($G$6="YES",$E$6,0)+IF($K$6="YES",$I$6,0)),2)</f>
        <v/>
      </c>
      <c r="D182" s="38">
        <f>ROUND((IF(14&lt;=15,$AD$118,$AD$118+(14-15)*$AE$118))*(1+$C$6),2)+ROUND(ROUND((IF(14&lt;=15,$AD$118,$AD$118+(14-15)*$AE$118))*(1+$C$6),2)*(IF($G$6="YES",$E$6,0)+IF($K$6="YES",$I$6,0)),2)</f>
        <v/>
      </c>
      <c r="E182" s="38">
        <f>ROUND((IF(14&lt;=2,$AD$119,IF(14&lt;=5,$AE$119,IF(14&lt;=10,$AF$119,IF(14&lt;=15,$AG$119,IF(14&lt;=20,$AH$119,IF(14&lt;=35,$AH$119+(14-20)*$AI$119,$AK$119+(14-35)*$AJ$119)))))))*(1+$C$6),2)+ROUND(ROUND((IF(14&lt;=2,$AD$119,IF(14&lt;=5,$AE$119,IF(14&lt;=10,$AF$119,IF(14&lt;=15,$AG$119,IF(14&lt;=20,$AH$119,IF(14&lt;=35,$AH$119+(14-20)*$AI$119,$AK$119+(14-35)*$AJ$119)))))))*(1+$C$6),2)*(IF($G$6="YES",$E$6,0)+IF($K$6="YES",$I$6,0)),2)</f>
        <v/>
      </c>
      <c r="F182" s="38">
        <f>ROUND((IF(14&lt;=2,$AD$120,IF(14&lt;=5,$AE$120,IF(14&lt;=10,$AF$120,IF(14&lt;=15,$AG$120,IF(14&lt;=20,$AH$120,IF(14&lt;=35,$AH$120+(14-20)*$AI$120,$AK$120+(14-35)*$AJ$120)))))))*(1+$C$6),2)+ROUND(ROUND((IF(14&lt;=2,$AD$120,IF(14&lt;=5,$AE$120,IF(14&lt;=10,$AF$120,IF(14&lt;=15,$AG$120,IF(14&lt;=20,$AH$120,IF(14&lt;=35,$AH$120+(14-20)*$AI$120,$AK$120+(14-35)*$AJ$120)))))))*(1+$C$6),2)*(IF($G$6="YES",$E$6,0)+IF($K$6="YES",$I$6,0)),2)</f>
        <v/>
      </c>
      <c r="G182" s="38">
        <f>ROUND((IF(14&lt;=2,$AD$121,$AD$121+(14-2)*$AE$121))*(1+$C$6),2)+ROUND(ROUND((IF(14&lt;=2,$AD$121,$AD$121+(14-2)*$AE$121))*(1+$C$6),2)*(IF($G$6="YES",$E$6,0)+IF($K$6="YES",$I$6,0)),2)+(14*$E$8*IF($C$8="YES",1,0))</f>
        <v/>
      </c>
      <c r="H182" s="39">
        <f>ROUND((IF(14&lt;=2,$AD$122,$AD$122+(14-2)*$AE$122))*(1+$C$6),2)+ROUND(ROUND((IF(14&lt;=2,$AD$122,$AD$122+(14-2)*$AE$122))*(1+$C$6),2)*(IF($G$6="YES",$E$6,0)+IF($K$6="YES",$I$6,0)),2)</f>
        <v/>
      </c>
    </row>
    <row r="183">
      <c r="B183" s="37" t="n">
        <v>15</v>
      </c>
      <c r="C183" s="38">
        <f>ROUND((IF(15&lt;=5,$AD$117,$AD$117+(15-5)*$AE$117))*(1+$C$6),2)+ROUND(ROUND((IF(15&lt;=5,$AD$117,$AD$117+(15-5)*$AE$117))*(1+$C$6),2)*(IF($G$6="YES",$E$6,0)+IF($K$6="YES",$I$6,0)),2)</f>
        <v/>
      </c>
      <c r="D183" s="38">
        <f>ROUND((IF(15&lt;=15,$AD$118,$AD$118+(15-15)*$AE$118))*(1+$C$6),2)+ROUND(ROUND((IF(15&lt;=15,$AD$118,$AD$118+(15-15)*$AE$118))*(1+$C$6),2)*(IF($G$6="YES",$E$6,0)+IF($K$6="YES",$I$6,0)),2)</f>
        <v/>
      </c>
      <c r="E183" s="38">
        <f>ROUND((IF(15&lt;=2,$AD$119,IF(15&lt;=5,$AE$119,IF(15&lt;=10,$AF$119,IF(15&lt;=15,$AG$119,IF(15&lt;=20,$AH$119,IF(15&lt;=35,$AH$119+(15-20)*$AI$119,$AK$119+(15-35)*$AJ$119)))))))*(1+$C$6),2)+ROUND(ROUND((IF(15&lt;=2,$AD$119,IF(15&lt;=5,$AE$119,IF(15&lt;=10,$AF$119,IF(15&lt;=15,$AG$119,IF(15&lt;=20,$AH$119,IF(15&lt;=35,$AH$119+(15-20)*$AI$119,$AK$119+(15-35)*$AJ$119)))))))*(1+$C$6),2)*(IF($G$6="YES",$E$6,0)+IF($K$6="YES",$I$6,0)),2)</f>
        <v/>
      </c>
      <c r="F183" s="38">
        <f>ROUND((IF(15&lt;=2,$AD$120,IF(15&lt;=5,$AE$120,IF(15&lt;=10,$AF$120,IF(15&lt;=15,$AG$120,IF(15&lt;=20,$AH$120,IF(15&lt;=35,$AH$120+(15-20)*$AI$120,$AK$120+(15-35)*$AJ$120)))))))*(1+$C$6),2)+ROUND(ROUND((IF(15&lt;=2,$AD$120,IF(15&lt;=5,$AE$120,IF(15&lt;=10,$AF$120,IF(15&lt;=15,$AG$120,IF(15&lt;=20,$AH$120,IF(15&lt;=35,$AH$120+(15-20)*$AI$120,$AK$120+(15-35)*$AJ$120)))))))*(1+$C$6),2)*(IF($G$6="YES",$E$6,0)+IF($K$6="YES",$I$6,0)),2)</f>
        <v/>
      </c>
      <c r="G183" s="38">
        <f>ROUND((IF(15&lt;=2,$AD$121,$AD$121+(15-2)*$AE$121))*(1+$C$6),2)+ROUND(ROUND((IF(15&lt;=2,$AD$121,$AD$121+(15-2)*$AE$121))*(1+$C$6),2)*(IF($G$6="YES",$E$6,0)+IF($K$6="YES",$I$6,0)),2)+(15*$E$8*IF($C$8="YES",1,0))</f>
        <v/>
      </c>
      <c r="H183" s="39">
        <f>ROUND((IF(15&lt;=2,$AD$122,$AD$122+(15-2)*$AE$122))*(1+$C$6),2)+ROUND(ROUND((IF(15&lt;=2,$AD$122,$AD$122+(15-2)*$AE$122))*(1+$C$6),2)*(IF($G$6="YES",$E$6,0)+IF($K$6="YES",$I$6,0)),2)</f>
        <v/>
      </c>
    </row>
    <row r="184">
      <c r="B184" s="40" t="n">
        <v>16</v>
      </c>
      <c r="C184" s="41">
        <f>ROUND((IF(16&lt;=5,$AD$117,$AD$117+(16-5)*$AE$117))*(1+$C$6),2)+ROUND(ROUND((IF(16&lt;=5,$AD$117,$AD$117+(16-5)*$AE$117))*(1+$C$6),2)*(IF($G$6="YES",$E$6,0)+IF($K$6="YES",$I$6,0)),2)</f>
        <v/>
      </c>
      <c r="D184" s="41">
        <f>ROUND((IF(16&lt;=15,$AD$118,$AD$118+(16-15)*$AE$118))*(1+$C$6),2)+ROUND(ROUND((IF(16&lt;=15,$AD$118,$AD$118+(16-15)*$AE$118))*(1+$C$6),2)*(IF($G$6="YES",$E$6,0)+IF($K$6="YES",$I$6,0)),2)</f>
        <v/>
      </c>
      <c r="E184" s="41">
        <f>ROUND((IF(16&lt;=2,$AD$119,IF(16&lt;=5,$AE$119,IF(16&lt;=10,$AF$119,IF(16&lt;=15,$AG$119,IF(16&lt;=20,$AH$119,IF(16&lt;=35,$AH$119+(16-20)*$AI$119,$AK$119+(16-35)*$AJ$119)))))))*(1+$C$6),2)+ROUND(ROUND((IF(16&lt;=2,$AD$119,IF(16&lt;=5,$AE$119,IF(16&lt;=10,$AF$119,IF(16&lt;=15,$AG$119,IF(16&lt;=20,$AH$119,IF(16&lt;=35,$AH$119+(16-20)*$AI$119,$AK$119+(16-35)*$AJ$119)))))))*(1+$C$6),2)*(IF($G$6="YES",$E$6,0)+IF($K$6="YES",$I$6,0)),2)</f>
        <v/>
      </c>
      <c r="F184" s="41">
        <f>ROUND((IF(16&lt;=2,$AD$120,IF(16&lt;=5,$AE$120,IF(16&lt;=10,$AF$120,IF(16&lt;=15,$AG$120,IF(16&lt;=20,$AH$120,IF(16&lt;=35,$AH$120+(16-20)*$AI$120,$AK$120+(16-35)*$AJ$120)))))))*(1+$C$6),2)+ROUND(ROUND((IF(16&lt;=2,$AD$120,IF(16&lt;=5,$AE$120,IF(16&lt;=10,$AF$120,IF(16&lt;=15,$AG$120,IF(16&lt;=20,$AH$120,IF(16&lt;=35,$AH$120+(16-20)*$AI$120,$AK$120+(16-35)*$AJ$120)))))))*(1+$C$6),2)*(IF($G$6="YES",$E$6,0)+IF($K$6="YES",$I$6,0)),2)</f>
        <v/>
      </c>
      <c r="G184" s="41">
        <f>ROUND((IF(16&lt;=2,$AD$121,$AD$121+(16-2)*$AE$121))*(1+$C$6),2)+ROUND(ROUND((IF(16&lt;=2,$AD$121,$AD$121+(16-2)*$AE$121))*(1+$C$6),2)*(IF($G$6="YES",$E$6,0)+IF($K$6="YES",$I$6,0)),2)+(16*$E$8*IF($C$8="YES",1,0))</f>
        <v/>
      </c>
      <c r="H184" s="42">
        <f>ROUND((IF(16&lt;=2,$AD$122,$AD$122+(16-2)*$AE$122))*(1+$C$6),2)+ROUND(ROUND((IF(16&lt;=2,$AD$122,$AD$122+(16-2)*$AE$122))*(1+$C$6),2)*(IF($G$6="YES",$E$6,0)+IF($K$6="YES",$I$6,0)),2)</f>
        <v/>
      </c>
    </row>
    <row r="185">
      <c r="B185" s="40" t="n">
        <v>17</v>
      </c>
      <c r="C185" s="41">
        <f>ROUND((IF(17&lt;=5,$AD$117,$AD$117+(17-5)*$AE$117))*(1+$C$6),2)+ROUND(ROUND((IF(17&lt;=5,$AD$117,$AD$117+(17-5)*$AE$117))*(1+$C$6),2)*(IF($G$6="YES",$E$6,0)+IF($K$6="YES",$I$6,0)),2)</f>
        <v/>
      </c>
      <c r="D185" s="41">
        <f>ROUND((IF(17&lt;=15,$AD$118,$AD$118+(17-15)*$AE$118))*(1+$C$6),2)+ROUND(ROUND((IF(17&lt;=15,$AD$118,$AD$118+(17-15)*$AE$118))*(1+$C$6),2)*(IF($G$6="YES",$E$6,0)+IF($K$6="YES",$I$6,0)),2)</f>
        <v/>
      </c>
      <c r="E185" s="41">
        <f>ROUND((IF(17&lt;=2,$AD$119,IF(17&lt;=5,$AE$119,IF(17&lt;=10,$AF$119,IF(17&lt;=15,$AG$119,IF(17&lt;=20,$AH$119,IF(17&lt;=35,$AH$119+(17-20)*$AI$119,$AK$119+(17-35)*$AJ$119)))))))*(1+$C$6),2)+ROUND(ROUND((IF(17&lt;=2,$AD$119,IF(17&lt;=5,$AE$119,IF(17&lt;=10,$AF$119,IF(17&lt;=15,$AG$119,IF(17&lt;=20,$AH$119,IF(17&lt;=35,$AH$119+(17-20)*$AI$119,$AK$119+(17-35)*$AJ$119)))))))*(1+$C$6),2)*(IF($G$6="YES",$E$6,0)+IF($K$6="YES",$I$6,0)),2)</f>
        <v/>
      </c>
      <c r="F185" s="41">
        <f>ROUND((IF(17&lt;=2,$AD$120,IF(17&lt;=5,$AE$120,IF(17&lt;=10,$AF$120,IF(17&lt;=15,$AG$120,IF(17&lt;=20,$AH$120,IF(17&lt;=35,$AH$120+(17-20)*$AI$120,$AK$120+(17-35)*$AJ$120)))))))*(1+$C$6),2)+ROUND(ROUND((IF(17&lt;=2,$AD$120,IF(17&lt;=5,$AE$120,IF(17&lt;=10,$AF$120,IF(17&lt;=15,$AG$120,IF(17&lt;=20,$AH$120,IF(17&lt;=35,$AH$120+(17-20)*$AI$120,$AK$120+(17-35)*$AJ$120)))))))*(1+$C$6),2)*(IF($G$6="YES",$E$6,0)+IF($K$6="YES",$I$6,0)),2)</f>
        <v/>
      </c>
      <c r="G185" s="41">
        <f>ROUND((IF(17&lt;=2,$AD$121,$AD$121+(17-2)*$AE$121))*(1+$C$6),2)+ROUND(ROUND((IF(17&lt;=2,$AD$121,$AD$121+(17-2)*$AE$121))*(1+$C$6),2)*(IF($G$6="YES",$E$6,0)+IF($K$6="YES",$I$6,0)),2)+(17*$E$8*IF($C$8="YES",1,0))</f>
        <v/>
      </c>
      <c r="H185" s="42">
        <f>ROUND((IF(17&lt;=2,$AD$122,$AD$122+(17-2)*$AE$122))*(1+$C$6),2)+ROUND(ROUND((IF(17&lt;=2,$AD$122,$AD$122+(17-2)*$AE$122))*(1+$C$6),2)*(IF($G$6="YES",$E$6,0)+IF($K$6="YES",$I$6,0)),2)</f>
        <v/>
      </c>
    </row>
    <row r="186">
      <c r="B186" s="40" t="n">
        <v>18</v>
      </c>
      <c r="C186" s="41">
        <f>ROUND((IF(18&lt;=5,$AD$117,$AD$117+(18-5)*$AE$117))*(1+$C$6),2)+ROUND(ROUND((IF(18&lt;=5,$AD$117,$AD$117+(18-5)*$AE$117))*(1+$C$6),2)*(IF($G$6="YES",$E$6,0)+IF($K$6="YES",$I$6,0)),2)</f>
        <v/>
      </c>
      <c r="D186" s="41">
        <f>ROUND((IF(18&lt;=15,$AD$118,$AD$118+(18-15)*$AE$118))*(1+$C$6),2)+ROUND(ROUND((IF(18&lt;=15,$AD$118,$AD$118+(18-15)*$AE$118))*(1+$C$6),2)*(IF($G$6="YES",$E$6,0)+IF($K$6="YES",$I$6,0)),2)</f>
        <v/>
      </c>
      <c r="E186" s="41">
        <f>ROUND((IF(18&lt;=2,$AD$119,IF(18&lt;=5,$AE$119,IF(18&lt;=10,$AF$119,IF(18&lt;=15,$AG$119,IF(18&lt;=20,$AH$119,IF(18&lt;=35,$AH$119+(18-20)*$AI$119,$AK$119+(18-35)*$AJ$119)))))))*(1+$C$6),2)+ROUND(ROUND((IF(18&lt;=2,$AD$119,IF(18&lt;=5,$AE$119,IF(18&lt;=10,$AF$119,IF(18&lt;=15,$AG$119,IF(18&lt;=20,$AH$119,IF(18&lt;=35,$AH$119+(18-20)*$AI$119,$AK$119+(18-35)*$AJ$119)))))))*(1+$C$6),2)*(IF($G$6="YES",$E$6,0)+IF($K$6="YES",$I$6,0)),2)</f>
        <v/>
      </c>
      <c r="F186" s="41">
        <f>ROUND((IF(18&lt;=2,$AD$120,IF(18&lt;=5,$AE$120,IF(18&lt;=10,$AF$120,IF(18&lt;=15,$AG$120,IF(18&lt;=20,$AH$120,IF(18&lt;=35,$AH$120+(18-20)*$AI$120,$AK$120+(18-35)*$AJ$120)))))))*(1+$C$6),2)+ROUND(ROUND((IF(18&lt;=2,$AD$120,IF(18&lt;=5,$AE$120,IF(18&lt;=10,$AF$120,IF(18&lt;=15,$AG$120,IF(18&lt;=20,$AH$120,IF(18&lt;=35,$AH$120+(18-20)*$AI$120,$AK$120+(18-35)*$AJ$120)))))))*(1+$C$6),2)*(IF($G$6="YES",$E$6,0)+IF($K$6="YES",$I$6,0)),2)</f>
        <v/>
      </c>
      <c r="G186" s="41">
        <f>ROUND((IF(18&lt;=2,$AD$121,$AD$121+(18-2)*$AE$121))*(1+$C$6),2)+ROUND(ROUND((IF(18&lt;=2,$AD$121,$AD$121+(18-2)*$AE$121))*(1+$C$6),2)*(IF($G$6="YES",$E$6,0)+IF($K$6="YES",$I$6,0)),2)+(18*$E$8*IF($C$8="YES",1,0))</f>
        <v/>
      </c>
      <c r="H186" s="42">
        <f>ROUND((IF(18&lt;=2,$AD$122,$AD$122+(18-2)*$AE$122))*(1+$C$6),2)+ROUND(ROUND((IF(18&lt;=2,$AD$122,$AD$122+(18-2)*$AE$122))*(1+$C$6),2)*(IF($G$6="YES",$E$6,0)+IF($K$6="YES",$I$6,0)),2)</f>
        <v/>
      </c>
    </row>
    <row r="187">
      <c r="B187" s="40" t="n">
        <v>19</v>
      </c>
      <c r="C187" s="41">
        <f>ROUND((IF(19&lt;=5,$AD$117,$AD$117+(19-5)*$AE$117))*(1+$C$6),2)+ROUND(ROUND((IF(19&lt;=5,$AD$117,$AD$117+(19-5)*$AE$117))*(1+$C$6),2)*(IF($G$6="YES",$E$6,0)+IF($K$6="YES",$I$6,0)),2)</f>
        <v/>
      </c>
      <c r="D187" s="41">
        <f>ROUND((IF(19&lt;=15,$AD$118,$AD$118+(19-15)*$AE$118))*(1+$C$6),2)+ROUND(ROUND((IF(19&lt;=15,$AD$118,$AD$118+(19-15)*$AE$118))*(1+$C$6),2)*(IF($G$6="YES",$E$6,0)+IF($K$6="YES",$I$6,0)),2)</f>
        <v/>
      </c>
      <c r="E187" s="41">
        <f>ROUND((IF(19&lt;=2,$AD$119,IF(19&lt;=5,$AE$119,IF(19&lt;=10,$AF$119,IF(19&lt;=15,$AG$119,IF(19&lt;=20,$AH$119,IF(19&lt;=35,$AH$119+(19-20)*$AI$119,$AK$119+(19-35)*$AJ$119)))))))*(1+$C$6),2)+ROUND(ROUND((IF(19&lt;=2,$AD$119,IF(19&lt;=5,$AE$119,IF(19&lt;=10,$AF$119,IF(19&lt;=15,$AG$119,IF(19&lt;=20,$AH$119,IF(19&lt;=35,$AH$119+(19-20)*$AI$119,$AK$119+(19-35)*$AJ$119)))))))*(1+$C$6),2)*(IF($G$6="YES",$E$6,0)+IF($K$6="YES",$I$6,0)),2)</f>
        <v/>
      </c>
      <c r="F187" s="41">
        <f>ROUND((IF(19&lt;=2,$AD$120,IF(19&lt;=5,$AE$120,IF(19&lt;=10,$AF$120,IF(19&lt;=15,$AG$120,IF(19&lt;=20,$AH$120,IF(19&lt;=35,$AH$120+(19-20)*$AI$120,$AK$120+(19-35)*$AJ$120)))))))*(1+$C$6),2)+ROUND(ROUND((IF(19&lt;=2,$AD$120,IF(19&lt;=5,$AE$120,IF(19&lt;=10,$AF$120,IF(19&lt;=15,$AG$120,IF(19&lt;=20,$AH$120,IF(19&lt;=35,$AH$120+(19-20)*$AI$120,$AK$120+(19-35)*$AJ$120)))))))*(1+$C$6),2)*(IF($G$6="YES",$E$6,0)+IF($K$6="YES",$I$6,0)),2)</f>
        <v/>
      </c>
      <c r="G187" s="41">
        <f>ROUND((IF(19&lt;=2,$AD$121,$AD$121+(19-2)*$AE$121))*(1+$C$6),2)+ROUND(ROUND((IF(19&lt;=2,$AD$121,$AD$121+(19-2)*$AE$121))*(1+$C$6),2)*(IF($G$6="YES",$E$6,0)+IF($K$6="YES",$I$6,0)),2)+(19*$E$8*IF($C$8="YES",1,0))</f>
        <v/>
      </c>
      <c r="H187" s="42">
        <f>ROUND((IF(19&lt;=2,$AD$122,$AD$122+(19-2)*$AE$122))*(1+$C$6),2)+ROUND(ROUND((IF(19&lt;=2,$AD$122,$AD$122+(19-2)*$AE$122))*(1+$C$6),2)*(IF($G$6="YES",$E$6,0)+IF($K$6="YES",$I$6,0)),2)</f>
        <v/>
      </c>
    </row>
    <row r="188">
      <c r="B188" s="40" t="n">
        <v>20</v>
      </c>
      <c r="C188" s="41">
        <f>ROUND((IF(20&lt;=5,$AD$117,$AD$117+(20-5)*$AE$117))*(1+$C$6),2)+ROUND(ROUND((IF(20&lt;=5,$AD$117,$AD$117+(20-5)*$AE$117))*(1+$C$6),2)*(IF($G$6="YES",$E$6,0)+IF($K$6="YES",$I$6,0)),2)</f>
        <v/>
      </c>
      <c r="D188" s="41">
        <f>ROUND((IF(20&lt;=15,$AD$118,$AD$118+(20-15)*$AE$118))*(1+$C$6),2)+ROUND(ROUND((IF(20&lt;=15,$AD$118,$AD$118+(20-15)*$AE$118))*(1+$C$6),2)*(IF($G$6="YES",$E$6,0)+IF($K$6="YES",$I$6,0)),2)</f>
        <v/>
      </c>
      <c r="E188" s="41">
        <f>ROUND((IF(20&lt;=2,$AD$119,IF(20&lt;=5,$AE$119,IF(20&lt;=10,$AF$119,IF(20&lt;=15,$AG$119,IF(20&lt;=20,$AH$119,IF(20&lt;=35,$AH$119+(20-20)*$AI$119,$AK$119+(20-35)*$AJ$119)))))))*(1+$C$6),2)+ROUND(ROUND((IF(20&lt;=2,$AD$119,IF(20&lt;=5,$AE$119,IF(20&lt;=10,$AF$119,IF(20&lt;=15,$AG$119,IF(20&lt;=20,$AH$119,IF(20&lt;=35,$AH$119+(20-20)*$AI$119,$AK$119+(20-35)*$AJ$119)))))))*(1+$C$6),2)*(IF($G$6="YES",$E$6,0)+IF($K$6="YES",$I$6,0)),2)</f>
        <v/>
      </c>
      <c r="F188" s="41">
        <f>ROUND((IF(20&lt;=2,$AD$120,IF(20&lt;=5,$AE$120,IF(20&lt;=10,$AF$120,IF(20&lt;=15,$AG$120,IF(20&lt;=20,$AH$120,IF(20&lt;=35,$AH$120+(20-20)*$AI$120,$AK$120+(20-35)*$AJ$120)))))))*(1+$C$6),2)+ROUND(ROUND((IF(20&lt;=2,$AD$120,IF(20&lt;=5,$AE$120,IF(20&lt;=10,$AF$120,IF(20&lt;=15,$AG$120,IF(20&lt;=20,$AH$120,IF(20&lt;=35,$AH$120+(20-20)*$AI$120,$AK$120+(20-35)*$AJ$120)))))))*(1+$C$6),2)*(IF($G$6="YES",$E$6,0)+IF($K$6="YES",$I$6,0)),2)</f>
        <v/>
      </c>
      <c r="G188" s="41">
        <f>ROUND((IF(20&lt;=2,$AD$121,$AD$121+(20-2)*$AE$121))*(1+$C$6),2)+ROUND(ROUND((IF(20&lt;=2,$AD$121,$AD$121+(20-2)*$AE$121))*(1+$C$6),2)*(IF($G$6="YES",$E$6,0)+IF($K$6="YES",$I$6,0)),2)+(20*$E$8*IF($C$8="YES",1,0))</f>
        <v/>
      </c>
      <c r="H188" s="42">
        <f>ROUND((IF(20&lt;=2,$AD$122,$AD$122+(20-2)*$AE$122))*(1+$C$6),2)+ROUND(ROUND((IF(20&lt;=2,$AD$122,$AD$122+(20-2)*$AE$122))*(1+$C$6),2)*(IF($G$6="YES",$E$6,0)+IF($K$6="YES",$I$6,0)),2)</f>
        <v/>
      </c>
    </row>
    <row r="189">
      <c r="B189" s="37" t="n">
        <v>21</v>
      </c>
      <c r="C189" s="38">
        <f>ROUND((IF(21&lt;=5,$AD$117,$AD$117+(21-5)*$AE$117))*(1+$C$6),2)+ROUND(ROUND((IF(21&lt;=5,$AD$117,$AD$117+(21-5)*$AE$117))*(1+$C$6),2)*(IF($G$6="YES",$E$6,0)+IF($K$6="YES",$I$6,0)),2)</f>
        <v/>
      </c>
      <c r="D189" s="38">
        <f>ROUND((IF(21&lt;=15,$AD$118,$AD$118+(21-15)*$AE$118))*(1+$C$6),2)+ROUND(ROUND((IF(21&lt;=15,$AD$118,$AD$118+(21-15)*$AE$118))*(1+$C$6),2)*(IF($G$6="YES",$E$6,0)+IF($K$6="YES",$I$6,0)),2)</f>
        <v/>
      </c>
      <c r="E189" s="38">
        <f>ROUND((IF(21&lt;=2,$AD$119,IF(21&lt;=5,$AE$119,IF(21&lt;=10,$AF$119,IF(21&lt;=15,$AG$119,IF(21&lt;=20,$AH$119,IF(21&lt;=35,$AH$119+(21-20)*$AI$119,$AK$119+(21-35)*$AJ$119)))))))*(1+$C$6),2)+ROUND(ROUND((IF(21&lt;=2,$AD$119,IF(21&lt;=5,$AE$119,IF(21&lt;=10,$AF$119,IF(21&lt;=15,$AG$119,IF(21&lt;=20,$AH$119,IF(21&lt;=35,$AH$119+(21-20)*$AI$119,$AK$119+(21-35)*$AJ$119)))))))*(1+$C$6),2)*(IF($G$6="YES",$E$6,0)+IF($K$6="YES",$I$6,0)),2)</f>
        <v/>
      </c>
      <c r="F189" s="38">
        <f>ROUND((IF(21&lt;=2,$AD$120,IF(21&lt;=5,$AE$120,IF(21&lt;=10,$AF$120,IF(21&lt;=15,$AG$120,IF(21&lt;=20,$AH$120,IF(21&lt;=35,$AH$120+(21-20)*$AI$120,$AK$120+(21-35)*$AJ$120)))))))*(1+$C$6),2)+ROUND(ROUND((IF(21&lt;=2,$AD$120,IF(21&lt;=5,$AE$120,IF(21&lt;=10,$AF$120,IF(21&lt;=15,$AG$120,IF(21&lt;=20,$AH$120,IF(21&lt;=35,$AH$120+(21-20)*$AI$120,$AK$120+(21-35)*$AJ$120)))))))*(1+$C$6),2)*(IF($G$6="YES",$E$6,0)+IF($K$6="YES",$I$6,0)),2)</f>
        <v/>
      </c>
      <c r="G189" s="38">
        <f>ROUND((IF(21&lt;=2,$AD$121,$AD$121+(21-2)*$AE$121))*(1+$C$6),2)+ROUND(ROUND((IF(21&lt;=2,$AD$121,$AD$121+(21-2)*$AE$121))*(1+$C$6),2)*(IF($G$6="YES",$E$6,0)+IF($K$6="YES",$I$6,0)),2)+(21*$E$8*IF($C$8="YES",1,0))</f>
        <v/>
      </c>
      <c r="H189" s="39">
        <f>ROUND((IF(21&lt;=2,$AD$122,$AD$122+(21-2)*$AE$122))*(1+$C$6),2)+ROUND(ROUND((IF(21&lt;=2,$AD$122,$AD$122+(21-2)*$AE$122))*(1+$C$6),2)*(IF($G$6="YES",$E$6,0)+IF($K$6="YES",$I$6,0)),2)</f>
        <v/>
      </c>
    </row>
    <row r="190">
      <c r="B190" s="37" t="n">
        <v>22</v>
      </c>
      <c r="C190" s="38">
        <f>ROUND((IF(22&lt;=5,$AD$117,$AD$117+(22-5)*$AE$117))*(1+$C$6),2)+ROUND(ROUND((IF(22&lt;=5,$AD$117,$AD$117+(22-5)*$AE$117))*(1+$C$6),2)*(IF($G$6="YES",$E$6,0)+IF($K$6="YES",$I$6,0)),2)</f>
        <v/>
      </c>
      <c r="D190" s="38">
        <f>ROUND((IF(22&lt;=15,$AD$118,$AD$118+(22-15)*$AE$118))*(1+$C$6),2)+ROUND(ROUND((IF(22&lt;=15,$AD$118,$AD$118+(22-15)*$AE$118))*(1+$C$6),2)*(IF($G$6="YES",$E$6,0)+IF($K$6="YES",$I$6,0)),2)</f>
        <v/>
      </c>
      <c r="E190" s="38">
        <f>ROUND((IF(22&lt;=2,$AD$119,IF(22&lt;=5,$AE$119,IF(22&lt;=10,$AF$119,IF(22&lt;=15,$AG$119,IF(22&lt;=20,$AH$119,IF(22&lt;=35,$AH$119+(22-20)*$AI$119,$AK$119+(22-35)*$AJ$119)))))))*(1+$C$6),2)+ROUND(ROUND((IF(22&lt;=2,$AD$119,IF(22&lt;=5,$AE$119,IF(22&lt;=10,$AF$119,IF(22&lt;=15,$AG$119,IF(22&lt;=20,$AH$119,IF(22&lt;=35,$AH$119+(22-20)*$AI$119,$AK$119+(22-35)*$AJ$119)))))))*(1+$C$6),2)*(IF($G$6="YES",$E$6,0)+IF($K$6="YES",$I$6,0)),2)</f>
        <v/>
      </c>
      <c r="F190" s="38">
        <f>ROUND((IF(22&lt;=2,$AD$120,IF(22&lt;=5,$AE$120,IF(22&lt;=10,$AF$120,IF(22&lt;=15,$AG$120,IF(22&lt;=20,$AH$120,IF(22&lt;=35,$AH$120+(22-20)*$AI$120,$AK$120+(22-35)*$AJ$120)))))))*(1+$C$6),2)+ROUND(ROUND((IF(22&lt;=2,$AD$120,IF(22&lt;=5,$AE$120,IF(22&lt;=10,$AF$120,IF(22&lt;=15,$AG$120,IF(22&lt;=20,$AH$120,IF(22&lt;=35,$AH$120+(22-20)*$AI$120,$AK$120+(22-35)*$AJ$120)))))))*(1+$C$6),2)*(IF($G$6="YES",$E$6,0)+IF($K$6="YES",$I$6,0)),2)</f>
        <v/>
      </c>
      <c r="G190" s="38">
        <f>ROUND((IF(22&lt;=2,$AD$121,$AD$121+(22-2)*$AE$121))*(1+$C$6),2)+ROUND(ROUND((IF(22&lt;=2,$AD$121,$AD$121+(22-2)*$AE$121))*(1+$C$6),2)*(IF($G$6="YES",$E$6,0)+IF($K$6="YES",$I$6,0)),2)+(22*$E$8*IF($C$8="YES",1,0))</f>
        <v/>
      </c>
      <c r="H190" s="39">
        <f>ROUND((IF(22&lt;=2,$AD$122,$AD$122+(22-2)*$AE$122))*(1+$C$6),2)+ROUND(ROUND((IF(22&lt;=2,$AD$122,$AD$122+(22-2)*$AE$122))*(1+$C$6),2)*(IF($G$6="YES",$E$6,0)+IF($K$6="YES",$I$6,0)),2)</f>
        <v/>
      </c>
    </row>
    <row r="191">
      <c r="B191" s="37" t="n">
        <v>23</v>
      </c>
      <c r="C191" s="38">
        <f>ROUND((IF(23&lt;=5,$AD$117,$AD$117+(23-5)*$AE$117))*(1+$C$6),2)+ROUND(ROUND((IF(23&lt;=5,$AD$117,$AD$117+(23-5)*$AE$117))*(1+$C$6),2)*(IF($G$6="YES",$E$6,0)+IF($K$6="YES",$I$6,0)),2)</f>
        <v/>
      </c>
      <c r="D191" s="38">
        <f>ROUND((IF(23&lt;=15,$AD$118,$AD$118+(23-15)*$AE$118))*(1+$C$6),2)+ROUND(ROUND((IF(23&lt;=15,$AD$118,$AD$118+(23-15)*$AE$118))*(1+$C$6),2)*(IF($G$6="YES",$E$6,0)+IF($K$6="YES",$I$6,0)),2)</f>
        <v/>
      </c>
      <c r="E191" s="38">
        <f>ROUND((IF(23&lt;=2,$AD$119,IF(23&lt;=5,$AE$119,IF(23&lt;=10,$AF$119,IF(23&lt;=15,$AG$119,IF(23&lt;=20,$AH$119,IF(23&lt;=35,$AH$119+(23-20)*$AI$119,$AK$119+(23-35)*$AJ$119)))))))*(1+$C$6),2)+ROUND(ROUND((IF(23&lt;=2,$AD$119,IF(23&lt;=5,$AE$119,IF(23&lt;=10,$AF$119,IF(23&lt;=15,$AG$119,IF(23&lt;=20,$AH$119,IF(23&lt;=35,$AH$119+(23-20)*$AI$119,$AK$119+(23-35)*$AJ$119)))))))*(1+$C$6),2)*(IF($G$6="YES",$E$6,0)+IF($K$6="YES",$I$6,0)),2)</f>
        <v/>
      </c>
      <c r="F191" s="38">
        <f>ROUND((IF(23&lt;=2,$AD$120,IF(23&lt;=5,$AE$120,IF(23&lt;=10,$AF$120,IF(23&lt;=15,$AG$120,IF(23&lt;=20,$AH$120,IF(23&lt;=35,$AH$120+(23-20)*$AI$120,$AK$120+(23-35)*$AJ$120)))))))*(1+$C$6),2)+ROUND(ROUND((IF(23&lt;=2,$AD$120,IF(23&lt;=5,$AE$120,IF(23&lt;=10,$AF$120,IF(23&lt;=15,$AG$120,IF(23&lt;=20,$AH$120,IF(23&lt;=35,$AH$120+(23-20)*$AI$120,$AK$120+(23-35)*$AJ$120)))))))*(1+$C$6),2)*(IF($G$6="YES",$E$6,0)+IF($K$6="YES",$I$6,0)),2)</f>
        <v/>
      </c>
      <c r="G191" s="38">
        <f>ROUND((IF(23&lt;=2,$AD$121,$AD$121+(23-2)*$AE$121))*(1+$C$6),2)+ROUND(ROUND((IF(23&lt;=2,$AD$121,$AD$121+(23-2)*$AE$121))*(1+$C$6),2)*(IF($G$6="YES",$E$6,0)+IF($K$6="YES",$I$6,0)),2)+(23*$E$8*IF($C$8="YES",1,0))</f>
        <v/>
      </c>
      <c r="H191" s="39">
        <f>ROUND((IF(23&lt;=2,$AD$122,$AD$122+(23-2)*$AE$122))*(1+$C$6),2)+ROUND(ROUND((IF(23&lt;=2,$AD$122,$AD$122+(23-2)*$AE$122))*(1+$C$6),2)*(IF($G$6="YES",$E$6,0)+IF($K$6="YES",$I$6,0)),2)</f>
        <v/>
      </c>
    </row>
    <row r="192">
      <c r="B192" s="37" t="n">
        <v>24</v>
      </c>
      <c r="C192" s="38">
        <f>ROUND((IF(24&lt;=5,$AD$117,$AD$117+(24-5)*$AE$117))*(1+$C$6),2)+ROUND(ROUND((IF(24&lt;=5,$AD$117,$AD$117+(24-5)*$AE$117))*(1+$C$6),2)*(IF($G$6="YES",$E$6,0)+IF($K$6="YES",$I$6,0)),2)</f>
        <v/>
      </c>
      <c r="D192" s="38">
        <f>ROUND((IF(24&lt;=15,$AD$118,$AD$118+(24-15)*$AE$118))*(1+$C$6),2)+ROUND(ROUND((IF(24&lt;=15,$AD$118,$AD$118+(24-15)*$AE$118))*(1+$C$6),2)*(IF($G$6="YES",$E$6,0)+IF($K$6="YES",$I$6,0)),2)</f>
        <v/>
      </c>
      <c r="E192" s="38">
        <f>ROUND((IF(24&lt;=2,$AD$119,IF(24&lt;=5,$AE$119,IF(24&lt;=10,$AF$119,IF(24&lt;=15,$AG$119,IF(24&lt;=20,$AH$119,IF(24&lt;=35,$AH$119+(24-20)*$AI$119,$AK$119+(24-35)*$AJ$119)))))))*(1+$C$6),2)+ROUND(ROUND((IF(24&lt;=2,$AD$119,IF(24&lt;=5,$AE$119,IF(24&lt;=10,$AF$119,IF(24&lt;=15,$AG$119,IF(24&lt;=20,$AH$119,IF(24&lt;=35,$AH$119+(24-20)*$AI$119,$AK$119+(24-35)*$AJ$119)))))))*(1+$C$6),2)*(IF($G$6="YES",$E$6,0)+IF($K$6="YES",$I$6,0)),2)</f>
        <v/>
      </c>
      <c r="F192" s="38">
        <f>ROUND((IF(24&lt;=2,$AD$120,IF(24&lt;=5,$AE$120,IF(24&lt;=10,$AF$120,IF(24&lt;=15,$AG$120,IF(24&lt;=20,$AH$120,IF(24&lt;=35,$AH$120+(24-20)*$AI$120,$AK$120+(24-35)*$AJ$120)))))))*(1+$C$6),2)+ROUND(ROUND((IF(24&lt;=2,$AD$120,IF(24&lt;=5,$AE$120,IF(24&lt;=10,$AF$120,IF(24&lt;=15,$AG$120,IF(24&lt;=20,$AH$120,IF(24&lt;=35,$AH$120+(24-20)*$AI$120,$AK$120+(24-35)*$AJ$120)))))))*(1+$C$6),2)*(IF($G$6="YES",$E$6,0)+IF($K$6="YES",$I$6,0)),2)</f>
        <v/>
      </c>
      <c r="G192" s="38">
        <f>ROUND((IF(24&lt;=2,$AD$121,$AD$121+(24-2)*$AE$121))*(1+$C$6),2)+ROUND(ROUND((IF(24&lt;=2,$AD$121,$AD$121+(24-2)*$AE$121))*(1+$C$6),2)*(IF($G$6="YES",$E$6,0)+IF($K$6="YES",$I$6,0)),2)+(24*$E$8*IF($C$8="YES",1,0))</f>
        <v/>
      </c>
      <c r="H192" s="39">
        <f>ROUND((IF(24&lt;=2,$AD$122,$AD$122+(24-2)*$AE$122))*(1+$C$6),2)+ROUND(ROUND((IF(24&lt;=2,$AD$122,$AD$122+(24-2)*$AE$122))*(1+$C$6),2)*(IF($G$6="YES",$E$6,0)+IF($K$6="YES",$I$6,0)),2)</f>
        <v/>
      </c>
    </row>
    <row r="193">
      <c r="B193" s="37" t="n">
        <v>25</v>
      </c>
      <c r="C193" s="38">
        <f>ROUND((IF(25&lt;=5,$AD$117,$AD$117+(25-5)*$AE$117))*(1+$C$6),2)+ROUND(ROUND((IF(25&lt;=5,$AD$117,$AD$117+(25-5)*$AE$117))*(1+$C$6),2)*(IF($G$6="YES",$E$6,0)+IF($K$6="YES",$I$6,0)),2)</f>
        <v/>
      </c>
      <c r="D193" s="38">
        <f>ROUND((IF(25&lt;=15,$AD$118,$AD$118+(25-15)*$AE$118))*(1+$C$6),2)+ROUND(ROUND((IF(25&lt;=15,$AD$118,$AD$118+(25-15)*$AE$118))*(1+$C$6),2)*(IF($G$6="YES",$E$6,0)+IF($K$6="YES",$I$6,0)),2)</f>
        <v/>
      </c>
      <c r="E193" s="38">
        <f>ROUND((IF(25&lt;=2,$AD$119,IF(25&lt;=5,$AE$119,IF(25&lt;=10,$AF$119,IF(25&lt;=15,$AG$119,IF(25&lt;=20,$AH$119,IF(25&lt;=35,$AH$119+(25-20)*$AI$119,$AK$119+(25-35)*$AJ$119)))))))*(1+$C$6),2)+ROUND(ROUND((IF(25&lt;=2,$AD$119,IF(25&lt;=5,$AE$119,IF(25&lt;=10,$AF$119,IF(25&lt;=15,$AG$119,IF(25&lt;=20,$AH$119,IF(25&lt;=35,$AH$119+(25-20)*$AI$119,$AK$119+(25-35)*$AJ$119)))))))*(1+$C$6),2)*(IF($G$6="YES",$E$6,0)+IF($K$6="YES",$I$6,0)),2)</f>
        <v/>
      </c>
      <c r="F193" s="38">
        <f>ROUND((IF(25&lt;=2,$AD$120,IF(25&lt;=5,$AE$120,IF(25&lt;=10,$AF$120,IF(25&lt;=15,$AG$120,IF(25&lt;=20,$AH$120,IF(25&lt;=35,$AH$120+(25-20)*$AI$120,$AK$120+(25-35)*$AJ$120)))))))*(1+$C$6),2)+ROUND(ROUND((IF(25&lt;=2,$AD$120,IF(25&lt;=5,$AE$120,IF(25&lt;=10,$AF$120,IF(25&lt;=15,$AG$120,IF(25&lt;=20,$AH$120,IF(25&lt;=35,$AH$120+(25-20)*$AI$120,$AK$120+(25-35)*$AJ$120)))))))*(1+$C$6),2)*(IF($G$6="YES",$E$6,0)+IF($K$6="YES",$I$6,0)),2)</f>
        <v/>
      </c>
      <c r="G193" s="38">
        <f>ROUND((IF(25&lt;=2,$AD$121,$AD$121+(25-2)*$AE$121))*(1+$C$6),2)+ROUND(ROUND((IF(25&lt;=2,$AD$121,$AD$121+(25-2)*$AE$121))*(1+$C$6),2)*(IF($G$6="YES",$E$6,0)+IF($K$6="YES",$I$6,0)),2)+(25*$E$8*IF($C$8="YES",1,0))</f>
        <v/>
      </c>
      <c r="H193" s="39">
        <f>ROUND((IF(25&lt;=2,$AD$122,$AD$122+(25-2)*$AE$122))*(1+$C$6),2)+ROUND(ROUND((IF(25&lt;=2,$AD$122,$AD$122+(25-2)*$AE$122))*(1+$C$6),2)*(IF($G$6="YES",$E$6,0)+IF($K$6="YES",$I$6,0)),2)</f>
        <v/>
      </c>
    </row>
    <row r="194">
      <c r="B194" s="40" t="n">
        <v>26</v>
      </c>
      <c r="C194" s="41">
        <f>ROUND((IF(26&lt;=5,$AD$117,$AD$117+(26-5)*$AE$117))*(1+$C$6),2)+ROUND(ROUND((IF(26&lt;=5,$AD$117,$AD$117+(26-5)*$AE$117))*(1+$C$6),2)*(IF($G$6="YES",$E$6,0)+IF($K$6="YES",$I$6,0)),2)</f>
        <v/>
      </c>
      <c r="D194" s="41">
        <f>ROUND((IF(26&lt;=15,$AD$118,$AD$118+(26-15)*$AE$118))*(1+$C$6),2)+ROUND(ROUND((IF(26&lt;=15,$AD$118,$AD$118+(26-15)*$AE$118))*(1+$C$6),2)*(IF($G$6="YES",$E$6,0)+IF($K$6="YES",$I$6,0)),2)</f>
        <v/>
      </c>
      <c r="E194" s="41">
        <f>ROUND((IF(26&lt;=2,$AD$119,IF(26&lt;=5,$AE$119,IF(26&lt;=10,$AF$119,IF(26&lt;=15,$AG$119,IF(26&lt;=20,$AH$119,IF(26&lt;=35,$AH$119+(26-20)*$AI$119,$AK$119+(26-35)*$AJ$119)))))))*(1+$C$6),2)+ROUND(ROUND((IF(26&lt;=2,$AD$119,IF(26&lt;=5,$AE$119,IF(26&lt;=10,$AF$119,IF(26&lt;=15,$AG$119,IF(26&lt;=20,$AH$119,IF(26&lt;=35,$AH$119+(26-20)*$AI$119,$AK$119+(26-35)*$AJ$119)))))))*(1+$C$6),2)*(IF($G$6="YES",$E$6,0)+IF($K$6="YES",$I$6,0)),2)</f>
        <v/>
      </c>
      <c r="F194" s="41">
        <f>ROUND((IF(26&lt;=2,$AD$120,IF(26&lt;=5,$AE$120,IF(26&lt;=10,$AF$120,IF(26&lt;=15,$AG$120,IF(26&lt;=20,$AH$120,IF(26&lt;=35,$AH$120+(26-20)*$AI$120,$AK$120+(26-35)*$AJ$120)))))))*(1+$C$6),2)+ROUND(ROUND((IF(26&lt;=2,$AD$120,IF(26&lt;=5,$AE$120,IF(26&lt;=10,$AF$120,IF(26&lt;=15,$AG$120,IF(26&lt;=20,$AH$120,IF(26&lt;=35,$AH$120+(26-20)*$AI$120,$AK$120+(26-35)*$AJ$120)))))))*(1+$C$6),2)*(IF($G$6="YES",$E$6,0)+IF($K$6="YES",$I$6,0)),2)</f>
        <v/>
      </c>
      <c r="G194" s="41">
        <f>ROUND((IF(26&lt;=2,$AD$121,$AD$121+(26-2)*$AE$121))*(1+$C$6),2)+ROUND(ROUND((IF(26&lt;=2,$AD$121,$AD$121+(26-2)*$AE$121))*(1+$C$6),2)*(IF($G$6="YES",$E$6,0)+IF($K$6="YES",$I$6,0)),2)+(26*$E$8*IF($C$8="YES",1,0))</f>
        <v/>
      </c>
      <c r="H194" s="42">
        <f>ROUND((IF(26&lt;=2,$AD$122,$AD$122+(26-2)*$AE$122))*(1+$C$6),2)+ROUND(ROUND((IF(26&lt;=2,$AD$122,$AD$122+(26-2)*$AE$122))*(1+$C$6),2)*(IF($G$6="YES",$E$6,0)+IF($K$6="YES",$I$6,0)),2)</f>
        <v/>
      </c>
    </row>
    <row r="195">
      <c r="B195" s="40" t="n">
        <v>27</v>
      </c>
      <c r="C195" s="41">
        <f>ROUND((IF(27&lt;=5,$AD$117,$AD$117+(27-5)*$AE$117))*(1+$C$6),2)+ROUND(ROUND((IF(27&lt;=5,$AD$117,$AD$117+(27-5)*$AE$117))*(1+$C$6),2)*(IF($G$6="YES",$E$6,0)+IF($K$6="YES",$I$6,0)),2)</f>
        <v/>
      </c>
      <c r="D195" s="41">
        <f>ROUND((IF(27&lt;=15,$AD$118,$AD$118+(27-15)*$AE$118))*(1+$C$6),2)+ROUND(ROUND((IF(27&lt;=15,$AD$118,$AD$118+(27-15)*$AE$118))*(1+$C$6),2)*(IF($G$6="YES",$E$6,0)+IF($K$6="YES",$I$6,0)),2)</f>
        <v/>
      </c>
      <c r="E195" s="41">
        <f>ROUND((IF(27&lt;=2,$AD$119,IF(27&lt;=5,$AE$119,IF(27&lt;=10,$AF$119,IF(27&lt;=15,$AG$119,IF(27&lt;=20,$AH$119,IF(27&lt;=35,$AH$119+(27-20)*$AI$119,$AK$119+(27-35)*$AJ$119)))))))*(1+$C$6),2)+ROUND(ROUND((IF(27&lt;=2,$AD$119,IF(27&lt;=5,$AE$119,IF(27&lt;=10,$AF$119,IF(27&lt;=15,$AG$119,IF(27&lt;=20,$AH$119,IF(27&lt;=35,$AH$119+(27-20)*$AI$119,$AK$119+(27-35)*$AJ$119)))))))*(1+$C$6),2)*(IF($G$6="YES",$E$6,0)+IF($K$6="YES",$I$6,0)),2)</f>
        <v/>
      </c>
      <c r="F195" s="41">
        <f>ROUND((IF(27&lt;=2,$AD$120,IF(27&lt;=5,$AE$120,IF(27&lt;=10,$AF$120,IF(27&lt;=15,$AG$120,IF(27&lt;=20,$AH$120,IF(27&lt;=35,$AH$120+(27-20)*$AI$120,$AK$120+(27-35)*$AJ$120)))))))*(1+$C$6),2)+ROUND(ROUND((IF(27&lt;=2,$AD$120,IF(27&lt;=5,$AE$120,IF(27&lt;=10,$AF$120,IF(27&lt;=15,$AG$120,IF(27&lt;=20,$AH$120,IF(27&lt;=35,$AH$120+(27-20)*$AI$120,$AK$120+(27-35)*$AJ$120)))))))*(1+$C$6),2)*(IF($G$6="YES",$E$6,0)+IF($K$6="YES",$I$6,0)),2)</f>
        <v/>
      </c>
      <c r="G195" s="41">
        <f>ROUND((IF(27&lt;=2,$AD$121,$AD$121+(27-2)*$AE$121))*(1+$C$6),2)+ROUND(ROUND((IF(27&lt;=2,$AD$121,$AD$121+(27-2)*$AE$121))*(1+$C$6),2)*(IF($G$6="YES",$E$6,0)+IF($K$6="YES",$I$6,0)),2)+(27*$E$8*IF($C$8="YES",1,0))</f>
        <v/>
      </c>
      <c r="H195" s="42">
        <f>ROUND((IF(27&lt;=2,$AD$122,$AD$122+(27-2)*$AE$122))*(1+$C$6),2)+ROUND(ROUND((IF(27&lt;=2,$AD$122,$AD$122+(27-2)*$AE$122))*(1+$C$6),2)*(IF($G$6="YES",$E$6,0)+IF($K$6="YES",$I$6,0)),2)</f>
        <v/>
      </c>
    </row>
    <row r="196">
      <c r="B196" s="40" t="n">
        <v>28</v>
      </c>
      <c r="C196" s="41">
        <f>ROUND((IF(28&lt;=5,$AD$117,$AD$117+(28-5)*$AE$117))*(1+$C$6),2)+ROUND(ROUND((IF(28&lt;=5,$AD$117,$AD$117+(28-5)*$AE$117))*(1+$C$6),2)*(IF($G$6="YES",$E$6,0)+IF($K$6="YES",$I$6,0)),2)</f>
        <v/>
      </c>
      <c r="D196" s="41">
        <f>ROUND((IF(28&lt;=15,$AD$118,$AD$118+(28-15)*$AE$118))*(1+$C$6),2)+ROUND(ROUND((IF(28&lt;=15,$AD$118,$AD$118+(28-15)*$AE$118))*(1+$C$6),2)*(IF($G$6="YES",$E$6,0)+IF($K$6="YES",$I$6,0)),2)</f>
        <v/>
      </c>
      <c r="E196" s="41">
        <f>ROUND((IF(28&lt;=2,$AD$119,IF(28&lt;=5,$AE$119,IF(28&lt;=10,$AF$119,IF(28&lt;=15,$AG$119,IF(28&lt;=20,$AH$119,IF(28&lt;=35,$AH$119+(28-20)*$AI$119,$AK$119+(28-35)*$AJ$119)))))))*(1+$C$6),2)+ROUND(ROUND((IF(28&lt;=2,$AD$119,IF(28&lt;=5,$AE$119,IF(28&lt;=10,$AF$119,IF(28&lt;=15,$AG$119,IF(28&lt;=20,$AH$119,IF(28&lt;=35,$AH$119+(28-20)*$AI$119,$AK$119+(28-35)*$AJ$119)))))))*(1+$C$6),2)*(IF($G$6="YES",$E$6,0)+IF($K$6="YES",$I$6,0)),2)</f>
        <v/>
      </c>
      <c r="F196" s="41">
        <f>ROUND((IF(28&lt;=2,$AD$120,IF(28&lt;=5,$AE$120,IF(28&lt;=10,$AF$120,IF(28&lt;=15,$AG$120,IF(28&lt;=20,$AH$120,IF(28&lt;=35,$AH$120+(28-20)*$AI$120,$AK$120+(28-35)*$AJ$120)))))))*(1+$C$6),2)+ROUND(ROUND((IF(28&lt;=2,$AD$120,IF(28&lt;=5,$AE$120,IF(28&lt;=10,$AF$120,IF(28&lt;=15,$AG$120,IF(28&lt;=20,$AH$120,IF(28&lt;=35,$AH$120+(28-20)*$AI$120,$AK$120+(28-35)*$AJ$120)))))))*(1+$C$6),2)*(IF($G$6="YES",$E$6,0)+IF($K$6="YES",$I$6,0)),2)</f>
        <v/>
      </c>
      <c r="G196" s="41">
        <f>ROUND((IF(28&lt;=2,$AD$121,$AD$121+(28-2)*$AE$121))*(1+$C$6),2)+ROUND(ROUND((IF(28&lt;=2,$AD$121,$AD$121+(28-2)*$AE$121))*(1+$C$6),2)*(IF($G$6="YES",$E$6,0)+IF($K$6="YES",$I$6,0)),2)+(28*$E$8*IF($C$8="YES",1,0))</f>
        <v/>
      </c>
      <c r="H196" s="42">
        <f>ROUND((IF(28&lt;=2,$AD$122,$AD$122+(28-2)*$AE$122))*(1+$C$6),2)+ROUND(ROUND((IF(28&lt;=2,$AD$122,$AD$122+(28-2)*$AE$122))*(1+$C$6),2)*(IF($G$6="YES",$E$6,0)+IF($K$6="YES",$I$6,0)),2)</f>
        <v/>
      </c>
    </row>
    <row r="197">
      <c r="B197" s="40" t="n">
        <v>29</v>
      </c>
      <c r="C197" s="41">
        <f>ROUND((IF(29&lt;=5,$AD$117,$AD$117+(29-5)*$AE$117))*(1+$C$6),2)+ROUND(ROUND((IF(29&lt;=5,$AD$117,$AD$117+(29-5)*$AE$117))*(1+$C$6),2)*(IF($G$6="YES",$E$6,0)+IF($K$6="YES",$I$6,0)),2)</f>
        <v/>
      </c>
      <c r="D197" s="41">
        <f>ROUND((IF(29&lt;=15,$AD$118,$AD$118+(29-15)*$AE$118))*(1+$C$6),2)+ROUND(ROUND((IF(29&lt;=15,$AD$118,$AD$118+(29-15)*$AE$118))*(1+$C$6),2)*(IF($G$6="YES",$E$6,0)+IF($K$6="YES",$I$6,0)),2)</f>
        <v/>
      </c>
      <c r="E197" s="41">
        <f>ROUND((IF(29&lt;=2,$AD$119,IF(29&lt;=5,$AE$119,IF(29&lt;=10,$AF$119,IF(29&lt;=15,$AG$119,IF(29&lt;=20,$AH$119,IF(29&lt;=35,$AH$119+(29-20)*$AI$119,$AK$119+(29-35)*$AJ$119)))))))*(1+$C$6),2)+ROUND(ROUND((IF(29&lt;=2,$AD$119,IF(29&lt;=5,$AE$119,IF(29&lt;=10,$AF$119,IF(29&lt;=15,$AG$119,IF(29&lt;=20,$AH$119,IF(29&lt;=35,$AH$119+(29-20)*$AI$119,$AK$119+(29-35)*$AJ$119)))))))*(1+$C$6),2)*(IF($G$6="YES",$E$6,0)+IF($K$6="YES",$I$6,0)),2)</f>
        <v/>
      </c>
      <c r="F197" s="41">
        <f>ROUND((IF(29&lt;=2,$AD$120,IF(29&lt;=5,$AE$120,IF(29&lt;=10,$AF$120,IF(29&lt;=15,$AG$120,IF(29&lt;=20,$AH$120,IF(29&lt;=35,$AH$120+(29-20)*$AI$120,$AK$120+(29-35)*$AJ$120)))))))*(1+$C$6),2)+ROUND(ROUND((IF(29&lt;=2,$AD$120,IF(29&lt;=5,$AE$120,IF(29&lt;=10,$AF$120,IF(29&lt;=15,$AG$120,IF(29&lt;=20,$AH$120,IF(29&lt;=35,$AH$120+(29-20)*$AI$120,$AK$120+(29-35)*$AJ$120)))))))*(1+$C$6),2)*(IF($G$6="YES",$E$6,0)+IF($K$6="YES",$I$6,0)),2)</f>
        <v/>
      </c>
      <c r="G197" s="41">
        <f>ROUND((IF(29&lt;=2,$AD$121,$AD$121+(29-2)*$AE$121))*(1+$C$6),2)+ROUND(ROUND((IF(29&lt;=2,$AD$121,$AD$121+(29-2)*$AE$121))*(1+$C$6),2)*(IF($G$6="YES",$E$6,0)+IF($K$6="YES",$I$6,0)),2)+(29*$E$8*IF($C$8="YES",1,0))</f>
        <v/>
      </c>
      <c r="H197" s="42">
        <f>ROUND((IF(29&lt;=2,$AD$122,$AD$122+(29-2)*$AE$122))*(1+$C$6),2)+ROUND(ROUND((IF(29&lt;=2,$AD$122,$AD$122+(29-2)*$AE$122))*(1+$C$6),2)*(IF($G$6="YES",$E$6,0)+IF($K$6="YES",$I$6,0)),2)</f>
        <v/>
      </c>
    </row>
    <row r="198">
      <c r="B198" s="40" t="n">
        <v>30</v>
      </c>
      <c r="C198" s="41">
        <f>ROUND((IF(30&lt;=5,$AD$117,$AD$117+(30-5)*$AE$117))*(1+$C$6),2)+ROUND(ROUND((IF(30&lt;=5,$AD$117,$AD$117+(30-5)*$AE$117))*(1+$C$6),2)*(IF($G$6="YES",$E$6,0)+IF($K$6="YES",$I$6,0)),2)</f>
        <v/>
      </c>
      <c r="D198" s="41">
        <f>ROUND((IF(30&lt;=15,$AD$118,$AD$118+(30-15)*$AE$118))*(1+$C$6),2)+ROUND(ROUND((IF(30&lt;=15,$AD$118,$AD$118+(30-15)*$AE$118))*(1+$C$6),2)*(IF($G$6="YES",$E$6,0)+IF($K$6="YES",$I$6,0)),2)</f>
        <v/>
      </c>
      <c r="E198" s="41">
        <f>ROUND((IF(30&lt;=2,$AD$119,IF(30&lt;=5,$AE$119,IF(30&lt;=10,$AF$119,IF(30&lt;=15,$AG$119,IF(30&lt;=20,$AH$119,IF(30&lt;=35,$AH$119+(30-20)*$AI$119,$AK$119+(30-35)*$AJ$119)))))))*(1+$C$6),2)+ROUND(ROUND((IF(30&lt;=2,$AD$119,IF(30&lt;=5,$AE$119,IF(30&lt;=10,$AF$119,IF(30&lt;=15,$AG$119,IF(30&lt;=20,$AH$119,IF(30&lt;=35,$AH$119+(30-20)*$AI$119,$AK$119+(30-35)*$AJ$119)))))))*(1+$C$6),2)*(IF($G$6="YES",$E$6,0)+IF($K$6="YES",$I$6,0)),2)</f>
        <v/>
      </c>
      <c r="F198" s="41">
        <f>ROUND((IF(30&lt;=2,$AD$120,IF(30&lt;=5,$AE$120,IF(30&lt;=10,$AF$120,IF(30&lt;=15,$AG$120,IF(30&lt;=20,$AH$120,IF(30&lt;=35,$AH$120+(30-20)*$AI$120,$AK$120+(30-35)*$AJ$120)))))))*(1+$C$6),2)+ROUND(ROUND((IF(30&lt;=2,$AD$120,IF(30&lt;=5,$AE$120,IF(30&lt;=10,$AF$120,IF(30&lt;=15,$AG$120,IF(30&lt;=20,$AH$120,IF(30&lt;=35,$AH$120+(30-20)*$AI$120,$AK$120+(30-35)*$AJ$120)))))))*(1+$C$6),2)*(IF($G$6="YES",$E$6,0)+IF($K$6="YES",$I$6,0)),2)</f>
        <v/>
      </c>
      <c r="G198" s="41">
        <f>ROUND((IF(30&lt;=2,$AD$121,$AD$121+(30-2)*$AE$121))*(1+$C$6),2)+ROUND(ROUND((IF(30&lt;=2,$AD$121,$AD$121+(30-2)*$AE$121))*(1+$C$6),2)*(IF($G$6="YES",$E$6,0)+IF($K$6="YES",$I$6,0)),2)+(30*$E$8*IF($C$8="YES",1,0))</f>
        <v/>
      </c>
      <c r="H198" s="42">
        <f>ROUND((IF(30&lt;=2,$AD$122,$AD$122+(30-2)*$AE$122))*(1+$C$6),2)+ROUND(ROUND((IF(30&lt;=2,$AD$122,$AD$122+(30-2)*$AE$122))*(1+$C$6),2)*(IF($G$6="YES",$E$6,0)+IF($K$6="YES",$I$6,0)),2)</f>
        <v/>
      </c>
    </row>
    <row r="199">
      <c r="B199" s="37" t="n">
        <v>31</v>
      </c>
      <c r="C199" s="38">
        <f>ROUND((IF(31&lt;=5,$AD$117,$AD$117+(31-5)*$AE$117))*(1+$C$6),2)+ROUND(ROUND((IF(31&lt;=5,$AD$117,$AD$117+(31-5)*$AE$117))*(1+$C$6),2)*(IF($G$6="YES",$E$6,0)+IF($K$6="YES",$I$6,0)),2)</f>
        <v/>
      </c>
      <c r="D199" s="38">
        <f>ROUND((IF(31&lt;=15,$AD$118,$AD$118+(31-15)*$AE$118))*(1+$C$6),2)+ROUND(ROUND((IF(31&lt;=15,$AD$118,$AD$118+(31-15)*$AE$118))*(1+$C$6),2)*(IF($G$6="YES",$E$6,0)+IF($K$6="YES",$I$6,0)),2)</f>
        <v/>
      </c>
      <c r="E199" s="38">
        <f>ROUND((IF(31&lt;=2,$AD$119,IF(31&lt;=5,$AE$119,IF(31&lt;=10,$AF$119,IF(31&lt;=15,$AG$119,IF(31&lt;=20,$AH$119,IF(31&lt;=35,$AH$119+(31-20)*$AI$119,$AK$119+(31-35)*$AJ$119)))))))*(1+$C$6),2)+ROUND(ROUND((IF(31&lt;=2,$AD$119,IF(31&lt;=5,$AE$119,IF(31&lt;=10,$AF$119,IF(31&lt;=15,$AG$119,IF(31&lt;=20,$AH$119,IF(31&lt;=35,$AH$119+(31-20)*$AI$119,$AK$119+(31-35)*$AJ$119)))))))*(1+$C$6),2)*(IF($G$6="YES",$E$6,0)+IF($K$6="YES",$I$6,0)),2)</f>
        <v/>
      </c>
      <c r="F199" s="38">
        <f>ROUND((IF(31&lt;=2,$AD$120,IF(31&lt;=5,$AE$120,IF(31&lt;=10,$AF$120,IF(31&lt;=15,$AG$120,IF(31&lt;=20,$AH$120,IF(31&lt;=35,$AH$120+(31-20)*$AI$120,$AK$120+(31-35)*$AJ$120)))))))*(1+$C$6),2)+ROUND(ROUND((IF(31&lt;=2,$AD$120,IF(31&lt;=5,$AE$120,IF(31&lt;=10,$AF$120,IF(31&lt;=15,$AG$120,IF(31&lt;=20,$AH$120,IF(31&lt;=35,$AH$120+(31-20)*$AI$120,$AK$120+(31-35)*$AJ$120)))))))*(1+$C$6),2)*(IF($G$6="YES",$E$6,0)+IF($K$6="YES",$I$6,0)),2)</f>
        <v/>
      </c>
      <c r="G199" s="38">
        <f>ROUND((IF(31&lt;=2,$AD$121,$AD$121+(31-2)*$AE$121))*(1+$C$6),2)+ROUND(ROUND((IF(31&lt;=2,$AD$121,$AD$121+(31-2)*$AE$121))*(1+$C$6),2)*(IF($G$6="YES",$E$6,0)+IF($K$6="YES",$I$6,0)),2)+(31*$E$8*IF($C$8="YES",1,0))</f>
        <v/>
      </c>
      <c r="H199" s="39">
        <f>ROUND((IF(31&lt;=2,$AD$122,$AD$122+(31-2)*$AE$122))*(1+$C$6),2)+ROUND(ROUND((IF(31&lt;=2,$AD$122,$AD$122+(31-2)*$AE$122))*(1+$C$6),2)*(IF($G$6="YES",$E$6,0)+IF($K$6="YES",$I$6,0)),2)</f>
        <v/>
      </c>
    </row>
    <row r="200">
      <c r="B200" s="37" t="n">
        <v>32</v>
      </c>
      <c r="C200" s="38">
        <f>ROUND((IF(32&lt;=5,$AD$117,$AD$117+(32-5)*$AE$117))*(1+$C$6),2)+ROUND(ROUND((IF(32&lt;=5,$AD$117,$AD$117+(32-5)*$AE$117))*(1+$C$6),2)*(IF($G$6="YES",$E$6,0)+IF($K$6="YES",$I$6,0)),2)</f>
        <v/>
      </c>
      <c r="D200" s="38">
        <f>ROUND((IF(32&lt;=15,$AD$118,$AD$118+(32-15)*$AE$118))*(1+$C$6),2)+ROUND(ROUND((IF(32&lt;=15,$AD$118,$AD$118+(32-15)*$AE$118))*(1+$C$6),2)*(IF($G$6="YES",$E$6,0)+IF($K$6="YES",$I$6,0)),2)</f>
        <v/>
      </c>
      <c r="E200" s="38">
        <f>ROUND((IF(32&lt;=2,$AD$119,IF(32&lt;=5,$AE$119,IF(32&lt;=10,$AF$119,IF(32&lt;=15,$AG$119,IF(32&lt;=20,$AH$119,IF(32&lt;=35,$AH$119+(32-20)*$AI$119,$AK$119+(32-35)*$AJ$119)))))))*(1+$C$6),2)+ROUND(ROUND((IF(32&lt;=2,$AD$119,IF(32&lt;=5,$AE$119,IF(32&lt;=10,$AF$119,IF(32&lt;=15,$AG$119,IF(32&lt;=20,$AH$119,IF(32&lt;=35,$AH$119+(32-20)*$AI$119,$AK$119+(32-35)*$AJ$119)))))))*(1+$C$6),2)*(IF($G$6="YES",$E$6,0)+IF($K$6="YES",$I$6,0)),2)</f>
        <v/>
      </c>
      <c r="F200" s="38">
        <f>ROUND((IF(32&lt;=2,$AD$120,IF(32&lt;=5,$AE$120,IF(32&lt;=10,$AF$120,IF(32&lt;=15,$AG$120,IF(32&lt;=20,$AH$120,IF(32&lt;=35,$AH$120+(32-20)*$AI$120,$AK$120+(32-35)*$AJ$120)))))))*(1+$C$6),2)+ROUND(ROUND((IF(32&lt;=2,$AD$120,IF(32&lt;=5,$AE$120,IF(32&lt;=10,$AF$120,IF(32&lt;=15,$AG$120,IF(32&lt;=20,$AH$120,IF(32&lt;=35,$AH$120+(32-20)*$AI$120,$AK$120+(32-35)*$AJ$120)))))))*(1+$C$6),2)*(IF($G$6="YES",$E$6,0)+IF($K$6="YES",$I$6,0)),2)</f>
        <v/>
      </c>
      <c r="G200" s="38">
        <f>ROUND((IF(32&lt;=2,$AD$121,$AD$121+(32-2)*$AE$121))*(1+$C$6),2)+ROUND(ROUND((IF(32&lt;=2,$AD$121,$AD$121+(32-2)*$AE$121))*(1+$C$6),2)*(IF($G$6="YES",$E$6,0)+IF($K$6="YES",$I$6,0)),2)+(32*$E$8*IF($C$8="YES",1,0))</f>
        <v/>
      </c>
      <c r="H200" s="39">
        <f>ROUND((IF(32&lt;=2,$AD$122,$AD$122+(32-2)*$AE$122))*(1+$C$6),2)+ROUND(ROUND((IF(32&lt;=2,$AD$122,$AD$122+(32-2)*$AE$122))*(1+$C$6),2)*(IF($G$6="YES",$E$6,0)+IF($K$6="YES",$I$6,0)),2)</f>
        <v/>
      </c>
    </row>
    <row r="201">
      <c r="B201" s="37" t="n">
        <v>33</v>
      </c>
      <c r="C201" s="38">
        <f>ROUND((IF(33&lt;=5,$AD$117,$AD$117+(33-5)*$AE$117))*(1+$C$6),2)+ROUND(ROUND((IF(33&lt;=5,$AD$117,$AD$117+(33-5)*$AE$117))*(1+$C$6),2)*(IF($G$6="YES",$E$6,0)+IF($K$6="YES",$I$6,0)),2)</f>
        <v/>
      </c>
      <c r="D201" s="38">
        <f>ROUND((IF(33&lt;=15,$AD$118,$AD$118+(33-15)*$AE$118))*(1+$C$6),2)+ROUND(ROUND((IF(33&lt;=15,$AD$118,$AD$118+(33-15)*$AE$118))*(1+$C$6),2)*(IF($G$6="YES",$E$6,0)+IF($K$6="YES",$I$6,0)),2)</f>
        <v/>
      </c>
      <c r="E201" s="38">
        <f>ROUND((IF(33&lt;=2,$AD$119,IF(33&lt;=5,$AE$119,IF(33&lt;=10,$AF$119,IF(33&lt;=15,$AG$119,IF(33&lt;=20,$AH$119,IF(33&lt;=35,$AH$119+(33-20)*$AI$119,$AK$119+(33-35)*$AJ$119)))))))*(1+$C$6),2)+ROUND(ROUND((IF(33&lt;=2,$AD$119,IF(33&lt;=5,$AE$119,IF(33&lt;=10,$AF$119,IF(33&lt;=15,$AG$119,IF(33&lt;=20,$AH$119,IF(33&lt;=35,$AH$119+(33-20)*$AI$119,$AK$119+(33-35)*$AJ$119)))))))*(1+$C$6),2)*(IF($G$6="YES",$E$6,0)+IF($K$6="YES",$I$6,0)),2)</f>
        <v/>
      </c>
      <c r="F201" s="38">
        <f>ROUND((IF(33&lt;=2,$AD$120,IF(33&lt;=5,$AE$120,IF(33&lt;=10,$AF$120,IF(33&lt;=15,$AG$120,IF(33&lt;=20,$AH$120,IF(33&lt;=35,$AH$120+(33-20)*$AI$120,$AK$120+(33-35)*$AJ$120)))))))*(1+$C$6),2)+ROUND(ROUND((IF(33&lt;=2,$AD$120,IF(33&lt;=5,$AE$120,IF(33&lt;=10,$AF$120,IF(33&lt;=15,$AG$120,IF(33&lt;=20,$AH$120,IF(33&lt;=35,$AH$120+(33-20)*$AI$120,$AK$120+(33-35)*$AJ$120)))))))*(1+$C$6),2)*(IF($G$6="YES",$E$6,0)+IF($K$6="YES",$I$6,0)),2)</f>
        <v/>
      </c>
      <c r="G201" s="38">
        <f>ROUND((IF(33&lt;=2,$AD$121,$AD$121+(33-2)*$AE$121))*(1+$C$6),2)+ROUND(ROUND((IF(33&lt;=2,$AD$121,$AD$121+(33-2)*$AE$121))*(1+$C$6),2)*(IF($G$6="YES",$E$6,0)+IF($K$6="YES",$I$6,0)),2)+(33*$E$8*IF($C$8="YES",1,0))</f>
        <v/>
      </c>
      <c r="H201" s="39">
        <f>ROUND((IF(33&lt;=2,$AD$122,$AD$122+(33-2)*$AE$122))*(1+$C$6),2)+ROUND(ROUND((IF(33&lt;=2,$AD$122,$AD$122+(33-2)*$AE$122))*(1+$C$6),2)*(IF($G$6="YES",$E$6,0)+IF($K$6="YES",$I$6,0)),2)</f>
        <v/>
      </c>
    </row>
    <row r="202">
      <c r="B202" s="37" t="n">
        <v>34</v>
      </c>
      <c r="C202" s="38">
        <f>ROUND((IF(34&lt;=5,$AD$117,$AD$117+(34-5)*$AE$117))*(1+$C$6),2)+ROUND(ROUND((IF(34&lt;=5,$AD$117,$AD$117+(34-5)*$AE$117))*(1+$C$6),2)*(IF($G$6="YES",$E$6,0)+IF($K$6="YES",$I$6,0)),2)</f>
        <v/>
      </c>
      <c r="D202" s="38">
        <f>ROUND((IF(34&lt;=15,$AD$118,$AD$118+(34-15)*$AE$118))*(1+$C$6),2)+ROUND(ROUND((IF(34&lt;=15,$AD$118,$AD$118+(34-15)*$AE$118))*(1+$C$6),2)*(IF($G$6="YES",$E$6,0)+IF($K$6="YES",$I$6,0)),2)</f>
        <v/>
      </c>
      <c r="E202" s="38">
        <f>ROUND((IF(34&lt;=2,$AD$119,IF(34&lt;=5,$AE$119,IF(34&lt;=10,$AF$119,IF(34&lt;=15,$AG$119,IF(34&lt;=20,$AH$119,IF(34&lt;=35,$AH$119+(34-20)*$AI$119,$AK$119+(34-35)*$AJ$119)))))))*(1+$C$6),2)+ROUND(ROUND((IF(34&lt;=2,$AD$119,IF(34&lt;=5,$AE$119,IF(34&lt;=10,$AF$119,IF(34&lt;=15,$AG$119,IF(34&lt;=20,$AH$119,IF(34&lt;=35,$AH$119+(34-20)*$AI$119,$AK$119+(34-35)*$AJ$119)))))))*(1+$C$6),2)*(IF($G$6="YES",$E$6,0)+IF($K$6="YES",$I$6,0)),2)</f>
        <v/>
      </c>
      <c r="F202" s="38">
        <f>ROUND((IF(34&lt;=2,$AD$120,IF(34&lt;=5,$AE$120,IF(34&lt;=10,$AF$120,IF(34&lt;=15,$AG$120,IF(34&lt;=20,$AH$120,IF(34&lt;=35,$AH$120+(34-20)*$AI$120,$AK$120+(34-35)*$AJ$120)))))))*(1+$C$6),2)+ROUND(ROUND((IF(34&lt;=2,$AD$120,IF(34&lt;=5,$AE$120,IF(34&lt;=10,$AF$120,IF(34&lt;=15,$AG$120,IF(34&lt;=20,$AH$120,IF(34&lt;=35,$AH$120+(34-20)*$AI$120,$AK$120+(34-35)*$AJ$120)))))))*(1+$C$6),2)*(IF($G$6="YES",$E$6,0)+IF($K$6="YES",$I$6,0)),2)</f>
        <v/>
      </c>
      <c r="G202" s="38">
        <f>ROUND((IF(34&lt;=2,$AD$121,$AD$121+(34-2)*$AE$121))*(1+$C$6),2)+ROUND(ROUND((IF(34&lt;=2,$AD$121,$AD$121+(34-2)*$AE$121))*(1+$C$6),2)*(IF($G$6="YES",$E$6,0)+IF($K$6="YES",$I$6,0)),2)+(34*$E$8*IF($C$8="YES",1,0))</f>
        <v/>
      </c>
      <c r="H202" s="39">
        <f>ROUND((IF(34&lt;=2,$AD$122,$AD$122+(34-2)*$AE$122))*(1+$C$6),2)+ROUND(ROUND((IF(34&lt;=2,$AD$122,$AD$122+(34-2)*$AE$122))*(1+$C$6),2)*(IF($G$6="YES",$E$6,0)+IF($K$6="YES",$I$6,0)),2)</f>
        <v/>
      </c>
    </row>
    <row r="203">
      <c r="B203" s="37" t="n">
        <v>35</v>
      </c>
      <c r="C203" s="38">
        <f>ROUND((IF(35&lt;=5,$AD$117,$AD$117+(35-5)*$AE$117))*(1+$C$6),2)+ROUND(ROUND((IF(35&lt;=5,$AD$117,$AD$117+(35-5)*$AE$117))*(1+$C$6),2)*(IF($G$6="YES",$E$6,0)+IF($K$6="YES",$I$6,0)),2)</f>
        <v/>
      </c>
      <c r="D203" s="38">
        <f>ROUND((IF(35&lt;=15,$AD$118,$AD$118+(35-15)*$AE$118))*(1+$C$6),2)+ROUND(ROUND((IF(35&lt;=15,$AD$118,$AD$118+(35-15)*$AE$118))*(1+$C$6),2)*(IF($G$6="YES",$E$6,0)+IF($K$6="YES",$I$6,0)),2)</f>
        <v/>
      </c>
      <c r="E203" s="38">
        <f>ROUND((IF(35&lt;=2,$AD$119,IF(35&lt;=5,$AE$119,IF(35&lt;=10,$AF$119,IF(35&lt;=15,$AG$119,IF(35&lt;=20,$AH$119,IF(35&lt;=35,$AH$119+(35-20)*$AI$119,$AK$119+(35-35)*$AJ$119)))))))*(1+$C$6),2)+ROUND(ROUND((IF(35&lt;=2,$AD$119,IF(35&lt;=5,$AE$119,IF(35&lt;=10,$AF$119,IF(35&lt;=15,$AG$119,IF(35&lt;=20,$AH$119,IF(35&lt;=35,$AH$119+(35-20)*$AI$119,$AK$119+(35-35)*$AJ$119)))))))*(1+$C$6),2)*(IF($G$6="YES",$E$6,0)+IF($K$6="YES",$I$6,0)),2)</f>
        <v/>
      </c>
      <c r="F203" s="38">
        <f>ROUND((IF(35&lt;=2,$AD$120,IF(35&lt;=5,$AE$120,IF(35&lt;=10,$AF$120,IF(35&lt;=15,$AG$120,IF(35&lt;=20,$AH$120,IF(35&lt;=35,$AH$120+(35-20)*$AI$120,$AK$120+(35-35)*$AJ$120)))))))*(1+$C$6),2)+ROUND(ROUND((IF(35&lt;=2,$AD$120,IF(35&lt;=5,$AE$120,IF(35&lt;=10,$AF$120,IF(35&lt;=15,$AG$120,IF(35&lt;=20,$AH$120,IF(35&lt;=35,$AH$120+(35-20)*$AI$120,$AK$120+(35-35)*$AJ$120)))))))*(1+$C$6),2)*(IF($G$6="YES",$E$6,0)+IF($K$6="YES",$I$6,0)),2)</f>
        <v/>
      </c>
      <c r="G203" s="38">
        <f>ROUND((IF(35&lt;=2,$AD$121,$AD$121+(35-2)*$AE$121))*(1+$C$6),2)+ROUND(ROUND((IF(35&lt;=2,$AD$121,$AD$121+(35-2)*$AE$121))*(1+$C$6),2)*(IF($G$6="YES",$E$6,0)+IF($K$6="YES",$I$6,0)),2)+(35*$E$8*IF($C$8="YES",1,0))</f>
        <v/>
      </c>
      <c r="H203" s="39">
        <f>ROUND((IF(35&lt;=2,$AD$122,$AD$122+(35-2)*$AE$122))*(1+$C$6),2)+ROUND(ROUND((IF(35&lt;=2,$AD$122,$AD$122+(35-2)*$AE$122))*(1+$C$6),2)*(IF($G$6="YES",$E$6,0)+IF($K$6="YES",$I$6,0)),2)</f>
        <v/>
      </c>
    </row>
    <row r="204">
      <c r="B204" s="40" t="n">
        <v>36</v>
      </c>
      <c r="C204" s="43" t="inlineStr">
        <is>
          <t>see ECO/R</t>
        </is>
      </c>
      <c r="D204" s="43" t="inlineStr">
        <is>
          <t>see ECO/R</t>
        </is>
      </c>
      <c r="E204" s="41">
        <f>ROUND((IF(36&lt;=2,$AD$119,IF(36&lt;=5,$AE$119,IF(36&lt;=10,$AF$119,IF(36&lt;=15,$AG$119,IF(36&lt;=20,$AH$119,IF(36&lt;=35,$AH$119+(36-20)*$AI$119,$AK$119+(36-35)*$AJ$119)))))))*(1+$C$6),2)+ROUND(ROUND((IF(36&lt;=2,$AD$119,IF(36&lt;=5,$AE$119,IF(36&lt;=10,$AF$119,IF(36&lt;=15,$AG$119,IF(36&lt;=20,$AH$119,IF(36&lt;=35,$AH$119+(36-20)*$AI$119,$AK$119+(36-35)*$AJ$119)))))))*(1+$C$6),2)*(IF($G$6="YES",$E$6,0)+IF($K$6="YES",$I$6,0)),2)</f>
        <v/>
      </c>
      <c r="F204" s="41">
        <f>ROUND((IF(36&lt;=2,$AD$120,IF(36&lt;=5,$AE$120,IF(36&lt;=10,$AF$120,IF(36&lt;=15,$AG$120,IF(36&lt;=20,$AH$120,IF(36&lt;=35,$AH$120+(36-20)*$AI$120,$AK$120+(36-35)*$AJ$120)))))))*(1+$C$6),2)+ROUND(ROUND((IF(36&lt;=2,$AD$120,IF(36&lt;=5,$AE$120,IF(36&lt;=10,$AF$120,IF(36&lt;=15,$AG$120,IF(36&lt;=20,$AH$120,IF(36&lt;=35,$AH$120+(36-20)*$AI$120,$AK$120+(36-35)*$AJ$120)))))))*(1+$C$6),2)*(IF($G$6="YES",$E$6,0)+IF($K$6="YES",$I$6,0)),2)</f>
        <v/>
      </c>
      <c r="G204" s="41">
        <f>ROUND((IF(36&lt;=2,$AD$121,$AD$121+(36-2)*$AE$121))*(1+$C$6),2)+ROUND(ROUND((IF(36&lt;=2,$AD$121,$AD$121+(36-2)*$AE$121))*(1+$C$6),2)*(IF($G$6="YES",$E$6,0)+IF($K$6="YES",$I$6,0)),2)+(36*$E$8*IF($C$8="YES",1,0))</f>
        <v/>
      </c>
      <c r="H204" s="42">
        <f>ROUND((IF(36&lt;=2,$AD$122,$AD$122+(36-2)*$AE$122))*(1+$C$6),2)+ROUND(ROUND((IF(36&lt;=2,$AD$122,$AD$122+(36-2)*$AE$122))*(1+$C$6),2)*(IF($G$6="YES",$E$6,0)+IF($K$6="YES",$I$6,0)),2)</f>
        <v/>
      </c>
    </row>
    <row r="205">
      <c r="B205" s="40" t="n">
        <v>37</v>
      </c>
      <c r="C205" s="43" t="inlineStr">
        <is>
          <t>see ECO/R</t>
        </is>
      </c>
      <c r="D205" s="43" t="inlineStr">
        <is>
          <t>see ECO/R</t>
        </is>
      </c>
      <c r="E205" s="41">
        <f>ROUND((IF(37&lt;=2,$AD$119,IF(37&lt;=5,$AE$119,IF(37&lt;=10,$AF$119,IF(37&lt;=15,$AG$119,IF(37&lt;=20,$AH$119,IF(37&lt;=35,$AH$119+(37-20)*$AI$119,$AK$119+(37-35)*$AJ$119)))))))*(1+$C$6),2)+ROUND(ROUND((IF(37&lt;=2,$AD$119,IF(37&lt;=5,$AE$119,IF(37&lt;=10,$AF$119,IF(37&lt;=15,$AG$119,IF(37&lt;=20,$AH$119,IF(37&lt;=35,$AH$119+(37-20)*$AI$119,$AK$119+(37-35)*$AJ$119)))))))*(1+$C$6),2)*(IF($G$6="YES",$E$6,0)+IF($K$6="YES",$I$6,0)),2)</f>
        <v/>
      </c>
      <c r="F205" s="41">
        <f>ROUND((IF(37&lt;=2,$AD$120,IF(37&lt;=5,$AE$120,IF(37&lt;=10,$AF$120,IF(37&lt;=15,$AG$120,IF(37&lt;=20,$AH$120,IF(37&lt;=35,$AH$120+(37-20)*$AI$120,$AK$120+(37-35)*$AJ$120)))))))*(1+$C$6),2)+ROUND(ROUND((IF(37&lt;=2,$AD$120,IF(37&lt;=5,$AE$120,IF(37&lt;=10,$AF$120,IF(37&lt;=15,$AG$120,IF(37&lt;=20,$AH$120,IF(37&lt;=35,$AH$120+(37-20)*$AI$120,$AK$120+(37-35)*$AJ$120)))))))*(1+$C$6),2)*(IF($G$6="YES",$E$6,0)+IF($K$6="YES",$I$6,0)),2)</f>
        <v/>
      </c>
      <c r="G205" s="41">
        <f>ROUND((IF(37&lt;=2,$AD$121,$AD$121+(37-2)*$AE$121))*(1+$C$6),2)+ROUND(ROUND((IF(37&lt;=2,$AD$121,$AD$121+(37-2)*$AE$121))*(1+$C$6),2)*(IF($G$6="YES",$E$6,0)+IF($K$6="YES",$I$6,0)),2)+(37*$E$8*IF($C$8="YES",1,0))</f>
        <v/>
      </c>
      <c r="H205" s="42">
        <f>ROUND((IF(37&lt;=2,$AD$122,$AD$122+(37-2)*$AE$122))*(1+$C$6),2)+ROUND(ROUND((IF(37&lt;=2,$AD$122,$AD$122+(37-2)*$AE$122))*(1+$C$6),2)*(IF($G$6="YES",$E$6,0)+IF($K$6="YES",$I$6,0)),2)</f>
        <v/>
      </c>
    </row>
    <row r="206">
      <c r="B206" s="40" t="n">
        <v>38</v>
      </c>
      <c r="C206" s="43" t="inlineStr">
        <is>
          <t>see ECO/R</t>
        </is>
      </c>
      <c r="D206" s="43" t="inlineStr">
        <is>
          <t>see ECO/R</t>
        </is>
      </c>
      <c r="E206" s="41">
        <f>ROUND((IF(38&lt;=2,$AD$119,IF(38&lt;=5,$AE$119,IF(38&lt;=10,$AF$119,IF(38&lt;=15,$AG$119,IF(38&lt;=20,$AH$119,IF(38&lt;=35,$AH$119+(38-20)*$AI$119,$AK$119+(38-35)*$AJ$119)))))))*(1+$C$6),2)+ROUND(ROUND((IF(38&lt;=2,$AD$119,IF(38&lt;=5,$AE$119,IF(38&lt;=10,$AF$119,IF(38&lt;=15,$AG$119,IF(38&lt;=20,$AH$119,IF(38&lt;=35,$AH$119+(38-20)*$AI$119,$AK$119+(38-35)*$AJ$119)))))))*(1+$C$6),2)*(IF($G$6="YES",$E$6,0)+IF($K$6="YES",$I$6,0)),2)</f>
        <v/>
      </c>
      <c r="F206" s="41">
        <f>ROUND((IF(38&lt;=2,$AD$120,IF(38&lt;=5,$AE$120,IF(38&lt;=10,$AF$120,IF(38&lt;=15,$AG$120,IF(38&lt;=20,$AH$120,IF(38&lt;=35,$AH$120+(38-20)*$AI$120,$AK$120+(38-35)*$AJ$120)))))))*(1+$C$6),2)+ROUND(ROUND((IF(38&lt;=2,$AD$120,IF(38&lt;=5,$AE$120,IF(38&lt;=10,$AF$120,IF(38&lt;=15,$AG$120,IF(38&lt;=20,$AH$120,IF(38&lt;=35,$AH$120+(38-20)*$AI$120,$AK$120+(38-35)*$AJ$120)))))))*(1+$C$6),2)*(IF($G$6="YES",$E$6,0)+IF($K$6="YES",$I$6,0)),2)</f>
        <v/>
      </c>
      <c r="G206" s="41">
        <f>ROUND((IF(38&lt;=2,$AD$121,$AD$121+(38-2)*$AE$121))*(1+$C$6),2)+ROUND(ROUND((IF(38&lt;=2,$AD$121,$AD$121+(38-2)*$AE$121))*(1+$C$6),2)*(IF($G$6="YES",$E$6,0)+IF($K$6="YES",$I$6,0)),2)+(38*$E$8*IF($C$8="YES",1,0))</f>
        <v/>
      </c>
      <c r="H206" s="42">
        <f>ROUND((IF(38&lt;=2,$AD$122,$AD$122+(38-2)*$AE$122))*(1+$C$6),2)+ROUND(ROUND((IF(38&lt;=2,$AD$122,$AD$122+(38-2)*$AE$122))*(1+$C$6),2)*(IF($G$6="YES",$E$6,0)+IF($K$6="YES",$I$6,0)),2)</f>
        <v/>
      </c>
    </row>
    <row r="207">
      <c r="B207" s="40" t="n">
        <v>39</v>
      </c>
      <c r="C207" s="43" t="inlineStr">
        <is>
          <t>see ECO/R</t>
        </is>
      </c>
      <c r="D207" s="43" t="inlineStr">
        <is>
          <t>see ECO/R</t>
        </is>
      </c>
      <c r="E207" s="41">
        <f>ROUND((IF(39&lt;=2,$AD$119,IF(39&lt;=5,$AE$119,IF(39&lt;=10,$AF$119,IF(39&lt;=15,$AG$119,IF(39&lt;=20,$AH$119,IF(39&lt;=35,$AH$119+(39-20)*$AI$119,$AK$119+(39-35)*$AJ$119)))))))*(1+$C$6),2)+ROUND(ROUND((IF(39&lt;=2,$AD$119,IF(39&lt;=5,$AE$119,IF(39&lt;=10,$AF$119,IF(39&lt;=15,$AG$119,IF(39&lt;=20,$AH$119,IF(39&lt;=35,$AH$119+(39-20)*$AI$119,$AK$119+(39-35)*$AJ$119)))))))*(1+$C$6),2)*(IF($G$6="YES",$E$6,0)+IF($K$6="YES",$I$6,0)),2)</f>
        <v/>
      </c>
      <c r="F207" s="41">
        <f>ROUND((IF(39&lt;=2,$AD$120,IF(39&lt;=5,$AE$120,IF(39&lt;=10,$AF$120,IF(39&lt;=15,$AG$120,IF(39&lt;=20,$AH$120,IF(39&lt;=35,$AH$120+(39-20)*$AI$120,$AK$120+(39-35)*$AJ$120)))))))*(1+$C$6),2)+ROUND(ROUND((IF(39&lt;=2,$AD$120,IF(39&lt;=5,$AE$120,IF(39&lt;=10,$AF$120,IF(39&lt;=15,$AG$120,IF(39&lt;=20,$AH$120,IF(39&lt;=35,$AH$120+(39-20)*$AI$120,$AK$120+(39-35)*$AJ$120)))))))*(1+$C$6),2)*(IF($G$6="YES",$E$6,0)+IF($K$6="YES",$I$6,0)),2)</f>
        <v/>
      </c>
      <c r="G207" s="41">
        <f>ROUND((IF(39&lt;=2,$AD$121,$AD$121+(39-2)*$AE$121))*(1+$C$6),2)+ROUND(ROUND((IF(39&lt;=2,$AD$121,$AD$121+(39-2)*$AE$121))*(1+$C$6),2)*(IF($G$6="YES",$E$6,0)+IF($K$6="YES",$I$6,0)),2)+(39*$E$8*IF($C$8="YES",1,0))</f>
        <v/>
      </c>
      <c r="H207" s="42">
        <f>ROUND((IF(39&lt;=2,$AD$122,$AD$122+(39-2)*$AE$122))*(1+$C$6),2)+ROUND(ROUND((IF(39&lt;=2,$AD$122,$AD$122+(39-2)*$AE$122))*(1+$C$6),2)*(IF($G$6="YES",$E$6,0)+IF($K$6="YES",$I$6,0)),2)</f>
        <v/>
      </c>
    </row>
    <row r="208">
      <c r="B208" s="44" t="n">
        <v>40</v>
      </c>
      <c r="C208" s="45" t="inlineStr">
        <is>
          <t>see ECO/R</t>
        </is>
      </c>
      <c r="D208" s="45" t="inlineStr">
        <is>
          <t>see ECO/R</t>
        </is>
      </c>
      <c r="E208" s="46">
        <f>ROUND((IF(40&lt;=2,$AD$119,IF(40&lt;=5,$AE$119,IF(40&lt;=10,$AF$119,IF(40&lt;=15,$AG$119,IF(40&lt;=20,$AH$119,IF(40&lt;=35,$AH$119+(40-20)*$AI$119,$AK$119+(40-35)*$AJ$119)))))))*(1+$C$6),2)+ROUND(ROUND((IF(40&lt;=2,$AD$119,IF(40&lt;=5,$AE$119,IF(40&lt;=10,$AF$119,IF(40&lt;=15,$AG$119,IF(40&lt;=20,$AH$119,IF(40&lt;=35,$AH$119+(40-20)*$AI$119,$AK$119+(40-35)*$AJ$119)))))))*(1+$C$6),2)*(IF($G$6="YES",$E$6,0)+IF($K$6="YES",$I$6,0)),2)</f>
        <v/>
      </c>
      <c r="F208" s="46">
        <f>ROUND((IF(40&lt;=2,$AD$120,IF(40&lt;=5,$AE$120,IF(40&lt;=10,$AF$120,IF(40&lt;=15,$AG$120,IF(40&lt;=20,$AH$120,IF(40&lt;=35,$AH$120+(40-20)*$AI$120,$AK$120+(40-35)*$AJ$120)))))))*(1+$C$6),2)+ROUND(ROUND((IF(40&lt;=2,$AD$120,IF(40&lt;=5,$AE$120,IF(40&lt;=10,$AF$120,IF(40&lt;=15,$AG$120,IF(40&lt;=20,$AH$120,IF(40&lt;=35,$AH$120+(40-20)*$AI$120,$AK$120+(40-35)*$AJ$120)))))))*(1+$C$6),2)*(IF($G$6="YES",$E$6,0)+IF($K$6="YES",$I$6,0)),2)</f>
        <v/>
      </c>
      <c r="G208" s="46">
        <f>ROUND((IF(40&lt;=2,$AD$121,$AD$121+(40-2)*$AE$121))*(1+$C$6),2)+ROUND(ROUND((IF(40&lt;=2,$AD$121,$AD$121+(40-2)*$AE$121))*(1+$C$6),2)*(IF($G$6="YES",$E$6,0)+IF($K$6="YES",$I$6,0)),2)+(40*$E$8*IF($C$8="YES",1,0))</f>
        <v/>
      </c>
      <c r="H208" s="47">
        <f>ROUND((IF(40&lt;=2,$AD$122,$AD$122+(40-2)*$AE$122))*(1+$C$6),2)+ROUND(ROUND((IF(40&lt;=2,$AD$122,$AD$122+(40-2)*$AE$122))*(1+$C$6),2)*(IF($G$6="YES",$E$6,0)+IF($K$6="YES",$I$6,0)),2)</f>
        <v/>
      </c>
    </row>
    <row r="209"/>
    <row r="210"/>
    <row r="211" ht="21.95" customHeight="1" s="98">
      <c r="B211" s="99" t="inlineStr">
        <is>
          <t>3.  Prepaid Online Rate  —  Prepaid Online card</t>
        </is>
      </c>
    </row>
    <row r="212" ht="30" customHeight="1" s="98">
      <c r="B212" s="18" t="inlineStr">
        <is>
          <t>Service</t>
        </is>
      </c>
      <c r="C212" s="19" t="inlineStr">
        <is>
          <t>Description</t>
        </is>
      </c>
      <c r="D212" s="19" t="inlineStr">
        <is>
          <t>Min charge
(excl VAT)</t>
        </is>
      </c>
      <c r="E212" s="19" t="inlineStr">
        <is>
          <t>Up to (kg)</t>
        </is>
      </c>
      <c r="F212" s="19" t="inlineStr">
        <is>
          <t>Rate/kg
thereafter (excl)</t>
        </is>
      </c>
      <c r="G212" s="19" t="inlineStr">
        <is>
          <t>Min charge
(incl VAT)</t>
        </is>
      </c>
      <c r="H212" s="19" t="inlineStr">
        <is>
          <t>Rate/kg
thereafter (incl)</t>
        </is>
      </c>
      <c r="I212" s="20" t="inlineStr">
        <is>
          <t>Notes</t>
        </is>
      </c>
    </row>
    <row r="213" ht="25.5" customHeight="1" s="98">
      <c r="B213" s="21" t="inlineStr">
        <is>
          <t>LPF-SC</t>
        </is>
      </c>
      <c r="C213" s="22" t="inlineStr">
        <is>
          <t>Local Priority Flyer — Same-City</t>
        </is>
      </c>
      <c r="D213" s="23">
        <f>$AD$213</f>
        <v/>
      </c>
      <c r="E213" s="24" t="n">
        <v>5</v>
      </c>
      <c r="F213" s="23">
        <f>$AE$213</f>
        <v/>
      </c>
      <c r="G213" s="23">
        <f>ROUND($AD$213*(1+$C$6),2)+ROUND(ROUND($AD$213*(1+$C$6),2)*(IF($G$6="YES",$E$6,0)+IF($K$6="YES",$I$6,0)),2)</f>
        <v/>
      </c>
      <c r="H213" s="23">
        <f>ROUND($AE$213*(1+$C$6),2)+ROUND(ROUND($AE$213*(1+$C$6),2)*(IF($G$6="YES",$E$6,0)+IF($K$6="YES",$I$6,0)),2)</f>
        <v/>
      </c>
      <c r="I213" s="25" t="inlineStr">
        <is>
          <t>Local service — beyond 35kg, priced at the ECO/R rate above.</t>
        </is>
      </c>
      <c r="AD213" s="26" t="n">
        <v>94.68000000000001</v>
      </c>
      <c r="AE213" s="26" t="n">
        <v>13.04</v>
      </c>
    </row>
    <row r="214" ht="25.5" customHeight="1" s="98">
      <c r="B214" s="27" t="inlineStr">
        <is>
          <t>LPF-R</t>
        </is>
      </c>
      <c r="C214" s="28" t="inlineStr">
        <is>
          <t>Local Priority Flyer — Regional</t>
        </is>
      </c>
      <c r="D214" s="29">
        <f>$AD$214</f>
        <v/>
      </c>
      <c r="E214" s="30" t="n">
        <v>5</v>
      </c>
      <c r="F214" s="29">
        <f>$AE$214</f>
        <v/>
      </c>
      <c r="G214" s="29">
        <f>ROUND($AD$214*(1+$C$6),2)+ROUND(ROUND($AD$214*(1+$C$6),2)*(IF($G$6="YES",$E$6,0)+IF($K$6="YES",$I$6,0)),2)</f>
        <v/>
      </c>
      <c r="H214" s="29">
        <f>ROUND($AE$214*(1+$C$6),2)+ROUND(ROUND($AE$214*(1+$C$6),2)*(IF($G$6="YES",$E$6,0)+IF($K$6="YES",$I$6,0)),2)</f>
        <v/>
      </c>
      <c r="I214" s="31" t="inlineStr">
        <is>
          <t>Local service — beyond 35kg, priced at the ECO/R rate above.</t>
        </is>
      </c>
      <c r="AD214" s="26" t="n">
        <v>110.83</v>
      </c>
      <c r="AE214" s="26" t="n">
        <v>13.04</v>
      </c>
    </row>
    <row r="215" ht="25.5" customHeight="1" s="98">
      <c r="B215" s="21" t="inlineStr">
        <is>
          <t>LPP-SC</t>
        </is>
      </c>
      <c r="C215" s="22" t="inlineStr">
        <is>
          <t>Local Priority Parcel — Same-City</t>
        </is>
      </c>
      <c r="D215" s="23">
        <f>$AD$215</f>
        <v/>
      </c>
      <c r="E215" s="24" t="n">
        <v>15</v>
      </c>
      <c r="F215" s="23">
        <f>$AE$215</f>
        <v/>
      </c>
      <c r="G215" s="23">
        <f>ROUND($AD$215*(1+$C$6),2)+ROUND(ROUND($AD$215*(1+$C$6),2)*(IF($G$6="YES",$E$6,0)+IF($K$6="YES",$I$6,0)),2)</f>
        <v/>
      </c>
      <c r="H215" s="23">
        <f>ROUND($AE$215*(1+$C$6),2)+ROUND(ROUND($AE$215*(1+$C$6),2)*(IF($G$6="YES",$E$6,0)+IF($K$6="YES",$I$6,0)),2)</f>
        <v/>
      </c>
      <c r="I215" s="25" t="inlineStr">
        <is>
          <t>Local service — beyond 35kg, priced at the ECO/R rate above.</t>
        </is>
      </c>
      <c r="AD215" s="26" t="n">
        <v>114.1</v>
      </c>
      <c r="AE215" s="26" t="n">
        <v>13.04</v>
      </c>
    </row>
    <row r="216" ht="25.5" customHeight="1" s="98">
      <c r="B216" s="27" t="inlineStr">
        <is>
          <t>LPP-R</t>
        </is>
      </c>
      <c r="C216" s="28" t="inlineStr">
        <is>
          <t>Local Priority Parcel — Regional</t>
        </is>
      </c>
      <c r="D216" s="29">
        <f>$AD$216</f>
        <v/>
      </c>
      <c r="E216" s="30" t="n">
        <v>15</v>
      </c>
      <c r="F216" s="29">
        <f>$AE$216</f>
        <v/>
      </c>
      <c r="G216" s="29">
        <f>ROUND($AD$216*(1+$C$6),2)+ROUND(ROUND($AD$216*(1+$C$6),2)*(IF($G$6="YES",$E$6,0)+IF($K$6="YES",$I$6,0)),2)</f>
        <v/>
      </c>
      <c r="H216" s="29">
        <f>ROUND($AE$216*(1+$C$6),2)+ROUND(ROUND($AE$216*(1+$C$6),2)*(IF($G$6="YES",$E$6,0)+IF($K$6="YES",$I$6,0)),2)</f>
        <v/>
      </c>
      <c r="I216" s="31" t="inlineStr">
        <is>
          <t>Local service — beyond 35kg, priced at the ECO/R rate above.</t>
        </is>
      </c>
      <c r="AD216" s="26" t="n">
        <v>124.86</v>
      </c>
      <c r="AE216" s="26" t="n">
        <v>13.04</v>
      </c>
    </row>
    <row r="217">
      <c r="B217" s="21" t="inlineStr">
        <is>
          <t>ECO</t>
        </is>
      </c>
      <c r="C217" s="22" t="inlineStr">
        <is>
          <t>Economy Road — National</t>
        </is>
      </c>
      <c r="D217" s="23">
        <f>$AD$217</f>
        <v/>
      </c>
      <c r="E217" s="24" t="n">
        <v>20</v>
      </c>
      <c r="F217" s="23">
        <f>$AE$217</f>
        <v/>
      </c>
      <c r="G217" s="23">
        <f>ROUND($AD$217*(1+$C$6),2)+ROUND(ROUND($AD$217*(1+$C$6),2)*(IF($G$6="YES",$E$6,0)+IF($K$6="YES",$I$6,0)),2)</f>
        <v/>
      </c>
      <c r="H217" s="23">
        <f>ROUND($AE$217*(1+$C$6),2)+ROUND(ROUND($AE$217*(1+$C$6),2)*(IF($G$6="YES",$E$6,0)+IF($K$6="YES",$I$6,0)),2)</f>
        <v/>
      </c>
      <c r="I217" s="25" t="n"/>
      <c r="AD217" s="26" t="n">
        <v>161.46</v>
      </c>
      <c r="AE217" s="26" t="n">
        <v>13.04</v>
      </c>
      <c r="AF217" s="26" t="n">
        <v>17.39</v>
      </c>
      <c r="AG217" s="26" t="n">
        <v>357.06</v>
      </c>
    </row>
    <row r="218">
      <c r="B218" s="27" t="inlineStr">
        <is>
          <t>ECOR</t>
        </is>
      </c>
      <c r="C218" s="28" t="inlineStr">
        <is>
          <t>Economy Road — Regional</t>
        </is>
      </c>
      <c r="D218" s="29">
        <f>$AD$218</f>
        <v/>
      </c>
      <c r="E218" s="30" t="n">
        <v>20</v>
      </c>
      <c r="F218" s="29">
        <f>$AE$218</f>
        <v/>
      </c>
      <c r="G218" s="29">
        <f>ROUND($AD$218*(1+$C$6),2)+ROUND(ROUND($AD$218*(1+$C$6),2)*(IF($G$6="YES",$E$6,0)+IF($K$6="YES",$I$6,0)),2)</f>
        <v/>
      </c>
      <c r="H218" s="29">
        <f>ROUND($AE$218*(1+$C$6),2)+ROUND(ROUND($AE$218*(1+$C$6),2)*(IF($G$6="YES",$E$6,0)+IF($K$6="YES",$I$6,0)),2)</f>
        <v/>
      </c>
      <c r="I218" s="31" t="n"/>
      <c r="AD218" s="26" t="n">
        <v>241.46</v>
      </c>
      <c r="AE218" s="26" t="n">
        <v>17.04</v>
      </c>
      <c r="AF218" s="26" t="n">
        <v>21.39</v>
      </c>
      <c r="AG218" s="26" t="n">
        <v>497.06</v>
      </c>
    </row>
    <row r="219">
      <c r="B219" s="21" t="inlineStr">
        <is>
          <t>PRI</t>
        </is>
      </c>
      <c r="C219" s="22" t="inlineStr">
        <is>
          <t>Priority Courier — National</t>
        </is>
      </c>
      <c r="D219" s="23">
        <f>$AD$219</f>
        <v/>
      </c>
      <c r="E219" s="24" t="n">
        <v>2</v>
      </c>
      <c r="F219" s="23">
        <f>$AE$219</f>
        <v/>
      </c>
      <c r="G219" s="23">
        <f>ROUND($AD$219*(1+$C$6),2)+ROUND(ROUND($AD$219*(1+$C$6),2)*(IF($G$6="YES",$E$6,0)+IF($K$6="YES",$I$6,0)),2)</f>
        <v/>
      </c>
      <c r="H219" s="23">
        <f>ROUND($AE$219*(1+$C$6),2)+ROUND(ROUND($AE$219*(1+$C$6),2)*(IF($G$6="YES",$E$6,0)+IF($K$6="YES",$I$6,0)),2)</f>
        <v/>
      </c>
      <c r="I219" s="25" t="inlineStr">
        <is>
          <t>May carry an additional R/kg airfreight surcharge on certain inter-zone routes - see Global Settings above.</t>
        </is>
      </c>
      <c r="AD219" s="26" t="n">
        <v>132.4</v>
      </c>
      <c r="AE219" s="26" t="n">
        <v>52</v>
      </c>
    </row>
    <row r="220" ht="36" customHeight="1" s="98">
      <c r="B220" s="48" t="inlineStr">
        <is>
          <t>PRIR</t>
        </is>
      </c>
      <c r="C220" s="49" t="inlineStr">
        <is>
          <t>Priority Courier — Regional</t>
        </is>
      </c>
      <c r="D220" s="50">
        <f>$AD$220</f>
        <v/>
      </c>
      <c r="E220" s="51" t="n">
        <v>2</v>
      </c>
      <c r="F220" s="50">
        <f>$AE$220</f>
        <v/>
      </c>
      <c r="G220" s="50">
        <f>ROUND($AD$220*(1+$C$6),2)+ROUND(ROUND($AD$220*(1+$C$6),2)*(IF($G$6="YES",$E$6,0)+IF($K$6="YES",$I$6,0)),2)</f>
        <v/>
      </c>
      <c r="H220" s="50">
        <f>ROUND($AE$220*(1+$C$6),2)+ROUND(ROUND($AE$220*(1+$C$6),2)*(IF($G$6="YES",$E$6,0)+IF($K$6="YES",$I$6,0)),2)</f>
        <v/>
      </c>
      <c r="I220" s="52" t="inlineStr">
        <is>
          <t>Card prints a lower per-kg rate for PRIR (R48) than PRI (R52) — not a typo, taken as printed.</t>
        </is>
      </c>
      <c r="AD220" s="26" t="n">
        <v>217.4</v>
      </c>
      <c r="AE220" s="26" t="n">
        <v>48</v>
      </c>
    </row>
    <row r="221"/>
    <row r="222">
      <c r="B222" s="36" t="inlineStr">
        <is>
          <t>Weight-based price  —  VAT &amp; fuel levy EXCLUDED</t>
        </is>
      </c>
    </row>
    <row r="223" ht="18" customHeight="1" s="98">
      <c r="B223" s="18" t="inlineStr">
        <is>
          <t>Kg</t>
        </is>
      </c>
      <c r="C223" s="19" t="inlineStr">
        <is>
          <t>LPF-SC</t>
        </is>
      </c>
      <c r="D223" s="19" t="inlineStr">
        <is>
          <t>LPF-R</t>
        </is>
      </c>
      <c r="E223" s="19" t="inlineStr">
        <is>
          <t>LPP-SC</t>
        </is>
      </c>
      <c r="F223" s="19" t="inlineStr">
        <is>
          <t>LPP-R</t>
        </is>
      </c>
      <c r="G223" s="19" t="inlineStr">
        <is>
          <t>ECO</t>
        </is>
      </c>
      <c r="H223" s="19" t="inlineStr">
        <is>
          <t>ECOR</t>
        </is>
      </c>
      <c r="I223" s="19" t="inlineStr">
        <is>
          <t>PRI</t>
        </is>
      </c>
      <c r="J223" s="20" t="inlineStr">
        <is>
          <t>PRIR</t>
        </is>
      </c>
    </row>
    <row r="224">
      <c r="B224" s="37" t="n">
        <v>1</v>
      </c>
      <c r="C224" s="38">
        <f>IF(1&lt;=5,$AD$213,$AD$213+(1-5)*$AE$213)</f>
        <v/>
      </c>
      <c r="D224" s="38">
        <f>IF(1&lt;=5,$AD$214,$AD$214+(1-5)*$AE$214)</f>
        <v/>
      </c>
      <c r="E224" s="38">
        <f>IF(1&lt;=15,$AD$215,$AD$215+(1-15)*$AE$215)</f>
        <v/>
      </c>
      <c r="F224" s="38">
        <f>IF(1&lt;=15,$AD$216,$AD$216+(1-15)*$AE$216)</f>
        <v/>
      </c>
      <c r="G224" s="38">
        <f>IF(1&lt;=20,$AD$217,IF(1&lt;=35,$AD$217+(1-20)*$AE$217,$AG$217+(1-35)*$AF$217))</f>
        <v/>
      </c>
      <c r="H224" s="38">
        <f>IF(1&lt;=20,$AD$218,IF(1&lt;=35,$AD$218+(1-20)*$AE$218,$AG$218+(1-35)*$AF$218))</f>
        <v/>
      </c>
      <c r="I224" s="38">
        <f>IF(1&lt;=2,$AD$219,$AD$219+(1-2)*$AE$219)</f>
        <v/>
      </c>
      <c r="J224" s="39">
        <f>IF(1&lt;=2,$AD$220,$AD$220+(1-2)*$AE$220)</f>
        <v/>
      </c>
    </row>
    <row r="225">
      <c r="B225" s="37" t="n">
        <v>2</v>
      </c>
      <c r="C225" s="38">
        <f>IF(2&lt;=5,$AD$213,$AD$213+(2-5)*$AE$213)</f>
        <v/>
      </c>
      <c r="D225" s="38">
        <f>IF(2&lt;=5,$AD$214,$AD$214+(2-5)*$AE$214)</f>
        <v/>
      </c>
      <c r="E225" s="38">
        <f>IF(2&lt;=15,$AD$215,$AD$215+(2-15)*$AE$215)</f>
        <v/>
      </c>
      <c r="F225" s="38">
        <f>IF(2&lt;=15,$AD$216,$AD$216+(2-15)*$AE$216)</f>
        <v/>
      </c>
      <c r="G225" s="38">
        <f>IF(2&lt;=20,$AD$217,IF(2&lt;=35,$AD$217+(2-20)*$AE$217,$AG$217+(2-35)*$AF$217))</f>
        <v/>
      </c>
      <c r="H225" s="38">
        <f>IF(2&lt;=20,$AD$218,IF(2&lt;=35,$AD$218+(2-20)*$AE$218,$AG$218+(2-35)*$AF$218))</f>
        <v/>
      </c>
      <c r="I225" s="38">
        <f>IF(2&lt;=2,$AD$219,$AD$219+(2-2)*$AE$219)</f>
        <v/>
      </c>
      <c r="J225" s="39">
        <f>IF(2&lt;=2,$AD$220,$AD$220+(2-2)*$AE$220)</f>
        <v/>
      </c>
    </row>
    <row r="226">
      <c r="B226" s="37" t="n">
        <v>3</v>
      </c>
      <c r="C226" s="38">
        <f>IF(3&lt;=5,$AD$213,$AD$213+(3-5)*$AE$213)</f>
        <v/>
      </c>
      <c r="D226" s="38">
        <f>IF(3&lt;=5,$AD$214,$AD$214+(3-5)*$AE$214)</f>
        <v/>
      </c>
      <c r="E226" s="38">
        <f>IF(3&lt;=15,$AD$215,$AD$215+(3-15)*$AE$215)</f>
        <v/>
      </c>
      <c r="F226" s="38">
        <f>IF(3&lt;=15,$AD$216,$AD$216+(3-15)*$AE$216)</f>
        <v/>
      </c>
      <c r="G226" s="38">
        <f>IF(3&lt;=20,$AD$217,IF(3&lt;=35,$AD$217+(3-20)*$AE$217,$AG$217+(3-35)*$AF$217))</f>
        <v/>
      </c>
      <c r="H226" s="38">
        <f>IF(3&lt;=20,$AD$218,IF(3&lt;=35,$AD$218+(3-20)*$AE$218,$AG$218+(3-35)*$AF$218))</f>
        <v/>
      </c>
      <c r="I226" s="38">
        <f>IF(3&lt;=2,$AD$219,$AD$219+(3-2)*$AE$219)</f>
        <v/>
      </c>
      <c r="J226" s="39">
        <f>IF(3&lt;=2,$AD$220,$AD$220+(3-2)*$AE$220)</f>
        <v/>
      </c>
    </row>
    <row r="227">
      <c r="B227" s="37" t="n">
        <v>4</v>
      </c>
      <c r="C227" s="38">
        <f>IF(4&lt;=5,$AD$213,$AD$213+(4-5)*$AE$213)</f>
        <v/>
      </c>
      <c r="D227" s="38">
        <f>IF(4&lt;=5,$AD$214,$AD$214+(4-5)*$AE$214)</f>
        <v/>
      </c>
      <c r="E227" s="38">
        <f>IF(4&lt;=15,$AD$215,$AD$215+(4-15)*$AE$215)</f>
        <v/>
      </c>
      <c r="F227" s="38">
        <f>IF(4&lt;=15,$AD$216,$AD$216+(4-15)*$AE$216)</f>
        <v/>
      </c>
      <c r="G227" s="38">
        <f>IF(4&lt;=20,$AD$217,IF(4&lt;=35,$AD$217+(4-20)*$AE$217,$AG$217+(4-35)*$AF$217))</f>
        <v/>
      </c>
      <c r="H227" s="38">
        <f>IF(4&lt;=20,$AD$218,IF(4&lt;=35,$AD$218+(4-20)*$AE$218,$AG$218+(4-35)*$AF$218))</f>
        <v/>
      </c>
      <c r="I227" s="38">
        <f>IF(4&lt;=2,$AD$219,$AD$219+(4-2)*$AE$219)</f>
        <v/>
      </c>
      <c r="J227" s="39">
        <f>IF(4&lt;=2,$AD$220,$AD$220+(4-2)*$AE$220)</f>
        <v/>
      </c>
    </row>
    <row r="228">
      <c r="B228" s="37" t="n">
        <v>5</v>
      </c>
      <c r="C228" s="38">
        <f>IF(5&lt;=5,$AD$213,$AD$213+(5-5)*$AE$213)</f>
        <v/>
      </c>
      <c r="D228" s="38">
        <f>IF(5&lt;=5,$AD$214,$AD$214+(5-5)*$AE$214)</f>
        <v/>
      </c>
      <c r="E228" s="38">
        <f>IF(5&lt;=15,$AD$215,$AD$215+(5-15)*$AE$215)</f>
        <v/>
      </c>
      <c r="F228" s="38">
        <f>IF(5&lt;=15,$AD$216,$AD$216+(5-15)*$AE$216)</f>
        <v/>
      </c>
      <c r="G228" s="38">
        <f>IF(5&lt;=20,$AD$217,IF(5&lt;=35,$AD$217+(5-20)*$AE$217,$AG$217+(5-35)*$AF$217))</f>
        <v/>
      </c>
      <c r="H228" s="38">
        <f>IF(5&lt;=20,$AD$218,IF(5&lt;=35,$AD$218+(5-20)*$AE$218,$AG$218+(5-35)*$AF$218))</f>
        <v/>
      </c>
      <c r="I228" s="38">
        <f>IF(5&lt;=2,$AD$219,$AD$219+(5-2)*$AE$219)</f>
        <v/>
      </c>
      <c r="J228" s="39">
        <f>IF(5&lt;=2,$AD$220,$AD$220+(5-2)*$AE$220)</f>
        <v/>
      </c>
    </row>
    <row r="229">
      <c r="B229" s="40" t="n">
        <v>6</v>
      </c>
      <c r="C229" s="41">
        <f>IF(6&lt;=5,$AD$213,$AD$213+(6-5)*$AE$213)</f>
        <v/>
      </c>
      <c r="D229" s="41">
        <f>IF(6&lt;=5,$AD$214,$AD$214+(6-5)*$AE$214)</f>
        <v/>
      </c>
      <c r="E229" s="41">
        <f>IF(6&lt;=15,$AD$215,$AD$215+(6-15)*$AE$215)</f>
        <v/>
      </c>
      <c r="F229" s="41">
        <f>IF(6&lt;=15,$AD$216,$AD$216+(6-15)*$AE$216)</f>
        <v/>
      </c>
      <c r="G229" s="41">
        <f>IF(6&lt;=20,$AD$217,IF(6&lt;=35,$AD$217+(6-20)*$AE$217,$AG$217+(6-35)*$AF$217))</f>
        <v/>
      </c>
      <c r="H229" s="41">
        <f>IF(6&lt;=20,$AD$218,IF(6&lt;=35,$AD$218+(6-20)*$AE$218,$AG$218+(6-35)*$AF$218))</f>
        <v/>
      </c>
      <c r="I229" s="41">
        <f>IF(6&lt;=2,$AD$219,$AD$219+(6-2)*$AE$219)</f>
        <v/>
      </c>
      <c r="J229" s="42">
        <f>IF(6&lt;=2,$AD$220,$AD$220+(6-2)*$AE$220)</f>
        <v/>
      </c>
    </row>
    <row r="230">
      <c r="B230" s="40" t="n">
        <v>7</v>
      </c>
      <c r="C230" s="41">
        <f>IF(7&lt;=5,$AD$213,$AD$213+(7-5)*$AE$213)</f>
        <v/>
      </c>
      <c r="D230" s="41">
        <f>IF(7&lt;=5,$AD$214,$AD$214+(7-5)*$AE$214)</f>
        <v/>
      </c>
      <c r="E230" s="41">
        <f>IF(7&lt;=15,$AD$215,$AD$215+(7-15)*$AE$215)</f>
        <v/>
      </c>
      <c r="F230" s="41">
        <f>IF(7&lt;=15,$AD$216,$AD$216+(7-15)*$AE$216)</f>
        <v/>
      </c>
      <c r="G230" s="41">
        <f>IF(7&lt;=20,$AD$217,IF(7&lt;=35,$AD$217+(7-20)*$AE$217,$AG$217+(7-35)*$AF$217))</f>
        <v/>
      </c>
      <c r="H230" s="41">
        <f>IF(7&lt;=20,$AD$218,IF(7&lt;=35,$AD$218+(7-20)*$AE$218,$AG$218+(7-35)*$AF$218))</f>
        <v/>
      </c>
      <c r="I230" s="41">
        <f>IF(7&lt;=2,$AD$219,$AD$219+(7-2)*$AE$219)</f>
        <v/>
      </c>
      <c r="J230" s="42">
        <f>IF(7&lt;=2,$AD$220,$AD$220+(7-2)*$AE$220)</f>
        <v/>
      </c>
    </row>
    <row r="231">
      <c r="B231" s="40" t="n">
        <v>8</v>
      </c>
      <c r="C231" s="41">
        <f>IF(8&lt;=5,$AD$213,$AD$213+(8-5)*$AE$213)</f>
        <v/>
      </c>
      <c r="D231" s="41">
        <f>IF(8&lt;=5,$AD$214,$AD$214+(8-5)*$AE$214)</f>
        <v/>
      </c>
      <c r="E231" s="41">
        <f>IF(8&lt;=15,$AD$215,$AD$215+(8-15)*$AE$215)</f>
        <v/>
      </c>
      <c r="F231" s="41">
        <f>IF(8&lt;=15,$AD$216,$AD$216+(8-15)*$AE$216)</f>
        <v/>
      </c>
      <c r="G231" s="41">
        <f>IF(8&lt;=20,$AD$217,IF(8&lt;=35,$AD$217+(8-20)*$AE$217,$AG$217+(8-35)*$AF$217))</f>
        <v/>
      </c>
      <c r="H231" s="41">
        <f>IF(8&lt;=20,$AD$218,IF(8&lt;=35,$AD$218+(8-20)*$AE$218,$AG$218+(8-35)*$AF$218))</f>
        <v/>
      </c>
      <c r="I231" s="41">
        <f>IF(8&lt;=2,$AD$219,$AD$219+(8-2)*$AE$219)</f>
        <v/>
      </c>
      <c r="J231" s="42">
        <f>IF(8&lt;=2,$AD$220,$AD$220+(8-2)*$AE$220)</f>
        <v/>
      </c>
    </row>
    <row r="232">
      <c r="B232" s="40" t="n">
        <v>9</v>
      </c>
      <c r="C232" s="41">
        <f>IF(9&lt;=5,$AD$213,$AD$213+(9-5)*$AE$213)</f>
        <v/>
      </c>
      <c r="D232" s="41">
        <f>IF(9&lt;=5,$AD$214,$AD$214+(9-5)*$AE$214)</f>
        <v/>
      </c>
      <c r="E232" s="41">
        <f>IF(9&lt;=15,$AD$215,$AD$215+(9-15)*$AE$215)</f>
        <v/>
      </c>
      <c r="F232" s="41">
        <f>IF(9&lt;=15,$AD$216,$AD$216+(9-15)*$AE$216)</f>
        <v/>
      </c>
      <c r="G232" s="41">
        <f>IF(9&lt;=20,$AD$217,IF(9&lt;=35,$AD$217+(9-20)*$AE$217,$AG$217+(9-35)*$AF$217))</f>
        <v/>
      </c>
      <c r="H232" s="41">
        <f>IF(9&lt;=20,$AD$218,IF(9&lt;=35,$AD$218+(9-20)*$AE$218,$AG$218+(9-35)*$AF$218))</f>
        <v/>
      </c>
      <c r="I232" s="41">
        <f>IF(9&lt;=2,$AD$219,$AD$219+(9-2)*$AE$219)</f>
        <v/>
      </c>
      <c r="J232" s="42">
        <f>IF(9&lt;=2,$AD$220,$AD$220+(9-2)*$AE$220)</f>
        <v/>
      </c>
    </row>
    <row r="233">
      <c r="B233" s="40" t="n">
        <v>10</v>
      </c>
      <c r="C233" s="41">
        <f>IF(10&lt;=5,$AD$213,$AD$213+(10-5)*$AE$213)</f>
        <v/>
      </c>
      <c r="D233" s="41">
        <f>IF(10&lt;=5,$AD$214,$AD$214+(10-5)*$AE$214)</f>
        <v/>
      </c>
      <c r="E233" s="41">
        <f>IF(10&lt;=15,$AD$215,$AD$215+(10-15)*$AE$215)</f>
        <v/>
      </c>
      <c r="F233" s="41">
        <f>IF(10&lt;=15,$AD$216,$AD$216+(10-15)*$AE$216)</f>
        <v/>
      </c>
      <c r="G233" s="41">
        <f>IF(10&lt;=20,$AD$217,IF(10&lt;=35,$AD$217+(10-20)*$AE$217,$AG$217+(10-35)*$AF$217))</f>
        <v/>
      </c>
      <c r="H233" s="41">
        <f>IF(10&lt;=20,$AD$218,IF(10&lt;=35,$AD$218+(10-20)*$AE$218,$AG$218+(10-35)*$AF$218))</f>
        <v/>
      </c>
      <c r="I233" s="41">
        <f>IF(10&lt;=2,$AD$219,$AD$219+(10-2)*$AE$219)</f>
        <v/>
      </c>
      <c r="J233" s="42">
        <f>IF(10&lt;=2,$AD$220,$AD$220+(10-2)*$AE$220)</f>
        <v/>
      </c>
    </row>
    <row r="234">
      <c r="B234" s="37" t="n">
        <v>11</v>
      </c>
      <c r="C234" s="38">
        <f>IF(11&lt;=5,$AD$213,$AD$213+(11-5)*$AE$213)</f>
        <v/>
      </c>
      <c r="D234" s="38">
        <f>IF(11&lt;=5,$AD$214,$AD$214+(11-5)*$AE$214)</f>
        <v/>
      </c>
      <c r="E234" s="38">
        <f>IF(11&lt;=15,$AD$215,$AD$215+(11-15)*$AE$215)</f>
        <v/>
      </c>
      <c r="F234" s="38">
        <f>IF(11&lt;=15,$AD$216,$AD$216+(11-15)*$AE$216)</f>
        <v/>
      </c>
      <c r="G234" s="38">
        <f>IF(11&lt;=20,$AD$217,IF(11&lt;=35,$AD$217+(11-20)*$AE$217,$AG$217+(11-35)*$AF$217))</f>
        <v/>
      </c>
      <c r="H234" s="38">
        <f>IF(11&lt;=20,$AD$218,IF(11&lt;=35,$AD$218+(11-20)*$AE$218,$AG$218+(11-35)*$AF$218))</f>
        <v/>
      </c>
      <c r="I234" s="38">
        <f>IF(11&lt;=2,$AD$219,$AD$219+(11-2)*$AE$219)</f>
        <v/>
      </c>
      <c r="J234" s="39">
        <f>IF(11&lt;=2,$AD$220,$AD$220+(11-2)*$AE$220)</f>
        <v/>
      </c>
    </row>
    <row r="235">
      <c r="B235" s="37" t="n">
        <v>12</v>
      </c>
      <c r="C235" s="38">
        <f>IF(12&lt;=5,$AD$213,$AD$213+(12-5)*$AE$213)</f>
        <v/>
      </c>
      <c r="D235" s="38">
        <f>IF(12&lt;=5,$AD$214,$AD$214+(12-5)*$AE$214)</f>
        <v/>
      </c>
      <c r="E235" s="38">
        <f>IF(12&lt;=15,$AD$215,$AD$215+(12-15)*$AE$215)</f>
        <v/>
      </c>
      <c r="F235" s="38">
        <f>IF(12&lt;=15,$AD$216,$AD$216+(12-15)*$AE$216)</f>
        <v/>
      </c>
      <c r="G235" s="38">
        <f>IF(12&lt;=20,$AD$217,IF(12&lt;=35,$AD$217+(12-20)*$AE$217,$AG$217+(12-35)*$AF$217))</f>
        <v/>
      </c>
      <c r="H235" s="38">
        <f>IF(12&lt;=20,$AD$218,IF(12&lt;=35,$AD$218+(12-20)*$AE$218,$AG$218+(12-35)*$AF$218))</f>
        <v/>
      </c>
      <c r="I235" s="38">
        <f>IF(12&lt;=2,$AD$219,$AD$219+(12-2)*$AE$219)</f>
        <v/>
      </c>
      <c r="J235" s="39">
        <f>IF(12&lt;=2,$AD$220,$AD$220+(12-2)*$AE$220)</f>
        <v/>
      </c>
    </row>
    <row r="236">
      <c r="B236" s="37" t="n">
        <v>13</v>
      </c>
      <c r="C236" s="38">
        <f>IF(13&lt;=5,$AD$213,$AD$213+(13-5)*$AE$213)</f>
        <v/>
      </c>
      <c r="D236" s="38">
        <f>IF(13&lt;=5,$AD$214,$AD$214+(13-5)*$AE$214)</f>
        <v/>
      </c>
      <c r="E236" s="38">
        <f>IF(13&lt;=15,$AD$215,$AD$215+(13-15)*$AE$215)</f>
        <v/>
      </c>
      <c r="F236" s="38">
        <f>IF(13&lt;=15,$AD$216,$AD$216+(13-15)*$AE$216)</f>
        <v/>
      </c>
      <c r="G236" s="38">
        <f>IF(13&lt;=20,$AD$217,IF(13&lt;=35,$AD$217+(13-20)*$AE$217,$AG$217+(13-35)*$AF$217))</f>
        <v/>
      </c>
      <c r="H236" s="38">
        <f>IF(13&lt;=20,$AD$218,IF(13&lt;=35,$AD$218+(13-20)*$AE$218,$AG$218+(13-35)*$AF$218))</f>
        <v/>
      </c>
      <c r="I236" s="38">
        <f>IF(13&lt;=2,$AD$219,$AD$219+(13-2)*$AE$219)</f>
        <v/>
      </c>
      <c r="J236" s="39">
        <f>IF(13&lt;=2,$AD$220,$AD$220+(13-2)*$AE$220)</f>
        <v/>
      </c>
    </row>
    <row r="237">
      <c r="B237" s="37" t="n">
        <v>14</v>
      </c>
      <c r="C237" s="38">
        <f>IF(14&lt;=5,$AD$213,$AD$213+(14-5)*$AE$213)</f>
        <v/>
      </c>
      <c r="D237" s="38">
        <f>IF(14&lt;=5,$AD$214,$AD$214+(14-5)*$AE$214)</f>
        <v/>
      </c>
      <c r="E237" s="38">
        <f>IF(14&lt;=15,$AD$215,$AD$215+(14-15)*$AE$215)</f>
        <v/>
      </c>
      <c r="F237" s="38">
        <f>IF(14&lt;=15,$AD$216,$AD$216+(14-15)*$AE$216)</f>
        <v/>
      </c>
      <c r="G237" s="38">
        <f>IF(14&lt;=20,$AD$217,IF(14&lt;=35,$AD$217+(14-20)*$AE$217,$AG$217+(14-35)*$AF$217))</f>
        <v/>
      </c>
      <c r="H237" s="38">
        <f>IF(14&lt;=20,$AD$218,IF(14&lt;=35,$AD$218+(14-20)*$AE$218,$AG$218+(14-35)*$AF$218))</f>
        <v/>
      </c>
      <c r="I237" s="38">
        <f>IF(14&lt;=2,$AD$219,$AD$219+(14-2)*$AE$219)</f>
        <v/>
      </c>
      <c r="J237" s="39">
        <f>IF(14&lt;=2,$AD$220,$AD$220+(14-2)*$AE$220)</f>
        <v/>
      </c>
    </row>
    <row r="238">
      <c r="B238" s="37" t="n">
        <v>15</v>
      </c>
      <c r="C238" s="38">
        <f>IF(15&lt;=5,$AD$213,$AD$213+(15-5)*$AE$213)</f>
        <v/>
      </c>
      <c r="D238" s="38">
        <f>IF(15&lt;=5,$AD$214,$AD$214+(15-5)*$AE$214)</f>
        <v/>
      </c>
      <c r="E238" s="38">
        <f>IF(15&lt;=15,$AD$215,$AD$215+(15-15)*$AE$215)</f>
        <v/>
      </c>
      <c r="F238" s="38">
        <f>IF(15&lt;=15,$AD$216,$AD$216+(15-15)*$AE$216)</f>
        <v/>
      </c>
      <c r="G238" s="38">
        <f>IF(15&lt;=20,$AD$217,IF(15&lt;=35,$AD$217+(15-20)*$AE$217,$AG$217+(15-35)*$AF$217))</f>
        <v/>
      </c>
      <c r="H238" s="38">
        <f>IF(15&lt;=20,$AD$218,IF(15&lt;=35,$AD$218+(15-20)*$AE$218,$AG$218+(15-35)*$AF$218))</f>
        <v/>
      </c>
      <c r="I238" s="38">
        <f>IF(15&lt;=2,$AD$219,$AD$219+(15-2)*$AE$219)</f>
        <v/>
      </c>
      <c r="J238" s="39">
        <f>IF(15&lt;=2,$AD$220,$AD$220+(15-2)*$AE$220)</f>
        <v/>
      </c>
    </row>
    <row r="239">
      <c r="B239" s="40" t="n">
        <v>16</v>
      </c>
      <c r="C239" s="41">
        <f>IF(16&lt;=5,$AD$213,$AD$213+(16-5)*$AE$213)</f>
        <v/>
      </c>
      <c r="D239" s="41">
        <f>IF(16&lt;=5,$AD$214,$AD$214+(16-5)*$AE$214)</f>
        <v/>
      </c>
      <c r="E239" s="41">
        <f>IF(16&lt;=15,$AD$215,$AD$215+(16-15)*$AE$215)</f>
        <v/>
      </c>
      <c r="F239" s="41">
        <f>IF(16&lt;=15,$AD$216,$AD$216+(16-15)*$AE$216)</f>
        <v/>
      </c>
      <c r="G239" s="41">
        <f>IF(16&lt;=20,$AD$217,IF(16&lt;=35,$AD$217+(16-20)*$AE$217,$AG$217+(16-35)*$AF$217))</f>
        <v/>
      </c>
      <c r="H239" s="41">
        <f>IF(16&lt;=20,$AD$218,IF(16&lt;=35,$AD$218+(16-20)*$AE$218,$AG$218+(16-35)*$AF$218))</f>
        <v/>
      </c>
      <c r="I239" s="41">
        <f>IF(16&lt;=2,$AD$219,$AD$219+(16-2)*$AE$219)</f>
        <v/>
      </c>
      <c r="J239" s="42">
        <f>IF(16&lt;=2,$AD$220,$AD$220+(16-2)*$AE$220)</f>
        <v/>
      </c>
    </row>
    <row r="240">
      <c r="B240" s="40" t="n">
        <v>17</v>
      </c>
      <c r="C240" s="41">
        <f>IF(17&lt;=5,$AD$213,$AD$213+(17-5)*$AE$213)</f>
        <v/>
      </c>
      <c r="D240" s="41">
        <f>IF(17&lt;=5,$AD$214,$AD$214+(17-5)*$AE$214)</f>
        <v/>
      </c>
      <c r="E240" s="41">
        <f>IF(17&lt;=15,$AD$215,$AD$215+(17-15)*$AE$215)</f>
        <v/>
      </c>
      <c r="F240" s="41">
        <f>IF(17&lt;=15,$AD$216,$AD$216+(17-15)*$AE$216)</f>
        <v/>
      </c>
      <c r="G240" s="41">
        <f>IF(17&lt;=20,$AD$217,IF(17&lt;=35,$AD$217+(17-20)*$AE$217,$AG$217+(17-35)*$AF$217))</f>
        <v/>
      </c>
      <c r="H240" s="41">
        <f>IF(17&lt;=20,$AD$218,IF(17&lt;=35,$AD$218+(17-20)*$AE$218,$AG$218+(17-35)*$AF$218))</f>
        <v/>
      </c>
      <c r="I240" s="41">
        <f>IF(17&lt;=2,$AD$219,$AD$219+(17-2)*$AE$219)</f>
        <v/>
      </c>
      <c r="J240" s="42">
        <f>IF(17&lt;=2,$AD$220,$AD$220+(17-2)*$AE$220)</f>
        <v/>
      </c>
    </row>
    <row r="241">
      <c r="B241" s="40" t="n">
        <v>18</v>
      </c>
      <c r="C241" s="41">
        <f>IF(18&lt;=5,$AD$213,$AD$213+(18-5)*$AE$213)</f>
        <v/>
      </c>
      <c r="D241" s="41">
        <f>IF(18&lt;=5,$AD$214,$AD$214+(18-5)*$AE$214)</f>
        <v/>
      </c>
      <c r="E241" s="41">
        <f>IF(18&lt;=15,$AD$215,$AD$215+(18-15)*$AE$215)</f>
        <v/>
      </c>
      <c r="F241" s="41">
        <f>IF(18&lt;=15,$AD$216,$AD$216+(18-15)*$AE$216)</f>
        <v/>
      </c>
      <c r="G241" s="41">
        <f>IF(18&lt;=20,$AD$217,IF(18&lt;=35,$AD$217+(18-20)*$AE$217,$AG$217+(18-35)*$AF$217))</f>
        <v/>
      </c>
      <c r="H241" s="41">
        <f>IF(18&lt;=20,$AD$218,IF(18&lt;=35,$AD$218+(18-20)*$AE$218,$AG$218+(18-35)*$AF$218))</f>
        <v/>
      </c>
      <c r="I241" s="41">
        <f>IF(18&lt;=2,$AD$219,$AD$219+(18-2)*$AE$219)</f>
        <v/>
      </c>
      <c r="J241" s="42">
        <f>IF(18&lt;=2,$AD$220,$AD$220+(18-2)*$AE$220)</f>
        <v/>
      </c>
    </row>
    <row r="242">
      <c r="B242" s="40" t="n">
        <v>19</v>
      </c>
      <c r="C242" s="41">
        <f>IF(19&lt;=5,$AD$213,$AD$213+(19-5)*$AE$213)</f>
        <v/>
      </c>
      <c r="D242" s="41">
        <f>IF(19&lt;=5,$AD$214,$AD$214+(19-5)*$AE$214)</f>
        <v/>
      </c>
      <c r="E242" s="41">
        <f>IF(19&lt;=15,$AD$215,$AD$215+(19-15)*$AE$215)</f>
        <v/>
      </c>
      <c r="F242" s="41">
        <f>IF(19&lt;=15,$AD$216,$AD$216+(19-15)*$AE$216)</f>
        <v/>
      </c>
      <c r="G242" s="41">
        <f>IF(19&lt;=20,$AD$217,IF(19&lt;=35,$AD$217+(19-20)*$AE$217,$AG$217+(19-35)*$AF$217))</f>
        <v/>
      </c>
      <c r="H242" s="41">
        <f>IF(19&lt;=20,$AD$218,IF(19&lt;=35,$AD$218+(19-20)*$AE$218,$AG$218+(19-35)*$AF$218))</f>
        <v/>
      </c>
      <c r="I242" s="41">
        <f>IF(19&lt;=2,$AD$219,$AD$219+(19-2)*$AE$219)</f>
        <v/>
      </c>
      <c r="J242" s="42">
        <f>IF(19&lt;=2,$AD$220,$AD$220+(19-2)*$AE$220)</f>
        <v/>
      </c>
    </row>
    <row r="243">
      <c r="B243" s="40" t="n">
        <v>20</v>
      </c>
      <c r="C243" s="41">
        <f>IF(20&lt;=5,$AD$213,$AD$213+(20-5)*$AE$213)</f>
        <v/>
      </c>
      <c r="D243" s="41">
        <f>IF(20&lt;=5,$AD$214,$AD$214+(20-5)*$AE$214)</f>
        <v/>
      </c>
      <c r="E243" s="41">
        <f>IF(20&lt;=15,$AD$215,$AD$215+(20-15)*$AE$215)</f>
        <v/>
      </c>
      <c r="F243" s="41">
        <f>IF(20&lt;=15,$AD$216,$AD$216+(20-15)*$AE$216)</f>
        <v/>
      </c>
      <c r="G243" s="41">
        <f>IF(20&lt;=20,$AD$217,IF(20&lt;=35,$AD$217+(20-20)*$AE$217,$AG$217+(20-35)*$AF$217))</f>
        <v/>
      </c>
      <c r="H243" s="41">
        <f>IF(20&lt;=20,$AD$218,IF(20&lt;=35,$AD$218+(20-20)*$AE$218,$AG$218+(20-35)*$AF$218))</f>
        <v/>
      </c>
      <c r="I243" s="41">
        <f>IF(20&lt;=2,$AD$219,$AD$219+(20-2)*$AE$219)</f>
        <v/>
      </c>
      <c r="J243" s="42">
        <f>IF(20&lt;=2,$AD$220,$AD$220+(20-2)*$AE$220)</f>
        <v/>
      </c>
    </row>
    <row r="244">
      <c r="B244" s="37" t="n">
        <v>21</v>
      </c>
      <c r="C244" s="38">
        <f>IF(21&lt;=5,$AD$213,$AD$213+(21-5)*$AE$213)</f>
        <v/>
      </c>
      <c r="D244" s="38">
        <f>IF(21&lt;=5,$AD$214,$AD$214+(21-5)*$AE$214)</f>
        <v/>
      </c>
      <c r="E244" s="38">
        <f>IF(21&lt;=15,$AD$215,$AD$215+(21-15)*$AE$215)</f>
        <v/>
      </c>
      <c r="F244" s="38">
        <f>IF(21&lt;=15,$AD$216,$AD$216+(21-15)*$AE$216)</f>
        <v/>
      </c>
      <c r="G244" s="38">
        <f>IF(21&lt;=20,$AD$217,IF(21&lt;=35,$AD$217+(21-20)*$AE$217,$AG$217+(21-35)*$AF$217))</f>
        <v/>
      </c>
      <c r="H244" s="38">
        <f>IF(21&lt;=20,$AD$218,IF(21&lt;=35,$AD$218+(21-20)*$AE$218,$AG$218+(21-35)*$AF$218))</f>
        <v/>
      </c>
      <c r="I244" s="38">
        <f>IF(21&lt;=2,$AD$219,$AD$219+(21-2)*$AE$219)</f>
        <v/>
      </c>
      <c r="J244" s="39">
        <f>IF(21&lt;=2,$AD$220,$AD$220+(21-2)*$AE$220)</f>
        <v/>
      </c>
    </row>
    <row r="245">
      <c r="B245" s="37" t="n">
        <v>22</v>
      </c>
      <c r="C245" s="38">
        <f>IF(22&lt;=5,$AD$213,$AD$213+(22-5)*$AE$213)</f>
        <v/>
      </c>
      <c r="D245" s="38">
        <f>IF(22&lt;=5,$AD$214,$AD$214+(22-5)*$AE$214)</f>
        <v/>
      </c>
      <c r="E245" s="38">
        <f>IF(22&lt;=15,$AD$215,$AD$215+(22-15)*$AE$215)</f>
        <v/>
      </c>
      <c r="F245" s="38">
        <f>IF(22&lt;=15,$AD$216,$AD$216+(22-15)*$AE$216)</f>
        <v/>
      </c>
      <c r="G245" s="38">
        <f>IF(22&lt;=20,$AD$217,IF(22&lt;=35,$AD$217+(22-20)*$AE$217,$AG$217+(22-35)*$AF$217))</f>
        <v/>
      </c>
      <c r="H245" s="38">
        <f>IF(22&lt;=20,$AD$218,IF(22&lt;=35,$AD$218+(22-20)*$AE$218,$AG$218+(22-35)*$AF$218))</f>
        <v/>
      </c>
      <c r="I245" s="38">
        <f>IF(22&lt;=2,$AD$219,$AD$219+(22-2)*$AE$219)</f>
        <v/>
      </c>
      <c r="J245" s="39">
        <f>IF(22&lt;=2,$AD$220,$AD$220+(22-2)*$AE$220)</f>
        <v/>
      </c>
    </row>
    <row r="246">
      <c r="B246" s="37" t="n">
        <v>23</v>
      </c>
      <c r="C246" s="38">
        <f>IF(23&lt;=5,$AD$213,$AD$213+(23-5)*$AE$213)</f>
        <v/>
      </c>
      <c r="D246" s="38">
        <f>IF(23&lt;=5,$AD$214,$AD$214+(23-5)*$AE$214)</f>
        <v/>
      </c>
      <c r="E246" s="38">
        <f>IF(23&lt;=15,$AD$215,$AD$215+(23-15)*$AE$215)</f>
        <v/>
      </c>
      <c r="F246" s="38">
        <f>IF(23&lt;=15,$AD$216,$AD$216+(23-15)*$AE$216)</f>
        <v/>
      </c>
      <c r="G246" s="38">
        <f>IF(23&lt;=20,$AD$217,IF(23&lt;=35,$AD$217+(23-20)*$AE$217,$AG$217+(23-35)*$AF$217))</f>
        <v/>
      </c>
      <c r="H246" s="38">
        <f>IF(23&lt;=20,$AD$218,IF(23&lt;=35,$AD$218+(23-20)*$AE$218,$AG$218+(23-35)*$AF$218))</f>
        <v/>
      </c>
      <c r="I246" s="38">
        <f>IF(23&lt;=2,$AD$219,$AD$219+(23-2)*$AE$219)</f>
        <v/>
      </c>
      <c r="J246" s="39">
        <f>IF(23&lt;=2,$AD$220,$AD$220+(23-2)*$AE$220)</f>
        <v/>
      </c>
    </row>
    <row r="247">
      <c r="B247" s="37" t="n">
        <v>24</v>
      </c>
      <c r="C247" s="38">
        <f>IF(24&lt;=5,$AD$213,$AD$213+(24-5)*$AE$213)</f>
        <v/>
      </c>
      <c r="D247" s="38">
        <f>IF(24&lt;=5,$AD$214,$AD$214+(24-5)*$AE$214)</f>
        <v/>
      </c>
      <c r="E247" s="38">
        <f>IF(24&lt;=15,$AD$215,$AD$215+(24-15)*$AE$215)</f>
        <v/>
      </c>
      <c r="F247" s="38">
        <f>IF(24&lt;=15,$AD$216,$AD$216+(24-15)*$AE$216)</f>
        <v/>
      </c>
      <c r="G247" s="38">
        <f>IF(24&lt;=20,$AD$217,IF(24&lt;=35,$AD$217+(24-20)*$AE$217,$AG$217+(24-35)*$AF$217))</f>
        <v/>
      </c>
      <c r="H247" s="38">
        <f>IF(24&lt;=20,$AD$218,IF(24&lt;=35,$AD$218+(24-20)*$AE$218,$AG$218+(24-35)*$AF$218))</f>
        <v/>
      </c>
      <c r="I247" s="38">
        <f>IF(24&lt;=2,$AD$219,$AD$219+(24-2)*$AE$219)</f>
        <v/>
      </c>
      <c r="J247" s="39">
        <f>IF(24&lt;=2,$AD$220,$AD$220+(24-2)*$AE$220)</f>
        <v/>
      </c>
    </row>
    <row r="248">
      <c r="B248" s="37" t="n">
        <v>25</v>
      </c>
      <c r="C248" s="38">
        <f>IF(25&lt;=5,$AD$213,$AD$213+(25-5)*$AE$213)</f>
        <v/>
      </c>
      <c r="D248" s="38">
        <f>IF(25&lt;=5,$AD$214,$AD$214+(25-5)*$AE$214)</f>
        <v/>
      </c>
      <c r="E248" s="38">
        <f>IF(25&lt;=15,$AD$215,$AD$215+(25-15)*$AE$215)</f>
        <v/>
      </c>
      <c r="F248" s="38">
        <f>IF(25&lt;=15,$AD$216,$AD$216+(25-15)*$AE$216)</f>
        <v/>
      </c>
      <c r="G248" s="38">
        <f>IF(25&lt;=20,$AD$217,IF(25&lt;=35,$AD$217+(25-20)*$AE$217,$AG$217+(25-35)*$AF$217))</f>
        <v/>
      </c>
      <c r="H248" s="38">
        <f>IF(25&lt;=20,$AD$218,IF(25&lt;=35,$AD$218+(25-20)*$AE$218,$AG$218+(25-35)*$AF$218))</f>
        <v/>
      </c>
      <c r="I248" s="38">
        <f>IF(25&lt;=2,$AD$219,$AD$219+(25-2)*$AE$219)</f>
        <v/>
      </c>
      <c r="J248" s="39">
        <f>IF(25&lt;=2,$AD$220,$AD$220+(25-2)*$AE$220)</f>
        <v/>
      </c>
    </row>
    <row r="249">
      <c r="B249" s="40" t="n">
        <v>26</v>
      </c>
      <c r="C249" s="41">
        <f>IF(26&lt;=5,$AD$213,$AD$213+(26-5)*$AE$213)</f>
        <v/>
      </c>
      <c r="D249" s="41">
        <f>IF(26&lt;=5,$AD$214,$AD$214+(26-5)*$AE$214)</f>
        <v/>
      </c>
      <c r="E249" s="41">
        <f>IF(26&lt;=15,$AD$215,$AD$215+(26-15)*$AE$215)</f>
        <v/>
      </c>
      <c r="F249" s="41">
        <f>IF(26&lt;=15,$AD$216,$AD$216+(26-15)*$AE$216)</f>
        <v/>
      </c>
      <c r="G249" s="41">
        <f>IF(26&lt;=20,$AD$217,IF(26&lt;=35,$AD$217+(26-20)*$AE$217,$AG$217+(26-35)*$AF$217))</f>
        <v/>
      </c>
      <c r="H249" s="41">
        <f>IF(26&lt;=20,$AD$218,IF(26&lt;=35,$AD$218+(26-20)*$AE$218,$AG$218+(26-35)*$AF$218))</f>
        <v/>
      </c>
      <c r="I249" s="41">
        <f>IF(26&lt;=2,$AD$219,$AD$219+(26-2)*$AE$219)</f>
        <v/>
      </c>
      <c r="J249" s="42">
        <f>IF(26&lt;=2,$AD$220,$AD$220+(26-2)*$AE$220)</f>
        <v/>
      </c>
    </row>
    <row r="250">
      <c r="B250" s="40" t="n">
        <v>27</v>
      </c>
      <c r="C250" s="41">
        <f>IF(27&lt;=5,$AD$213,$AD$213+(27-5)*$AE$213)</f>
        <v/>
      </c>
      <c r="D250" s="41">
        <f>IF(27&lt;=5,$AD$214,$AD$214+(27-5)*$AE$214)</f>
        <v/>
      </c>
      <c r="E250" s="41">
        <f>IF(27&lt;=15,$AD$215,$AD$215+(27-15)*$AE$215)</f>
        <v/>
      </c>
      <c r="F250" s="41">
        <f>IF(27&lt;=15,$AD$216,$AD$216+(27-15)*$AE$216)</f>
        <v/>
      </c>
      <c r="G250" s="41">
        <f>IF(27&lt;=20,$AD$217,IF(27&lt;=35,$AD$217+(27-20)*$AE$217,$AG$217+(27-35)*$AF$217))</f>
        <v/>
      </c>
      <c r="H250" s="41">
        <f>IF(27&lt;=20,$AD$218,IF(27&lt;=35,$AD$218+(27-20)*$AE$218,$AG$218+(27-35)*$AF$218))</f>
        <v/>
      </c>
      <c r="I250" s="41">
        <f>IF(27&lt;=2,$AD$219,$AD$219+(27-2)*$AE$219)</f>
        <v/>
      </c>
      <c r="J250" s="42">
        <f>IF(27&lt;=2,$AD$220,$AD$220+(27-2)*$AE$220)</f>
        <v/>
      </c>
    </row>
    <row r="251">
      <c r="B251" s="40" t="n">
        <v>28</v>
      </c>
      <c r="C251" s="41">
        <f>IF(28&lt;=5,$AD$213,$AD$213+(28-5)*$AE$213)</f>
        <v/>
      </c>
      <c r="D251" s="41">
        <f>IF(28&lt;=5,$AD$214,$AD$214+(28-5)*$AE$214)</f>
        <v/>
      </c>
      <c r="E251" s="41">
        <f>IF(28&lt;=15,$AD$215,$AD$215+(28-15)*$AE$215)</f>
        <v/>
      </c>
      <c r="F251" s="41">
        <f>IF(28&lt;=15,$AD$216,$AD$216+(28-15)*$AE$216)</f>
        <v/>
      </c>
      <c r="G251" s="41">
        <f>IF(28&lt;=20,$AD$217,IF(28&lt;=35,$AD$217+(28-20)*$AE$217,$AG$217+(28-35)*$AF$217))</f>
        <v/>
      </c>
      <c r="H251" s="41">
        <f>IF(28&lt;=20,$AD$218,IF(28&lt;=35,$AD$218+(28-20)*$AE$218,$AG$218+(28-35)*$AF$218))</f>
        <v/>
      </c>
      <c r="I251" s="41">
        <f>IF(28&lt;=2,$AD$219,$AD$219+(28-2)*$AE$219)</f>
        <v/>
      </c>
      <c r="J251" s="42">
        <f>IF(28&lt;=2,$AD$220,$AD$220+(28-2)*$AE$220)</f>
        <v/>
      </c>
    </row>
    <row r="252">
      <c r="B252" s="40" t="n">
        <v>29</v>
      </c>
      <c r="C252" s="41">
        <f>IF(29&lt;=5,$AD$213,$AD$213+(29-5)*$AE$213)</f>
        <v/>
      </c>
      <c r="D252" s="41">
        <f>IF(29&lt;=5,$AD$214,$AD$214+(29-5)*$AE$214)</f>
        <v/>
      </c>
      <c r="E252" s="41">
        <f>IF(29&lt;=15,$AD$215,$AD$215+(29-15)*$AE$215)</f>
        <v/>
      </c>
      <c r="F252" s="41">
        <f>IF(29&lt;=15,$AD$216,$AD$216+(29-15)*$AE$216)</f>
        <v/>
      </c>
      <c r="G252" s="41">
        <f>IF(29&lt;=20,$AD$217,IF(29&lt;=35,$AD$217+(29-20)*$AE$217,$AG$217+(29-35)*$AF$217))</f>
        <v/>
      </c>
      <c r="H252" s="41">
        <f>IF(29&lt;=20,$AD$218,IF(29&lt;=35,$AD$218+(29-20)*$AE$218,$AG$218+(29-35)*$AF$218))</f>
        <v/>
      </c>
      <c r="I252" s="41">
        <f>IF(29&lt;=2,$AD$219,$AD$219+(29-2)*$AE$219)</f>
        <v/>
      </c>
      <c r="J252" s="42">
        <f>IF(29&lt;=2,$AD$220,$AD$220+(29-2)*$AE$220)</f>
        <v/>
      </c>
    </row>
    <row r="253">
      <c r="B253" s="40" t="n">
        <v>30</v>
      </c>
      <c r="C253" s="41">
        <f>IF(30&lt;=5,$AD$213,$AD$213+(30-5)*$AE$213)</f>
        <v/>
      </c>
      <c r="D253" s="41">
        <f>IF(30&lt;=5,$AD$214,$AD$214+(30-5)*$AE$214)</f>
        <v/>
      </c>
      <c r="E253" s="41">
        <f>IF(30&lt;=15,$AD$215,$AD$215+(30-15)*$AE$215)</f>
        <v/>
      </c>
      <c r="F253" s="41">
        <f>IF(30&lt;=15,$AD$216,$AD$216+(30-15)*$AE$216)</f>
        <v/>
      </c>
      <c r="G253" s="41">
        <f>IF(30&lt;=20,$AD$217,IF(30&lt;=35,$AD$217+(30-20)*$AE$217,$AG$217+(30-35)*$AF$217))</f>
        <v/>
      </c>
      <c r="H253" s="41">
        <f>IF(30&lt;=20,$AD$218,IF(30&lt;=35,$AD$218+(30-20)*$AE$218,$AG$218+(30-35)*$AF$218))</f>
        <v/>
      </c>
      <c r="I253" s="41">
        <f>IF(30&lt;=2,$AD$219,$AD$219+(30-2)*$AE$219)</f>
        <v/>
      </c>
      <c r="J253" s="42">
        <f>IF(30&lt;=2,$AD$220,$AD$220+(30-2)*$AE$220)</f>
        <v/>
      </c>
    </row>
    <row r="254">
      <c r="B254" s="37" t="n">
        <v>31</v>
      </c>
      <c r="C254" s="38">
        <f>IF(31&lt;=5,$AD$213,$AD$213+(31-5)*$AE$213)</f>
        <v/>
      </c>
      <c r="D254" s="38">
        <f>IF(31&lt;=5,$AD$214,$AD$214+(31-5)*$AE$214)</f>
        <v/>
      </c>
      <c r="E254" s="38">
        <f>IF(31&lt;=15,$AD$215,$AD$215+(31-15)*$AE$215)</f>
        <v/>
      </c>
      <c r="F254" s="38">
        <f>IF(31&lt;=15,$AD$216,$AD$216+(31-15)*$AE$216)</f>
        <v/>
      </c>
      <c r="G254" s="38">
        <f>IF(31&lt;=20,$AD$217,IF(31&lt;=35,$AD$217+(31-20)*$AE$217,$AG$217+(31-35)*$AF$217))</f>
        <v/>
      </c>
      <c r="H254" s="38">
        <f>IF(31&lt;=20,$AD$218,IF(31&lt;=35,$AD$218+(31-20)*$AE$218,$AG$218+(31-35)*$AF$218))</f>
        <v/>
      </c>
      <c r="I254" s="38">
        <f>IF(31&lt;=2,$AD$219,$AD$219+(31-2)*$AE$219)</f>
        <v/>
      </c>
      <c r="J254" s="39">
        <f>IF(31&lt;=2,$AD$220,$AD$220+(31-2)*$AE$220)</f>
        <v/>
      </c>
    </row>
    <row r="255">
      <c r="B255" s="37" t="n">
        <v>32</v>
      </c>
      <c r="C255" s="38">
        <f>IF(32&lt;=5,$AD$213,$AD$213+(32-5)*$AE$213)</f>
        <v/>
      </c>
      <c r="D255" s="38">
        <f>IF(32&lt;=5,$AD$214,$AD$214+(32-5)*$AE$214)</f>
        <v/>
      </c>
      <c r="E255" s="38">
        <f>IF(32&lt;=15,$AD$215,$AD$215+(32-15)*$AE$215)</f>
        <v/>
      </c>
      <c r="F255" s="38">
        <f>IF(32&lt;=15,$AD$216,$AD$216+(32-15)*$AE$216)</f>
        <v/>
      </c>
      <c r="G255" s="38">
        <f>IF(32&lt;=20,$AD$217,IF(32&lt;=35,$AD$217+(32-20)*$AE$217,$AG$217+(32-35)*$AF$217))</f>
        <v/>
      </c>
      <c r="H255" s="38">
        <f>IF(32&lt;=20,$AD$218,IF(32&lt;=35,$AD$218+(32-20)*$AE$218,$AG$218+(32-35)*$AF$218))</f>
        <v/>
      </c>
      <c r="I255" s="38">
        <f>IF(32&lt;=2,$AD$219,$AD$219+(32-2)*$AE$219)</f>
        <v/>
      </c>
      <c r="J255" s="39">
        <f>IF(32&lt;=2,$AD$220,$AD$220+(32-2)*$AE$220)</f>
        <v/>
      </c>
    </row>
    <row r="256">
      <c r="B256" s="37" t="n">
        <v>33</v>
      </c>
      <c r="C256" s="38">
        <f>IF(33&lt;=5,$AD$213,$AD$213+(33-5)*$AE$213)</f>
        <v/>
      </c>
      <c r="D256" s="38">
        <f>IF(33&lt;=5,$AD$214,$AD$214+(33-5)*$AE$214)</f>
        <v/>
      </c>
      <c r="E256" s="38">
        <f>IF(33&lt;=15,$AD$215,$AD$215+(33-15)*$AE$215)</f>
        <v/>
      </c>
      <c r="F256" s="38">
        <f>IF(33&lt;=15,$AD$216,$AD$216+(33-15)*$AE$216)</f>
        <v/>
      </c>
      <c r="G256" s="38">
        <f>IF(33&lt;=20,$AD$217,IF(33&lt;=35,$AD$217+(33-20)*$AE$217,$AG$217+(33-35)*$AF$217))</f>
        <v/>
      </c>
      <c r="H256" s="38">
        <f>IF(33&lt;=20,$AD$218,IF(33&lt;=35,$AD$218+(33-20)*$AE$218,$AG$218+(33-35)*$AF$218))</f>
        <v/>
      </c>
      <c r="I256" s="38">
        <f>IF(33&lt;=2,$AD$219,$AD$219+(33-2)*$AE$219)</f>
        <v/>
      </c>
      <c r="J256" s="39">
        <f>IF(33&lt;=2,$AD$220,$AD$220+(33-2)*$AE$220)</f>
        <v/>
      </c>
    </row>
    <row r="257">
      <c r="B257" s="37" t="n">
        <v>34</v>
      </c>
      <c r="C257" s="38">
        <f>IF(34&lt;=5,$AD$213,$AD$213+(34-5)*$AE$213)</f>
        <v/>
      </c>
      <c r="D257" s="38">
        <f>IF(34&lt;=5,$AD$214,$AD$214+(34-5)*$AE$214)</f>
        <v/>
      </c>
      <c r="E257" s="38">
        <f>IF(34&lt;=15,$AD$215,$AD$215+(34-15)*$AE$215)</f>
        <v/>
      </c>
      <c r="F257" s="38">
        <f>IF(34&lt;=15,$AD$216,$AD$216+(34-15)*$AE$216)</f>
        <v/>
      </c>
      <c r="G257" s="38">
        <f>IF(34&lt;=20,$AD$217,IF(34&lt;=35,$AD$217+(34-20)*$AE$217,$AG$217+(34-35)*$AF$217))</f>
        <v/>
      </c>
      <c r="H257" s="38">
        <f>IF(34&lt;=20,$AD$218,IF(34&lt;=35,$AD$218+(34-20)*$AE$218,$AG$218+(34-35)*$AF$218))</f>
        <v/>
      </c>
      <c r="I257" s="38">
        <f>IF(34&lt;=2,$AD$219,$AD$219+(34-2)*$AE$219)</f>
        <v/>
      </c>
      <c r="J257" s="39">
        <f>IF(34&lt;=2,$AD$220,$AD$220+(34-2)*$AE$220)</f>
        <v/>
      </c>
    </row>
    <row r="258">
      <c r="B258" s="37" t="n">
        <v>35</v>
      </c>
      <c r="C258" s="38">
        <f>IF(35&lt;=5,$AD$213,$AD$213+(35-5)*$AE$213)</f>
        <v/>
      </c>
      <c r="D258" s="38">
        <f>IF(35&lt;=5,$AD$214,$AD$214+(35-5)*$AE$214)</f>
        <v/>
      </c>
      <c r="E258" s="38">
        <f>IF(35&lt;=15,$AD$215,$AD$215+(35-15)*$AE$215)</f>
        <v/>
      </c>
      <c r="F258" s="38">
        <f>IF(35&lt;=15,$AD$216,$AD$216+(35-15)*$AE$216)</f>
        <v/>
      </c>
      <c r="G258" s="38">
        <f>IF(35&lt;=20,$AD$217,IF(35&lt;=35,$AD$217+(35-20)*$AE$217,$AG$217+(35-35)*$AF$217))</f>
        <v/>
      </c>
      <c r="H258" s="38">
        <f>IF(35&lt;=20,$AD$218,IF(35&lt;=35,$AD$218+(35-20)*$AE$218,$AG$218+(35-35)*$AF$218))</f>
        <v/>
      </c>
      <c r="I258" s="38">
        <f>IF(35&lt;=2,$AD$219,$AD$219+(35-2)*$AE$219)</f>
        <v/>
      </c>
      <c r="J258" s="39">
        <f>IF(35&lt;=2,$AD$220,$AD$220+(35-2)*$AE$220)</f>
        <v/>
      </c>
    </row>
    <row r="259">
      <c r="B259" s="40" t="n">
        <v>36</v>
      </c>
      <c r="C259" s="43" t="inlineStr">
        <is>
          <t>see ECO/R</t>
        </is>
      </c>
      <c r="D259" s="43" t="inlineStr">
        <is>
          <t>see ECO/R</t>
        </is>
      </c>
      <c r="E259" s="43" t="inlineStr">
        <is>
          <t>see ECO/R</t>
        </is>
      </c>
      <c r="F259" s="43" t="inlineStr">
        <is>
          <t>see ECO/R</t>
        </is>
      </c>
      <c r="G259" s="41">
        <f>IF(36&lt;=20,$AD$217,IF(36&lt;=35,$AD$217+(36-20)*$AE$217,$AG$217+(36-35)*$AF$217))</f>
        <v/>
      </c>
      <c r="H259" s="41">
        <f>IF(36&lt;=20,$AD$218,IF(36&lt;=35,$AD$218+(36-20)*$AE$218,$AG$218+(36-35)*$AF$218))</f>
        <v/>
      </c>
      <c r="I259" s="41">
        <f>IF(36&lt;=2,$AD$219,$AD$219+(36-2)*$AE$219)</f>
        <v/>
      </c>
      <c r="J259" s="42">
        <f>IF(36&lt;=2,$AD$220,$AD$220+(36-2)*$AE$220)</f>
        <v/>
      </c>
    </row>
    <row r="260">
      <c r="B260" s="40" t="n">
        <v>37</v>
      </c>
      <c r="C260" s="43" t="inlineStr">
        <is>
          <t>see ECO/R</t>
        </is>
      </c>
      <c r="D260" s="43" t="inlineStr">
        <is>
          <t>see ECO/R</t>
        </is>
      </c>
      <c r="E260" s="43" t="inlineStr">
        <is>
          <t>see ECO/R</t>
        </is>
      </c>
      <c r="F260" s="43" t="inlineStr">
        <is>
          <t>see ECO/R</t>
        </is>
      </c>
      <c r="G260" s="41">
        <f>IF(37&lt;=20,$AD$217,IF(37&lt;=35,$AD$217+(37-20)*$AE$217,$AG$217+(37-35)*$AF$217))</f>
        <v/>
      </c>
      <c r="H260" s="41">
        <f>IF(37&lt;=20,$AD$218,IF(37&lt;=35,$AD$218+(37-20)*$AE$218,$AG$218+(37-35)*$AF$218))</f>
        <v/>
      </c>
      <c r="I260" s="41">
        <f>IF(37&lt;=2,$AD$219,$AD$219+(37-2)*$AE$219)</f>
        <v/>
      </c>
      <c r="J260" s="42">
        <f>IF(37&lt;=2,$AD$220,$AD$220+(37-2)*$AE$220)</f>
        <v/>
      </c>
    </row>
    <row r="261">
      <c r="B261" s="40" t="n">
        <v>38</v>
      </c>
      <c r="C261" s="43" t="inlineStr">
        <is>
          <t>see ECO/R</t>
        </is>
      </c>
      <c r="D261" s="43" t="inlineStr">
        <is>
          <t>see ECO/R</t>
        </is>
      </c>
      <c r="E261" s="43" t="inlineStr">
        <is>
          <t>see ECO/R</t>
        </is>
      </c>
      <c r="F261" s="43" t="inlineStr">
        <is>
          <t>see ECO/R</t>
        </is>
      </c>
      <c r="G261" s="41">
        <f>IF(38&lt;=20,$AD$217,IF(38&lt;=35,$AD$217+(38-20)*$AE$217,$AG$217+(38-35)*$AF$217))</f>
        <v/>
      </c>
      <c r="H261" s="41">
        <f>IF(38&lt;=20,$AD$218,IF(38&lt;=35,$AD$218+(38-20)*$AE$218,$AG$218+(38-35)*$AF$218))</f>
        <v/>
      </c>
      <c r="I261" s="41">
        <f>IF(38&lt;=2,$AD$219,$AD$219+(38-2)*$AE$219)</f>
        <v/>
      </c>
      <c r="J261" s="42">
        <f>IF(38&lt;=2,$AD$220,$AD$220+(38-2)*$AE$220)</f>
        <v/>
      </c>
    </row>
    <row r="262">
      <c r="B262" s="40" t="n">
        <v>39</v>
      </c>
      <c r="C262" s="43" t="inlineStr">
        <is>
          <t>see ECO/R</t>
        </is>
      </c>
      <c r="D262" s="43" t="inlineStr">
        <is>
          <t>see ECO/R</t>
        </is>
      </c>
      <c r="E262" s="43" t="inlineStr">
        <is>
          <t>see ECO/R</t>
        </is>
      </c>
      <c r="F262" s="43" t="inlineStr">
        <is>
          <t>see ECO/R</t>
        </is>
      </c>
      <c r="G262" s="41">
        <f>IF(39&lt;=20,$AD$217,IF(39&lt;=35,$AD$217+(39-20)*$AE$217,$AG$217+(39-35)*$AF$217))</f>
        <v/>
      </c>
      <c r="H262" s="41">
        <f>IF(39&lt;=20,$AD$218,IF(39&lt;=35,$AD$218+(39-20)*$AE$218,$AG$218+(39-35)*$AF$218))</f>
        <v/>
      </c>
      <c r="I262" s="41">
        <f>IF(39&lt;=2,$AD$219,$AD$219+(39-2)*$AE$219)</f>
        <v/>
      </c>
      <c r="J262" s="42">
        <f>IF(39&lt;=2,$AD$220,$AD$220+(39-2)*$AE$220)</f>
        <v/>
      </c>
    </row>
    <row r="263">
      <c r="B263" s="44" t="n">
        <v>40</v>
      </c>
      <c r="C263" s="45" t="inlineStr">
        <is>
          <t>see ECO/R</t>
        </is>
      </c>
      <c r="D263" s="45" t="inlineStr">
        <is>
          <t>see ECO/R</t>
        </is>
      </c>
      <c r="E263" s="45" t="inlineStr">
        <is>
          <t>see ECO/R</t>
        </is>
      </c>
      <c r="F263" s="45" t="inlineStr">
        <is>
          <t>see ECO/R</t>
        </is>
      </c>
      <c r="G263" s="46">
        <f>IF(40&lt;=20,$AD$217,IF(40&lt;=35,$AD$217+(40-20)*$AE$217,$AG$217+(40-35)*$AF$217))</f>
        <v/>
      </c>
      <c r="H263" s="46">
        <f>IF(40&lt;=20,$AD$218,IF(40&lt;=35,$AD$218+(40-20)*$AE$218,$AG$218+(40-35)*$AF$218))</f>
        <v/>
      </c>
      <c r="I263" s="46">
        <f>IF(40&lt;=2,$AD$219,$AD$219+(40-2)*$AE$219)</f>
        <v/>
      </c>
      <c r="J263" s="47">
        <f>IF(40&lt;=2,$AD$220,$AD$220+(40-2)*$AE$220)</f>
        <v/>
      </c>
    </row>
    <row r="264"/>
    <row r="265">
      <c r="B265" s="36" t="inlineStr">
        <is>
          <t>Weight-based price  —  VAT &amp; fuel levy INCLUDED</t>
        </is>
      </c>
    </row>
    <row r="266" ht="18" customHeight="1" s="98">
      <c r="B266" s="18" t="inlineStr">
        <is>
          <t>Kg</t>
        </is>
      </c>
      <c r="C266" s="19" t="inlineStr">
        <is>
          <t>LPF-SC</t>
        </is>
      </c>
      <c r="D266" s="19" t="inlineStr">
        <is>
          <t>LPF-R</t>
        </is>
      </c>
      <c r="E266" s="19" t="inlineStr">
        <is>
          <t>LPP-SC</t>
        </is>
      </c>
      <c r="F266" s="19" t="inlineStr">
        <is>
          <t>LPP-R</t>
        </is>
      </c>
      <c r="G266" s="19" t="inlineStr">
        <is>
          <t>ECO</t>
        </is>
      </c>
      <c r="H266" s="19" t="inlineStr">
        <is>
          <t>ECOR</t>
        </is>
      </c>
      <c r="I266" s="19" t="inlineStr">
        <is>
          <t>PRI</t>
        </is>
      </c>
      <c r="J266" s="20" t="inlineStr">
        <is>
          <t>PRIR</t>
        </is>
      </c>
    </row>
    <row r="267">
      <c r="B267" s="37" t="n">
        <v>1</v>
      </c>
      <c r="C267" s="38">
        <f>ROUND((IF(1&lt;=5,$AD$213,$AD$213+(1-5)*$AE$213))*(1+$C$6),2)+ROUND(ROUND((IF(1&lt;=5,$AD$213,$AD$213+(1-5)*$AE$213))*(1+$C$6),2)*(IF($G$6="YES",$E$6,0)+IF($K$6="YES",$I$6,0)),2)</f>
        <v/>
      </c>
      <c r="D267" s="38">
        <f>ROUND((IF(1&lt;=5,$AD$214,$AD$214+(1-5)*$AE$214))*(1+$C$6),2)+ROUND(ROUND((IF(1&lt;=5,$AD$214,$AD$214+(1-5)*$AE$214))*(1+$C$6),2)*(IF($G$6="YES",$E$6,0)+IF($K$6="YES",$I$6,0)),2)</f>
        <v/>
      </c>
      <c r="E267" s="38">
        <f>ROUND((IF(1&lt;=15,$AD$215,$AD$215+(1-15)*$AE$215))*(1+$C$6),2)+ROUND(ROUND((IF(1&lt;=15,$AD$215,$AD$215+(1-15)*$AE$215))*(1+$C$6),2)*(IF($G$6="YES",$E$6,0)+IF($K$6="YES",$I$6,0)),2)</f>
        <v/>
      </c>
      <c r="F267" s="38">
        <f>ROUND((IF(1&lt;=15,$AD$216,$AD$216+(1-15)*$AE$216))*(1+$C$6),2)+ROUND(ROUND((IF(1&lt;=15,$AD$216,$AD$216+(1-15)*$AE$216))*(1+$C$6),2)*(IF($G$6="YES",$E$6,0)+IF($K$6="YES",$I$6,0)),2)</f>
        <v/>
      </c>
      <c r="G267" s="38">
        <f>ROUND((IF(1&lt;=20,$AD$217,IF(1&lt;=35,$AD$217+(1-20)*$AE$217,$AG$217+(1-35)*$AF$217)))*(1+$C$6),2)+ROUND(ROUND((IF(1&lt;=20,$AD$217,IF(1&lt;=35,$AD$217+(1-20)*$AE$217,$AG$217+(1-35)*$AF$217)))*(1+$C$6),2)*(IF($G$6="YES",$E$6,0)+IF($K$6="YES",$I$6,0)),2)</f>
        <v/>
      </c>
      <c r="H267" s="38">
        <f>ROUND((IF(1&lt;=20,$AD$218,IF(1&lt;=35,$AD$218+(1-20)*$AE$218,$AG$218+(1-35)*$AF$218)))*(1+$C$6),2)+ROUND(ROUND((IF(1&lt;=20,$AD$218,IF(1&lt;=35,$AD$218+(1-20)*$AE$218,$AG$218+(1-35)*$AF$218)))*(1+$C$6),2)*(IF($G$6="YES",$E$6,0)+IF($K$6="YES",$I$6,0)),2)</f>
        <v/>
      </c>
      <c r="I267" s="38">
        <f>ROUND((IF(1&lt;=2,$AD$219,$AD$219+(1-2)*$AE$219))*(1+$C$6),2)+ROUND(ROUND((IF(1&lt;=2,$AD$219,$AD$219+(1-2)*$AE$219))*(1+$C$6),2)*(IF($G$6="YES",$E$6,0)+IF($K$6="YES",$I$6,0)),2)+(1*$E$8*IF($C$8="YES",1,0))</f>
        <v/>
      </c>
      <c r="J267" s="39">
        <f>ROUND((IF(1&lt;=2,$AD$220,$AD$220+(1-2)*$AE$220))*(1+$C$6),2)+ROUND(ROUND((IF(1&lt;=2,$AD$220,$AD$220+(1-2)*$AE$220))*(1+$C$6),2)*(IF($G$6="YES",$E$6,0)+IF($K$6="YES",$I$6,0)),2)</f>
        <v/>
      </c>
    </row>
    <row r="268">
      <c r="B268" s="37" t="n">
        <v>2</v>
      </c>
      <c r="C268" s="38">
        <f>ROUND((IF(2&lt;=5,$AD$213,$AD$213+(2-5)*$AE$213))*(1+$C$6),2)+ROUND(ROUND((IF(2&lt;=5,$AD$213,$AD$213+(2-5)*$AE$213))*(1+$C$6),2)*(IF($G$6="YES",$E$6,0)+IF($K$6="YES",$I$6,0)),2)</f>
        <v/>
      </c>
      <c r="D268" s="38">
        <f>ROUND((IF(2&lt;=5,$AD$214,$AD$214+(2-5)*$AE$214))*(1+$C$6),2)+ROUND(ROUND((IF(2&lt;=5,$AD$214,$AD$214+(2-5)*$AE$214))*(1+$C$6),2)*(IF($G$6="YES",$E$6,0)+IF($K$6="YES",$I$6,0)),2)</f>
        <v/>
      </c>
      <c r="E268" s="38">
        <f>ROUND((IF(2&lt;=15,$AD$215,$AD$215+(2-15)*$AE$215))*(1+$C$6),2)+ROUND(ROUND((IF(2&lt;=15,$AD$215,$AD$215+(2-15)*$AE$215))*(1+$C$6),2)*(IF($G$6="YES",$E$6,0)+IF($K$6="YES",$I$6,0)),2)</f>
        <v/>
      </c>
      <c r="F268" s="38">
        <f>ROUND((IF(2&lt;=15,$AD$216,$AD$216+(2-15)*$AE$216))*(1+$C$6),2)+ROUND(ROUND((IF(2&lt;=15,$AD$216,$AD$216+(2-15)*$AE$216))*(1+$C$6),2)*(IF($G$6="YES",$E$6,0)+IF($K$6="YES",$I$6,0)),2)</f>
        <v/>
      </c>
      <c r="G268" s="38">
        <f>ROUND((IF(2&lt;=20,$AD$217,IF(2&lt;=35,$AD$217+(2-20)*$AE$217,$AG$217+(2-35)*$AF$217)))*(1+$C$6),2)+ROUND(ROUND((IF(2&lt;=20,$AD$217,IF(2&lt;=35,$AD$217+(2-20)*$AE$217,$AG$217+(2-35)*$AF$217)))*(1+$C$6),2)*(IF($G$6="YES",$E$6,0)+IF($K$6="YES",$I$6,0)),2)</f>
        <v/>
      </c>
      <c r="H268" s="38">
        <f>ROUND((IF(2&lt;=20,$AD$218,IF(2&lt;=35,$AD$218+(2-20)*$AE$218,$AG$218+(2-35)*$AF$218)))*(1+$C$6),2)+ROUND(ROUND((IF(2&lt;=20,$AD$218,IF(2&lt;=35,$AD$218+(2-20)*$AE$218,$AG$218+(2-35)*$AF$218)))*(1+$C$6),2)*(IF($G$6="YES",$E$6,0)+IF($K$6="YES",$I$6,0)),2)</f>
        <v/>
      </c>
      <c r="I268" s="38">
        <f>ROUND((IF(2&lt;=2,$AD$219,$AD$219+(2-2)*$AE$219))*(1+$C$6),2)+ROUND(ROUND((IF(2&lt;=2,$AD$219,$AD$219+(2-2)*$AE$219))*(1+$C$6),2)*(IF($G$6="YES",$E$6,0)+IF($K$6="YES",$I$6,0)),2)+(2*$E$8*IF($C$8="YES",1,0))</f>
        <v/>
      </c>
      <c r="J268" s="39">
        <f>ROUND((IF(2&lt;=2,$AD$220,$AD$220+(2-2)*$AE$220))*(1+$C$6),2)+ROUND(ROUND((IF(2&lt;=2,$AD$220,$AD$220+(2-2)*$AE$220))*(1+$C$6),2)*(IF($G$6="YES",$E$6,0)+IF($K$6="YES",$I$6,0)),2)</f>
        <v/>
      </c>
    </row>
    <row r="269">
      <c r="B269" s="37" t="n">
        <v>3</v>
      </c>
      <c r="C269" s="38">
        <f>ROUND((IF(3&lt;=5,$AD$213,$AD$213+(3-5)*$AE$213))*(1+$C$6),2)+ROUND(ROUND((IF(3&lt;=5,$AD$213,$AD$213+(3-5)*$AE$213))*(1+$C$6),2)*(IF($G$6="YES",$E$6,0)+IF($K$6="YES",$I$6,0)),2)</f>
        <v/>
      </c>
      <c r="D269" s="38">
        <f>ROUND((IF(3&lt;=5,$AD$214,$AD$214+(3-5)*$AE$214))*(1+$C$6),2)+ROUND(ROUND((IF(3&lt;=5,$AD$214,$AD$214+(3-5)*$AE$214))*(1+$C$6),2)*(IF($G$6="YES",$E$6,0)+IF($K$6="YES",$I$6,0)),2)</f>
        <v/>
      </c>
      <c r="E269" s="38">
        <f>ROUND((IF(3&lt;=15,$AD$215,$AD$215+(3-15)*$AE$215))*(1+$C$6),2)+ROUND(ROUND((IF(3&lt;=15,$AD$215,$AD$215+(3-15)*$AE$215))*(1+$C$6),2)*(IF($G$6="YES",$E$6,0)+IF($K$6="YES",$I$6,0)),2)</f>
        <v/>
      </c>
      <c r="F269" s="38">
        <f>ROUND((IF(3&lt;=15,$AD$216,$AD$216+(3-15)*$AE$216))*(1+$C$6),2)+ROUND(ROUND((IF(3&lt;=15,$AD$216,$AD$216+(3-15)*$AE$216))*(1+$C$6),2)*(IF($G$6="YES",$E$6,0)+IF($K$6="YES",$I$6,0)),2)</f>
        <v/>
      </c>
      <c r="G269" s="38">
        <f>ROUND((IF(3&lt;=20,$AD$217,IF(3&lt;=35,$AD$217+(3-20)*$AE$217,$AG$217+(3-35)*$AF$217)))*(1+$C$6),2)+ROUND(ROUND((IF(3&lt;=20,$AD$217,IF(3&lt;=35,$AD$217+(3-20)*$AE$217,$AG$217+(3-35)*$AF$217)))*(1+$C$6),2)*(IF($G$6="YES",$E$6,0)+IF($K$6="YES",$I$6,0)),2)</f>
        <v/>
      </c>
      <c r="H269" s="38">
        <f>ROUND((IF(3&lt;=20,$AD$218,IF(3&lt;=35,$AD$218+(3-20)*$AE$218,$AG$218+(3-35)*$AF$218)))*(1+$C$6),2)+ROUND(ROUND((IF(3&lt;=20,$AD$218,IF(3&lt;=35,$AD$218+(3-20)*$AE$218,$AG$218+(3-35)*$AF$218)))*(1+$C$6),2)*(IF($G$6="YES",$E$6,0)+IF($K$6="YES",$I$6,0)),2)</f>
        <v/>
      </c>
      <c r="I269" s="38">
        <f>ROUND((IF(3&lt;=2,$AD$219,$AD$219+(3-2)*$AE$219))*(1+$C$6),2)+ROUND(ROUND((IF(3&lt;=2,$AD$219,$AD$219+(3-2)*$AE$219))*(1+$C$6),2)*(IF($G$6="YES",$E$6,0)+IF($K$6="YES",$I$6,0)),2)+(3*$E$8*IF($C$8="YES",1,0))</f>
        <v/>
      </c>
      <c r="J269" s="39">
        <f>ROUND((IF(3&lt;=2,$AD$220,$AD$220+(3-2)*$AE$220))*(1+$C$6),2)+ROUND(ROUND((IF(3&lt;=2,$AD$220,$AD$220+(3-2)*$AE$220))*(1+$C$6),2)*(IF($G$6="YES",$E$6,0)+IF($K$6="YES",$I$6,0)),2)</f>
        <v/>
      </c>
    </row>
    <row r="270">
      <c r="B270" s="37" t="n">
        <v>4</v>
      </c>
      <c r="C270" s="38">
        <f>ROUND((IF(4&lt;=5,$AD$213,$AD$213+(4-5)*$AE$213))*(1+$C$6),2)+ROUND(ROUND((IF(4&lt;=5,$AD$213,$AD$213+(4-5)*$AE$213))*(1+$C$6),2)*(IF($G$6="YES",$E$6,0)+IF($K$6="YES",$I$6,0)),2)</f>
        <v/>
      </c>
      <c r="D270" s="38">
        <f>ROUND((IF(4&lt;=5,$AD$214,$AD$214+(4-5)*$AE$214))*(1+$C$6),2)+ROUND(ROUND((IF(4&lt;=5,$AD$214,$AD$214+(4-5)*$AE$214))*(1+$C$6),2)*(IF($G$6="YES",$E$6,0)+IF($K$6="YES",$I$6,0)),2)</f>
        <v/>
      </c>
      <c r="E270" s="38">
        <f>ROUND((IF(4&lt;=15,$AD$215,$AD$215+(4-15)*$AE$215))*(1+$C$6),2)+ROUND(ROUND((IF(4&lt;=15,$AD$215,$AD$215+(4-15)*$AE$215))*(1+$C$6),2)*(IF($G$6="YES",$E$6,0)+IF($K$6="YES",$I$6,0)),2)</f>
        <v/>
      </c>
      <c r="F270" s="38">
        <f>ROUND((IF(4&lt;=15,$AD$216,$AD$216+(4-15)*$AE$216))*(1+$C$6),2)+ROUND(ROUND((IF(4&lt;=15,$AD$216,$AD$216+(4-15)*$AE$216))*(1+$C$6),2)*(IF($G$6="YES",$E$6,0)+IF($K$6="YES",$I$6,0)),2)</f>
        <v/>
      </c>
      <c r="G270" s="38">
        <f>ROUND((IF(4&lt;=20,$AD$217,IF(4&lt;=35,$AD$217+(4-20)*$AE$217,$AG$217+(4-35)*$AF$217)))*(1+$C$6),2)+ROUND(ROUND((IF(4&lt;=20,$AD$217,IF(4&lt;=35,$AD$217+(4-20)*$AE$217,$AG$217+(4-35)*$AF$217)))*(1+$C$6),2)*(IF($G$6="YES",$E$6,0)+IF($K$6="YES",$I$6,0)),2)</f>
        <v/>
      </c>
      <c r="H270" s="38">
        <f>ROUND((IF(4&lt;=20,$AD$218,IF(4&lt;=35,$AD$218+(4-20)*$AE$218,$AG$218+(4-35)*$AF$218)))*(1+$C$6),2)+ROUND(ROUND((IF(4&lt;=20,$AD$218,IF(4&lt;=35,$AD$218+(4-20)*$AE$218,$AG$218+(4-35)*$AF$218)))*(1+$C$6),2)*(IF($G$6="YES",$E$6,0)+IF($K$6="YES",$I$6,0)),2)</f>
        <v/>
      </c>
      <c r="I270" s="38">
        <f>ROUND((IF(4&lt;=2,$AD$219,$AD$219+(4-2)*$AE$219))*(1+$C$6),2)+ROUND(ROUND((IF(4&lt;=2,$AD$219,$AD$219+(4-2)*$AE$219))*(1+$C$6),2)*(IF($G$6="YES",$E$6,0)+IF($K$6="YES",$I$6,0)),2)+(4*$E$8*IF($C$8="YES",1,0))</f>
        <v/>
      </c>
      <c r="J270" s="39">
        <f>ROUND((IF(4&lt;=2,$AD$220,$AD$220+(4-2)*$AE$220))*(1+$C$6),2)+ROUND(ROUND((IF(4&lt;=2,$AD$220,$AD$220+(4-2)*$AE$220))*(1+$C$6),2)*(IF($G$6="YES",$E$6,0)+IF($K$6="YES",$I$6,0)),2)</f>
        <v/>
      </c>
    </row>
    <row r="271">
      <c r="B271" s="37" t="n">
        <v>5</v>
      </c>
      <c r="C271" s="38">
        <f>ROUND((IF(5&lt;=5,$AD$213,$AD$213+(5-5)*$AE$213))*(1+$C$6),2)+ROUND(ROUND((IF(5&lt;=5,$AD$213,$AD$213+(5-5)*$AE$213))*(1+$C$6),2)*(IF($G$6="YES",$E$6,0)+IF($K$6="YES",$I$6,0)),2)</f>
        <v/>
      </c>
      <c r="D271" s="38">
        <f>ROUND((IF(5&lt;=5,$AD$214,$AD$214+(5-5)*$AE$214))*(1+$C$6),2)+ROUND(ROUND((IF(5&lt;=5,$AD$214,$AD$214+(5-5)*$AE$214))*(1+$C$6),2)*(IF($G$6="YES",$E$6,0)+IF($K$6="YES",$I$6,0)),2)</f>
        <v/>
      </c>
      <c r="E271" s="38">
        <f>ROUND((IF(5&lt;=15,$AD$215,$AD$215+(5-15)*$AE$215))*(1+$C$6),2)+ROUND(ROUND((IF(5&lt;=15,$AD$215,$AD$215+(5-15)*$AE$215))*(1+$C$6),2)*(IF($G$6="YES",$E$6,0)+IF($K$6="YES",$I$6,0)),2)</f>
        <v/>
      </c>
      <c r="F271" s="38">
        <f>ROUND((IF(5&lt;=15,$AD$216,$AD$216+(5-15)*$AE$216))*(1+$C$6),2)+ROUND(ROUND((IF(5&lt;=15,$AD$216,$AD$216+(5-15)*$AE$216))*(1+$C$6),2)*(IF($G$6="YES",$E$6,0)+IF($K$6="YES",$I$6,0)),2)</f>
        <v/>
      </c>
      <c r="G271" s="38">
        <f>ROUND((IF(5&lt;=20,$AD$217,IF(5&lt;=35,$AD$217+(5-20)*$AE$217,$AG$217+(5-35)*$AF$217)))*(1+$C$6),2)+ROUND(ROUND((IF(5&lt;=20,$AD$217,IF(5&lt;=35,$AD$217+(5-20)*$AE$217,$AG$217+(5-35)*$AF$217)))*(1+$C$6),2)*(IF($G$6="YES",$E$6,0)+IF($K$6="YES",$I$6,0)),2)</f>
        <v/>
      </c>
      <c r="H271" s="38">
        <f>ROUND((IF(5&lt;=20,$AD$218,IF(5&lt;=35,$AD$218+(5-20)*$AE$218,$AG$218+(5-35)*$AF$218)))*(1+$C$6),2)+ROUND(ROUND((IF(5&lt;=20,$AD$218,IF(5&lt;=35,$AD$218+(5-20)*$AE$218,$AG$218+(5-35)*$AF$218)))*(1+$C$6),2)*(IF($G$6="YES",$E$6,0)+IF($K$6="YES",$I$6,0)),2)</f>
        <v/>
      </c>
      <c r="I271" s="38">
        <f>ROUND((IF(5&lt;=2,$AD$219,$AD$219+(5-2)*$AE$219))*(1+$C$6),2)+ROUND(ROUND((IF(5&lt;=2,$AD$219,$AD$219+(5-2)*$AE$219))*(1+$C$6),2)*(IF($G$6="YES",$E$6,0)+IF($K$6="YES",$I$6,0)),2)+(5*$E$8*IF($C$8="YES",1,0))</f>
        <v/>
      </c>
      <c r="J271" s="39">
        <f>ROUND((IF(5&lt;=2,$AD$220,$AD$220+(5-2)*$AE$220))*(1+$C$6),2)+ROUND(ROUND((IF(5&lt;=2,$AD$220,$AD$220+(5-2)*$AE$220))*(1+$C$6),2)*(IF($G$6="YES",$E$6,0)+IF($K$6="YES",$I$6,0)),2)</f>
        <v/>
      </c>
    </row>
    <row r="272">
      <c r="B272" s="40" t="n">
        <v>6</v>
      </c>
      <c r="C272" s="41">
        <f>ROUND((IF(6&lt;=5,$AD$213,$AD$213+(6-5)*$AE$213))*(1+$C$6),2)+ROUND(ROUND((IF(6&lt;=5,$AD$213,$AD$213+(6-5)*$AE$213))*(1+$C$6),2)*(IF($G$6="YES",$E$6,0)+IF($K$6="YES",$I$6,0)),2)</f>
        <v/>
      </c>
      <c r="D272" s="41">
        <f>ROUND((IF(6&lt;=5,$AD$214,$AD$214+(6-5)*$AE$214))*(1+$C$6),2)+ROUND(ROUND((IF(6&lt;=5,$AD$214,$AD$214+(6-5)*$AE$214))*(1+$C$6),2)*(IF($G$6="YES",$E$6,0)+IF($K$6="YES",$I$6,0)),2)</f>
        <v/>
      </c>
      <c r="E272" s="41">
        <f>ROUND((IF(6&lt;=15,$AD$215,$AD$215+(6-15)*$AE$215))*(1+$C$6),2)+ROUND(ROUND((IF(6&lt;=15,$AD$215,$AD$215+(6-15)*$AE$215))*(1+$C$6),2)*(IF($G$6="YES",$E$6,0)+IF($K$6="YES",$I$6,0)),2)</f>
        <v/>
      </c>
      <c r="F272" s="41">
        <f>ROUND((IF(6&lt;=15,$AD$216,$AD$216+(6-15)*$AE$216))*(1+$C$6),2)+ROUND(ROUND((IF(6&lt;=15,$AD$216,$AD$216+(6-15)*$AE$216))*(1+$C$6),2)*(IF($G$6="YES",$E$6,0)+IF($K$6="YES",$I$6,0)),2)</f>
        <v/>
      </c>
      <c r="G272" s="41">
        <f>ROUND((IF(6&lt;=20,$AD$217,IF(6&lt;=35,$AD$217+(6-20)*$AE$217,$AG$217+(6-35)*$AF$217)))*(1+$C$6),2)+ROUND(ROUND((IF(6&lt;=20,$AD$217,IF(6&lt;=35,$AD$217+(6-20)*$AE$217,$AG$217+(6-35)*$AF$217)))*(1+$C$6),2)*(IF($G$6="YES",$E$6,0)+IF($K$6="YES",$I$6,0)),2)</f>
        <v/>
      </c>
      <c r="H272" s="41">
        <f>ROUND((IF(6&lt;=20,$AD$218,IF(6&lt;=35,$AD$218+(6-20)*$AE$218,$AG$218+(6-35)*$AF$218)))*(1+$C$6),2)+ROUND(ROUND((IF(6&lt;=20,$AD$218,IF(6&lt;=35,$AD$218+(6-20)*$AE$218,$AG$218+(6-35)*$AF$218)))*(1+$C$6),2)*(IF($G$6="YES",$E$6,0)+IF($K$6="YES",$I$6,0)),2)</f>
        <v/>
      </c>
      <c r="I272" s="41">
        <f>ROUND((IF(6&lt;=2,$AD$219,$AD$219+(6-2)*$AE$219))*(1+$C$6),2)+ROUND(ROUND((IF(6&lt;=2,$AD$219,$AD$219+(6-2)*$AE$219))*(1+$C$6),2)*(IF($G$6="YES",$E$6,0)+IF($K$6="YES",$I$6,0)),2)+(6*$E$8*IF($C$8="YES",1,0))</f>
        <v/>
      </c>
      <c r="J272" s="42">
        <f>ROUND((IF(6&lt;=2,$AD$220,$AD$220+(6-2)*$AE$220))*(1+$C$6),2)+ROUND(ROUND((IF(6&lt;=2,$AD$220,$AD$220+(6-2)*$AE$220))*(1+$C$6),2)*(IF($G$6="YES",$E$6,0)+IF($K$6="YES",$I$6,0)),2)</f>
        <v/>
      </c>
    </row>
    <row r="273">
      <c r="B273" s="40" t="n">
        <v>7</v>
      </c>
      <c r="C273" s="41">
        <f>ROUND((IF(7&lt;=5,$AD$213,$AD$213+(7-5)*$AE$213))*(1+$C$6),2)+ROUND(ROUND((IF(7&lt;=5,$AD$213,$AD$213+(7-5)*$AE$213))*(1+$C$6),2)*(IF($G$6="YES",$E$6,0)+IF($K$6="YES",$I$6,0)),2)</f>
        <v/>
      </c>
      <c r="D273" s="41">
        <f>ROUND((IF(7&lt;=5,$AD$214,$AD$214+(7-5)*$AE$214))*(1+$C$6),2)+ROUND(ROUND((IF(7&lt;=5,$AD$214,$AD$214+(7-5)*$AE$214))*(1+$C$6),2)*(IF($G$6="YES",$E$6,0)+IF($K$6="YES",$I$6,0)),2)</f>
        <v/>
      </c>
      <c r="E273" s="41">
        <f>ROUND((IF(7&lt;=15,$AD$215,$AD$215+(7-15)*$AE$215))*(1+$C$6),2)+ROUND(ROUND((IF(7&lt;=15,$AD$215,$AD$215+(7-15)*$AE$215))*(1+$C$6),2)*(IF($G$6="YES",$E$6,0)+IF($K$6="YES",$I$6,0)),2)</f>
        <v/>
      </c>
      <c r="F273" s="41">
        <f>ROUND((IF(7&lt;=15,$AD$216,$AD$216+(7-15)*$AE$216))*(1+$C$6),2)+ROUND(ROUND((IF(7&lt;=15,$AD$216,$AD$216+(7-15)*$AE$216))*(1+$C$6),2)*(IF($G$6="YES",$E$6,0)+IF($K$6="YES",$I$6,0)),2)</f>
        <v/>
      </c>
      <c r="G273" s="41">
        <f>ROUND((IF(7&lt;=20,$AD$217,IF(7&lt;=35,$AD$217+(7-20)*$AE$217,$AG$217+(7-35)*$AF$217)))*(1+$C$6),2)+ROUND(ROUND((IF(7&lt;=20,$AD$217,IF(7&lt;=35,$AD$217+(7-20)*$AE$217,$AG$217+(7-35)*$AF$217)))*(1+$C$6),2)*(IF($G$6="YES",$E$6,0)+IF($K$6="YES",$I$6,0)),2)</f>
        <v/>
      </c>
      <c r="H273" s="41">
        <f>ROUND((IF(7&lt;=20,$AD$218,IF(7&lt;=35,$AD$218+(7-20)*$AE$218,$AG$218+(7-35)*$AF$218)))*(1+$C$6),2)+ROUND(ROUND((IF(7&lt;=20,$AD$218,IF(7&lt;=35,$AD$218+(7-20)*$AE$218,$AG$218+(7-35)*$AF$218)))*(1+$C$6),2)*(IF($G$6="YES",$E$6,0)+IF($K$6="YES",$I$6,0)),2)</f>
        <v/>
      </c>
      <c r="I273" s="41">
        <f>ROUND((IF(7&lt;=2,$AD$219,$AD$219+(7-2)*$AE$219))*(1+$C$6),2)+ROUND(ROUND((IF(7&lt;=2,$AD$219,$AD$219+(7-2)*$AE$219))*(1+$C$6),2)*(IF($G$6="YES",$E$6,0)+IF($K$6="YES",$I$6,0)),2)+(7*$E$8*IF($C$8="YES",1,0))</f>
        <v/>
      </c>
      <c r="J273" s="42">
        <f>ROUND((IF(7&lt;=2,$AD$220,$AD$220+(7-2)*$AE$220))*(1+$C$6),2)+ROUND(ROUND((IF(7&lt;=2,$AD$220,$AD$220+(7-2)*$AE$220))*(1+$C$6),2)*(IF($G$6="YES",$E$6,0)+IF($K$6="YES",$I$6,0)),2)</f>
        <v/>
      </c>
    </row>
    <row r="274">
      <c r="B274" s="40" t="n">
        <v>8</v>
      </c>
      <c r="C274" s="41">
        <f>ROUND((IF(8&lt;=5,$AD$213,$AD$213+(8-5)*$AE$213))*(1+$C$6),2)+ROUND(ROUND((IF(8&lt;=5,$AD$213,$AD$213+(8-5)*$AE$213))*(1+$C$6),2)*(IF($G$6="YES",$E$6,0)+IF($K$6="YES",$I$6,0)),2)</f>
        <v/>
      </c>
      <c r="D274" s="41">
        <f>ROUND((IF(8&lt;=5,$AD$214,$AD$214+(8-5)*$AE$214))*(1+$C$6),2)+ROUND(ROUND((IF(8&lt;=5,$AD$214,$AD$214+(8-5)*$AE$214))*(1+$C$6),2)*(IF($G$6="YES",$E$6,0)+IF($K$6="YES",$I$6,0)),2)</f>
        <v/>
      </c>
      <c r="E274" s="41">
        <f>ROUND((IF(8&lt;=15,$AD$215,$AD$215+(8-15)*$AE$215))*(1+$C$6),2)+ROUND(ROUND((IF(8&lt;=15,$AD$215,$AD$215+(8-15)*$AE$215))*(1+$C$6),2)*(IF($G$6="YES",$E$6,0)+IF($K$6="YES",$I$6,0)),2)</f>
        <v/>
      </c>
      <c r="F274" s="41">
        <f>ROUND((IF(8&lt;=15,$AD$216,$AD$216+(8-15)*$AE$216))*(1+$C$6),2)+ROUND(ROUND((IF(8&lt;=15,$AD$216,$AD$216+(8-15)*$AE$216))*(1+$C$6),2)*(IF($G$6="YES",$E$6,0)+IF($K$6="YES",$I$6,0)),2)</f>
        <v/>
      </c>
      <c r="G274" s="41">
        <f>ROUND((IF(8&lt;=20,$AD$217,IF(8&lt;=35,$AD$217+(8-20)*$AE$217,$AG$217+(8-35)*$AF$217)))*(1+$C$6),2)+ROUND(ROUND((IF(8&lt;=20,$AD$217,IF(8&lt;=35,$AD$217+(8-20)*$AE$217,$AG$217+(8-35)*$AF$217)))*(1+$C$6),2)*(IF($G$6="YES",$E$6,0)+IF($K$6="YES",$I$6,0)),2)</f>
        <v/>
      </c>
      <c r="H274" s="41">
        <f>ROUND((IF(8&lt;=20,$AD$218,IF(8&lt;=35,$AD$218+(8-20)*$AE$218,$AG$218+(8-35)*$AF$218)))*(1+$C$6),2)+ROUND(ROUND((IF(8&lt;=20,$AD$218,IF(8&lt;=35,$AD$218+(8-20)*$AE$218,$AG$218+(8-35)*$AF$218)))*(1+$C$6),2)*(IF($G$6="YES",$E$6,0)+IF($K$6="YES",$I$6,0)),2)</f>
        <v/>
      </c>
      <c r="I274" s="41">
        <f>ROUND((IF(8&lt;=2,$AD$219,$AD$219+(8-2)*$AE$219))*(1+$C$6),2)+ROUND(ROUND((IF(8&lt;=2,$AD$219,$AD$219+(8-2)*$AE$219))*(1+$C$6),2)*(IF($G$6="YES",$E$6,0)+IF($K$6="YES",$I$6,0)),2)+(8*$E$8*IF($C$8="YES",1,0))</f>
        <v/>
      </c>
      <c r="J274" s="42">
        <f>ROUND((IF(8&lt;=2,$AD$220,$AD$220+(8-2)*$AE$220))*(1+$C$6),2)+ROUND(ROUND((IF(8&lt;=2,$AD$220,$AD$220+(8-2)*$AE$220))*(1+$C$6),2)*(IF($G$6="YES",$E$6,0)+IF($K$6="YES",$I$6,0)),2)</f>
        <v/>
      </c>
    </row>
    <row r="275">
      <c r="B275" s="40" t="n">
        <v>9</v>
      </c>
      <c r="C275" s="41">
        <f>ROUND((IF(9&lt;=5,$AD$213,$AD$213+(9-5)*$AE$213))*(1+$C$6),2)+ROUND(ROUND((IF(9&lt;=5,$AD$213,$AD$213+(9-5)*$AE$213))*(1+$C$6),2)*(IF($G$6="YES",$E$6,0)+IF($K$6="YES",$I$6,0)),2)</f>
        <v/>
      </c>
      <c r="D275" s="41">
        <f>ROUND((IF(9&lt;=5,$AD$214,$AD$214+(9-5)*$AE$214))*(1+$C$6),2)+ROUND(ROUND((IF(9&lt;=5,$AD$214,$AD$214+(9-5)*$AE$214))*(1+$C$6),2)*(IF($G$6="YES",$E$6,0)+IF($K$6="YES",$I$6,0)),2)</f>
        <v/>
      </c>
      <c r="E275" s="41">
        <f>ROUND((IF(9&lt;=15,$AD$215,$AD$215+(9-15)*$AE$215))*(1+$C$6),2)+ROUND(ROUND((IF(9&lt;=15,$AD$215,$AD$215+(9-15)*$AE$215))*(1+$C$6),2)*(IF($G$6="YES",$E$6,0)+IF($K$6="YES",$I$6,0)),2)</f>
        <v/>
      </c>
      <c r="F275" s="41">
        <f>ROUND((IF(9&lt;=15,$AD$216,$AD$216+(9-15)*$AE$216))*(1+$C$6),2)+ROUND(ROUND((IF(9&lt;=15,$AD$216,$AD$216+(9-15)*$AE$216))*(1+$C$6),2)*(IF($G$6="YES",$E$6,0)+IF($K$6="YES",$I$6,0)),2)</f>
        <v/>
      </c>
      <c r="G275" s="41">
        <f>ROUND((IF(9&lt;=20,$AD$217,IF(9&lt;=35,$AD$217+(9-20)*$AE$217,$AG$217+(9-35)*$AF$217)))*(1+$C$6),2)+ROUND(ROUND((IF(9&lt;=20,$AD$217,IF(9&lt;=35,$AD$217+(9-20)*$AE$217,$AG$217+(9-35)*$AF$217)))*(1+$C$6),2)*(IF($G$6="YES",$E$6,0)+IF($K$6="YES",$I$6,0)),2)</f>
        <v/>
      </c>
      <c r="H275" s="41">
        <f>ROUND((IF(9&lt;=20,$AD$218,IF(9&lt;=35,$AD$218+(9-20)*$AE$218,$AG$218+(9-35)*$AF$218)))*(1+$C$6),2)+ROUND(ROUND((IF(9&lt;=20,$AD$218,IF(9&lt;=35,$AD$218+(9-20)*$AE$218,$AG$218+(9-35)*$AF$218)))*(1+$C$6),2)*(IF($G$6="YES",$E$6,0)+IF($K$6="YES",$I$6,0)),2)</f>
        <v/>
      </c>
      <c r="I275" s="41">
        <f>ROUND((IF(9&lt;=2,$AD$219,$AD$219+(9-2)*$AE$219))*(1+$C$6),2)+ROUND(ROUND((IF(9&lt;=2,$AD$219,$AD$219+(9-2)*$AE$219))*(1+$C$6),2)*(IF($G$6="YES",$E$6,0)+IF($K$6="YES",$I$6,0)),2)+(9*$E$8*IF($C$8="YES",1,0))</f>
        <v/>
      </c>
      <c r="J275" s="42">
        <f>ROUND((IF(9&lt;=2,$AD$220,$AD$220+(9-2)*$AE$220))*(1+$C$6),2)+ROUND(ROUND((IF(9&lt;=2,$AD$220,$AD$220+(9-2)*$AE$220))*(1+$C$6),2)*(IF($G$6="YES",$E$6,0)+IF($K$6="YES",$I$6,0)),2)</f>
        <v/>
      </c>
    </row>
    <row r="276">
      <c r="B276" s="40" t="n">
        <v>10</v>
      </c>
      <c r="C276" s="41">
        <f>ROUND((IF(10&lt;=5,$AD$213,$AD$213+(10-5)*$AE$213))*(1+$C$6),2)+ROUND(ROUND((IF(10&lt;=5,$AD$213,$AD$213+(10-5)*$AE$213))*(1+$C$6),2)*(IF($G$6="YES",$E$6,0)+IF($K$6="YES",$I$6,0)),2)</f>
        <v/>
      </c>
      <c r="D276" s="41">
        <f>ROUND((IF(10&lt;=5,$AD$214,$AD$214+(10-5)*$AE$214))*(1+$C$6),2)+ROUND(ROUND((IF(10&lt;=5,$AD$214,$AD$214+(10-5)*$AE$214))*(1+$C$6),2)*(IF($G$6="YES",$E$6,0)+IF($K$6="YES",$I$6,0)),2)</f>
        <v/>
      </c>
      <c r="E276" s="41">
        <f>ROUND((IF(10&lt;=15,$AD$215,$AD$215+(10-15)*$AE$215))*(1+$C$6),2)+ROUND(ROUND((IF(10&lt;=15,$AD$215,$AD$215+(10-15)*$AE$215))*(1+$C$6),2)*(IF($G$6="YES",$E$6,0)+IF($K$6="YES",$I$6,0)),2)</f>
        <v/>
      </c>
      <c r="F276" s="41">
        <f>ROUND((IF(10&lt;=15,$AD$216,$AD$216+(10-15)*$AE$216))*(1+$C$6),2)+ROUND(ROUND((IF(10&lt;=15,$AD$216,$AD$216+(10-15)*$AE$216))*(1+$C$6),2)*(IF($G$6="YES",$E$6,0)+IF($K$6="YES",$I$6,0)),2)</f>
        <v/>
      </c>
      <c r="G276" s="41">
        <f>ROUND((IF(10&lt;=20,$AD$217,IF(10&lt;=35,$AD$217+(10-20)*$AE$217,$AG$217+(10-35)*$AF$217)))*(1+$C$6),2)+ROUND(ROUND((IF(10&lt;=20,$AD$217,IF(10&lt;=35,$AD$217+(10-20)*$AE$217,$AG$217+(10-35)*$AF$217)))*(1+$C$6),2)*(IF($G$6="YES",$E$6,0)+IF($K$6="YES",$I$6,0)),2)</f>
        <v/>
      </c>
      <c r="H276" s="41">
        <f>ROUND((IF(10&lt;=20,$AD$218,IF(10&lt;=35,$AD$218+(10-20)*$AE$218,$AG$218+(10-35)*$AF$218)))*(1+$C$6),2)+ROUND(ROUND((IF(10&lt;=20,$AD$218,IF(10&lt;=35,$AD$218+(10-20)*$AE$218,$AG$218+(10-35)*$AF$218)))*(1+$C$6),2)*(IF($G$6="YES",$E$6,0)+IF($K$6="YES",$I$6,0)),2)</f>
        <v/>
      </c>
      <c r="I276" s="41">
        <f>ROUND((IF(10&lt;=2,$AD$219,$AD$219+(10-2)*$AE$219))*(1+$C$6),2)+ROUND(ROUND((IF(10&lt;=2,$AD$219,$AD$219+(10-2)*$AE$219))*(1+$C$6),2)*(IF($G$6="YES",$E$6,0)+IF($K$6="YES",$I$6,0)),2)+(10*$E$8*IF($C$8="YES",1,0))</f>
        <v/>
      </c>
      <c r="J276" s="42">
        <f>ROUND((IF(10&lt;=2,$AD$220,$AD$220+(10-2)*$AE$220))*(1+$C$6),2)+ROUND(ROUND((IF(10&lt;=2,$AD$220,$AD$220+(10-2)*$AE$220))*(1+$C$6),2)*(IF($G$6="YES",$E$6,0)+IF($K$6="YES",$I$6,0)),2)</f>
        <v/>
      </c>
    </row>
    <row r="277">
      <c r="B277" s="37" t="n">
        <v>11</v>
      </c>
      <c r="C277" s="38">
        <f>ROUND((IF(11&lt;=5,$AD$213,$AD$213+(11-5)*$AE$213))*(1+$C$6),2)+ROUND(ROUND((IF(11&lt;=5,$AD$213,$AD$213+(11-5)*$AE$213))*(1+$C$6),2)*(IF($G$6="YES",$E$6,0)+IF($K$6="YES",$I$6,0)),2)</f>
        <v/>
      </c>
      <c r="D277" s="38">
        <f>ROUND((IF(11&lt;=5,$AD$214,$AD$214+(11-5)*$AE$214))*(1+$C$6),2)+ROUND(ROUND((IF(11&lt;=5,$AD$214,$AD$214+(11-5)*$AE$214))*(1+$C$6),2)*(IF($G$6="YES",$E$6,0)+IF($K$6="YES",$I$6,0)),2)</f>
        <v/>
      </c>
      <c r="E277" s="38">
        <f>ROUND((IF(11&lt;=15,$AD$215,$AD$215+(11-15)*$AE$215))*(1+$C$6),2)+ROUND(ROUND((IF(11&lt;=15,$AD$215,$AD$215+(11-15)*$AE$215))*(1+$C$6),2)*(IF($G$6="YES",$E$6,0)+IF($K$6="YES",$I$6,0)),2)</f>
        <v/>
      </c>
      <c r="F277" s="38">
        <f>ROUND((IF(11&lt;=15,$AD$216,$AD$216+(11-15)*$AE$216))*(1+$C$6),2)+ROUND(ROUND((IF(11&lt;=15,$AD$216,$AD$216+(11-15)*$AE$216))*(1+$C$6),2)*(IF($G$6="YES",$E$6,0)+IF($K$6="YES",$I$6,0)),2)</f>
        <v/>
      </c>
      <c r="G277" s="38">
        <f>ROUND((IF(11&lt;=20,$AD$217,IF(11&lt;=35,$AD$217+(11-20)*$AE$217,$AG$217+(11-35)*$AF$217)))*(1+$C$6),2)+ROUND(ROUND((IF(11&lt;=20,$AD$217,IF(11&lt;=35,$AD$217+(11-20)*$AE$217,$AG$217+(11-35)*$AF$217)))*(1+$C$6),2)*(IF($G$6="YES",$E$6,0)+IF($K$6="YES",$I$6,0)),2)</f>
        <v/>
      </c>
      <c r="H277" s="38">
        <f>ROUND((IF(11&lt;=20,$AD$218,IF(11&lt;=35,$AD$218+(11-20)*$AE$218,$AG$218+(11-35)*$AF$218)))*(1+$C$6),2)+ROUND(ROUND((IF(11&lt;=20,$AD$218,IF(11&lt;=35,$AD$218+(11-20)*$AE$218,$AG$218+(11-35)*$AF$218)))*(1+$C$6),2)*(IF($G$6="YES",$E$6,0)+IF($K$6="YES",$I$6,0)),2)</f>
        <v/>
      </c>
      <c r="I277" s="38">
        <f>ROUND((IF(11&lt;=2,$AD$219,$AD$219+(11-2)*$AE$219))*(1+$C$6),2)+ROUND(ROUND((IF(11&lt;=2,$AD$219,$AD$219+(11-2)*$AE$219))*(1+$C$6),2)*(IF($G$6="YES",$E$6,0)+IF($K$6="YES",$I$6,0)),2)+(11*$E$8*IF($C$8="YES",1,0))</f>
        <v/>
      </c>
      <c r="J277" s="39">
        <f>ROUND((IF(11&lt;=2,$AD$220,$AD$220+(11-2)*$AE$220))*(1+$C$6),2)+ROUND(ROUND((IF(11&lt;=2,$AD$220,$AD$220+(11-2)*$AE$220))*(1+$C$6),2)*(IF($G$6="YES",$E$6,0)+IF($K$6="YES",$I$6,0)),2)</f>
        <v/>
      </c>
    </row>
    <row r="278">
      <c r="B278" s="37" t="n">
        <v>12</v>
      </c>
      <c r="C278" s="38">
        <f>ROUND((IF(12&lt;=5,$AD$213,$AD$213+(12-5)*$AE$213))*(1+$C$6),2)+ROUND(ROUND((IF(12&lt;=5,$AD$213,$AD$213+(12-5)*$AE$213))*(1+$C$6),2)*(IF($G$6="YES",$E$6,0)+IF($K$6="YES",$I$6,0)),2)</f>
        <v/>
      </c>
      <c r="D278" s="38">
        <f>ROUND((IF(12&lt;=5,$AD$214,$AD$214+(12-5)*$AE$214))*(1+$C$6),2)+ROUND(ROUND((IF(12&lt;=5,$AD$214,$AD$214+(12-5)*$AE$214))*(1+$C$6),2)*(IF($G$6="YES",$E$6,0)+IF($K$6="YES",$I$6,0)),2)</f>
        <v/>
      </c>
      <c r="E278" s="38">
        <f>ROUND((IF(12&lt;=15,$AD$215,$AD$215+(12-15)*$AE$215))*(1+$C$6),2)+ROUND(ROUND((IF(12&lt;=15,$AD$215,$AD$215+(12-15)*$AE$215))*(1+$C$6),2)*(IF($G$6="YES",$E$6,0)+IF($K$6="YES",$I$6,0)),2)</f>
        <v/>
      </c>
      <c r="F278" s="38">
        <f>ROUND((IF(12&lt;=15,$AD$216,$AD$216+(12-15)*$AE$216))*(1+$C$6),2)+ROUND(ROUND((IF(12&lt;=15,$AD$216,$AD$216+(12-15)*$AE$216))*(1+$C$6),2)*(IF($G$6="YES",$E$6,0)+IF($K$6="YES",$I$6,0)),2)</f>
        <v/>
      </c>
      <c r="G278" s="38">
        <f>ROUND((IF(12&lt;=20,$AD$217,IF(12&lt;=35,$AD$217+(12-20)*$AE$217,$AG$217+(12-35)*$AF$217)))*(1+$C$6),2)+ROUND(ROUND((IF(12&lt;=20,$AD$217,IF(12&lt;=35,$AD$217+(12-20)*$AE$217,$AG$217+(12-35)*$AF$217)))*(1+$C$6),2)*(IF($G$6="YES",$E$6,0)+IF($K$6="YES",$I$6,0)),2)</f>
        <v/>
      </c>
      <c r="H278" s="38">
        <f>ROUND((IF(12&lt;=20,$AD$218,IF(12&lt;=35,$AD$218+(12-20)*$AE$218,$AG$218+(12-35)*$AF$218)))*(1+$C$6),2)+ROUND(ROUND((IF(12&lt;=20,$AD$218,IF(12&lt;=35,$AD$218+(12-20)*$AE$218,$AG$218+(12-35)*$AF$218)))*(1+$C$6),2)*(IF($G$6="YES",$E$6,0)+IF($K$6="YES",$I$6,0)),2)</f>
        <v/>
      </c>
      <c r="I278" s="38">
        <f>ROUND((IF(12&lt;=2,$AD$219,$AD$219+(12-2)*$AE$219))*(1+$C$6),2)+ROUND(ROUND((IF(12&lt;=2,$AD$219,$AD$219+(12-2)*$AE$219))*(1+$C$6),2)*(IF($G$6="YES",$E$6,0)+IF($K$6="YES",$I$6,0)),2)+(12*$E$8*IF($C$8="YES",1,0))</f>
        <v/>
      </c>
      <c r="J278" s="39">
        <f>ROUND((IF(12&lt;=2,$AD$220,$AD$220+(12-2)*$AE$220))*(1+$C$6),2)+ROUND(ROUND((IF(12&lt;=2,$AD$220,$AD$220+(12-2)*$AE$220))*(1+$C$6),2)*(IF($G$6="YES",$E$6,0)+IF($K$6="YES",$I$6,0)),2)</f>
        <v/>
      </c>
    </row>
    <row r="279">
      <c r="B279" s="37" t="n">
        <v>13</v>
      </c>
      <c r="C279" s="38">
        <f>ROUND((IF(13&lt;=5,$AD$213,$AD$213+(13-5)*$AE$213))*(1+$C$6),2)+ROUND(ROUND((IF(13&lt;=5,$AD$213,$AD$213+(13-5)*$AE$213))*(1+$C$6),2)*(IF($G$6="YES",$E$6,0)+IF($K$6="YES",$I$6,0)),2)</f>
        <v/>
      </c>
      <c r="D279" s="38">
        <f>ROUND((IF(13&lt;=5,$AD$214,$AD$214+(13-5)*$AE$214))*(1+$C$6),2)+ROUND(ROUND((IF(13&lt;=5,$AD$214,$AD$214+(13-5)*$AE$214))*(1+$C$6),2)*(IF($G$6="YES",$E$6,0)+IF($K$6="YES",$I$6,0)),2)</f>
        <v/>
      </c>
      <c r="E279" s="38">
        <f>ROUND((IF(13&lt;=15,$AD$215,$AD$215+(13-15)*$AE$215))*(1+$C$6),2)+ROUND(ROUND((IF(13&lt;=15,$AD$215,$AD$215+(13-15)*$AE$215))*(1+$C$6),2)*(IF($G$6="YES",$E$6,0)+IF($K$6="YES",$I$6,0)),2)</f>
        <v/>
      </c>
      <c r="F279" s="38">
        <f>ROUND((IF(13&lt;=15,$AD$216,$AD$216+(13-15)*$AE$216))*(1+$C$6),2)+ROUND(ROUND((IF(13&lt;=15,$AD$216,$AD$216+(13-15)*$AE$216))*(1+$C$6),2)*(IF($G$6="YES",$E$6,0)+IF($K$6="YES",$I$6,0)),2)</f>
        <v/>
      </c>
      <c r="G279" s="38">
        <f>ROUND((IF(13&lt;=20,$AD$217,IF(13&lt;=35,$AD$217+(13-20)*$AE$217,$AG$217+(13-35)*$AF$217)))*(1+$C$6),2)+ROUND(ROUND((IF(13&lt;=20,$AD$217,IF(13&lt;=35,$AD$217+(13-20)*$AE$217,$AG$217+(13-35)*$AF$217)))*(1+$C$6),2)*(IF($G$6="YES",$E$6,0)+IF($K$6="YES",$I$6,0)),2)</f>
        <v/>
      </c>
      <c r="H279" s="38">
        <f>ROUND((IF(13&lt;=20,$AD$218,IF(13&lt;=35,$AD$218+(13-20)*$AE$218,$AG$218+(13-35)*$AF$218)))*(1+$C$6),2)+ROUND(ROUND((IF(13&lt;=20,$AD$218,IF(13&lt;=35,$AD$218+(13-20)*$AE$218,$AG$218+(13-35)*$AF$218)))*(1+$C$6),2)*(IF($G$6="YES",$E$6,0)+IF($K$6="YES",$I$6,0)),2)</f>
        <v/>
      </c>
      <c r="I279" s="38">
        <f>ROUND((IF(13&lt;=2,$AD$219,$AD$219+(13-2)*$AE$219))*(1+$C$6),2)+ROUND(ROUND((IF(13&lt;=2,$AD$219,$AD$219+(13-2)*$AE$219))*(1+$C$6),2)*(IF($G$6="YES",$E$6,0)+IF($K$6="YES",$I$6,0)),2)+(13*$E$8*IF($C$8="YES",1,0))</f>
        <v/>
      </c>
      <c r="J279" s="39">
        <f>ROUND((IF(13&lt;=2,$AD$220,$AD$220+(13-2)*$AE$220))*(1+$C$6),2)+ROUND(ROUND((IF(13&lt;=2,$AD$220,$AD$220+(13-2)*$AE$220))*(1+$C$6),2)*(IF($G$6="YES",$E$6,0)+IF($K$6="YES",$I$6,0)),2)</f>
        <v/>
      </c>
    </row>
    <row r="280">
      <c r="B280" s="37" t="n">
        <v>14</v>
      </c>
      <c r="C280" s="38">
        <f>ROUND((IF(14&lt;=5,$AD$213,$AD$213+(14-5)*$AE$213))*(1+$C$6),2)+ROUND(ROUND((IF(14&lt;=5,$AD$213,$AD$213+(14-5)*$AE$213))*(1+$C$6),2)*(IF($G$6="YES",$E$6,0)+IF($K$6="YES",$I$6,0)),2)</f>
        <v/>
      </c>
      <c r="D280" s="38">
        <f>ROUND((IF(14&lt;=5,$AD$214,$AD$214+(14-5)*$AE$214))*(1+$C$6),2)+ROUND(ROUND((IF(14&lt;=5,$AD$214,$AD$214+(14-5)*$AE$214))*(1+$C$6),2)*(IF($G$6="YES",$E$6,0)+IF($K$6="YES",$I$6,0)),2)</f>
        <v/>
      </c>
      <c r="E280" s="38">
        <f>ROUND((IF(14&lt;=15,$AD$215,$AD$215+(14-15)*$AE$215))*(1+$C$6),2)+ROUND(ROUND((IF(14&lt;=15,$AD$215,$AD$215+(14-15)*$AE$215))*(1+$C$6),2)*(IF($G$6="YES",$E$6,0)+IF($K$6="YES",$I$6,0)),2)</f>
        <v/>
      </c>
      <c r="F280" s="38">
        <f>ROUND((IF(14&lt;=15,$AD$216,$AD$216+(14-15)*$AE$216))*(1+$C$6),2)+ROUND(ROUND((IF(14&lt;=15,$AD$216,$AD$216+(14-15)*$AE$216))*(1+$C$6),2)*(IF($G$6="YES",$E$6,0)+IF($K$6="YES",$I$6,0)),2)</f>
        <v/>
      </c>
      <c r="G280" s="38">
        <f>ROUND((IF(14&lt;=20,$AD$217,IF(14&lt;=35,$AD$217+(14-20)*$AE$217,$AG$217+(14-35)*$AF$217)))*(1+$C$6),2)+ROUND(ROUND((IF(14&lt;=20,$AD$217,IF(14&lt;=35,$AD$217+(14-20)*$AE$217,$AG$217+(14-35)*$AF$217)))*(1+$C$6),2)*(IF($G$6="YES",$E$6,0)+IF($K$6="YES",$I$6,0)),2)</f>
        <v/>
      </c>
      <c r="H280" s="38">
        <f>ROUND((IF(14&lt;=20,$AD$218,IF(14&lt;=35,$AD$218+(14-20)*$AE$218,$AG$218+(14-35)*$AF$218)))*(1+$C$6),2)+ROUND(ROUND((IF(14&lt;=20,$AD$218,IF(14&lt;=35,$AD$218+(14-20)*$AE$218,$AG$218+(14-35)*$AF$218)))*(1+$C$6),2)*(IF($G$6="YES",$E$6,0)+IF($K$6="YES",$I$6,0)),2)</f>
        <v/>
      </c>
      <c r="I280" s="38">
        <f>ROUND((IF(14&lt;=2,$AD$219,$AD$219+(14-2)*$AE$219))*(1+$C$6),2)+ROUND(ROUND((IF(14&lt;=2,$AD$219,$AD$219+(14-2)*$AE$219))*(1+$C$6),2)*(IF($G$6="YES",$E$6,0)+IF($K$6="YES",$I$6,0)),2)+(14*$E$8*IF($C$8="YES",1,0))</f>
        <v/>
      </c>
      <c r="J280" s="39">
        <f>ROUND((IF(14&lt;=2,$AD$220,$AD$220+(14-2)*$AE$220))*(1+$C$6),2)+ROUND(ROUND((IF(14&lt;=2,$AD$220,$AD$220+(14-2)*$AE$220))*(1+$C$6),2)*(IF($G$6="YES",$E$6,0)+IF($K$6="YES",$I$6,0)),2)</f>
        <v/>
      </c>
    </row>
    <row r="281">
      <c r="B281" s="37" t="n">
        <v>15</v>
      </c>
      <c r="C281" s="38">
        <f>ROUND((IF(15&lt;=5,$AD$213,$AD$213+(15-5)*$AE$213))*(1+$C$6),2)+ROUND(ROUND((IF(15&lt;=5,$AD$213,$AD$213+(15-5)*$AE$213))*(1+$C$6),2)*(IF($G$6="YES",$E$6,0)+IF($K$6="YES",$I$6,0)),2)</f>
        <v/>
      </c>
      <c r="D281" s="38">
        <f>ROUND((IF(15&lt;=5,$AD$214,$AD$214+(15-5)*$AE$214))*(1+$C$6),2)+ROUND(ROUND((IF(15&lt;=5,$AD$214,$AD$214+(15-5)*$AE$214))*(1+$C$6),2)*(IF($G$6="YES",$E$6,0)+IF($K$6="YES",$I$6,0)),2)</f>
        <v/>
      </c>
      <c r="E281" s="38">
        <f>ROUND((IF(15&lt;=15,$AD$215,$AD$215+(15-15)*$AE$215))*(1+$C$6),2)+ROUND(ROUND((IF(15&lt;=15,$AD$215,$AD$215+(15-15)*$AE$215))*(1+$C$6),2)*(IF($G$6="YES",$E$6,0)+IF($K$6="YES",$I$6,0)),2)</f>
        <v/>
      </c>
      <c r="F281" s="38">
        <f>ROUND((IF(15&lt;=15,$AD$216,$AD$216+(15-15)*$AE$216))*(1+$C$6),2)+ROUND(ROUND((IF(15&lt;=15,$AD$216,$AD$216+(15-15)*$AE$216))*(1+$C$6),2)*(IF($G$6="YES",$E$6,0)+IF($K$6="YES",$I$6,0)),2)</f>
        <v/>
      </c>
      <c r="G281" s="38">
        <f>ROUND((IF(15&lt;=20,$AD$217,IF(15&lt;=35,$AD$217+(15-20)*$AE$217,$AG$217+(15-35)*$AF$217)))*(1+$C$6),2)+ROUND(ROUND((IF(15&lt;=20,$AD$217,IF(15&lt;=35,$AD$217+(15-20)*$AE$217,$AG$217+(15-35)*$AF$217)))*(1+$C$6),2)*(IF($G$6="YES",$E$6,0)+IF($K$6="YES",$I$6,0)),2)</f>
        <v/>
      </c>
      <c r="H281" s="38">
        <f>ROUND((IF(15&lt;=20,$AD$218,IF(15&lt;=35,$AD$218+(15-20)*$AE$218,$AG$218+(15-35)*$AF$218)))*(1+$C$6),2)+ROUND(ROUND((IF(15&lt;=20,$AD$218,IF(15&lt;=35,$AD$218+(15-20)*$AE$218,$AG$218+(15-35)*$AF$218)))*(1+$C$6),2)*(IF($G$6="YES",$E$6,0)+IF($K$6="YES",$I$6,0)),2)</f>
        <v/>
      </c>
      <c r="I281" s="38">
        <f>ROUND((IF(15&lt;=2,$AD$219,$AD$219+(15-2)*$AE$219))*(1+$C$6),2)+ROUND(ROUND((IF(15&lt;=2,$AD$219,$AD$219+(15-2)*$AE$219))*(1+$C$6),2)*(IF($G$6="YES",$E$6,0)+IF($K$6="YES",$I$6,0)),2)+(15*$E$8*IF($C$8="YES",1,0))</f>
        <v/>
      </c>
      <c r="J281" s="39">
        <f>ROUND((IF(15&lt;=2,$AD$220,$AD$220+(15-2)*$AE$220))*(1+$C$6),2)+ROUND(ROUND((IF(15&lt;=2,$AD$220,$AD$220+(15-2)*$AE$220))*(1+$C$6),2)*(IF($G$6="YES",$E$6,0)+IF($K$6="YES",$I$6,0)),2)</f>
        <v/>
      </c>
    </row>
    <row r="282">
      <c r="B282" s="40" t="n">
        <v>16</v>
      </c>
      <c r="C282" s="41">
        <f>ROUND((IF(16&lt;=5,$AD$213,$AD$213+(16-5)*$AE$213))*(1+$C$6),2)+ROUND(ROUND((IF(16&lt;=5,$AD$213,$AD$213+(16-5)*$AE$213))*(1+$C$6),2)*(IF($G$6="YES",$E$6,0)+IF($K$6="YES",$I$6,0)),2)</f>
        <v/>
      </c>
      <c r="D282" s="41">
        <f>ROUND((IF(16&lt;=5,$AD$214,$AD$214+(16-5)*$AE$214))*(1+$C$6),2)+ROUND(ROUND((IF(16&lt;=5,$AD$214,$AD$214+(16-5)*$AE$214))*(1+$C$6),2)*(IF($G$6="YES",$E$6,0)+IF($K$6="YES",$I$6,0)),2)</f>
        <v/>
      </c>
      <c r="E282" s="41">
        <f>ROUND((IF(16&lt;=15,$AD$215,$AD$215+(16-15)*$AE$215))*(1+$C$6),2)+ROUND(ROUND((IF(16&lt;=15,$AD$215,$AD$215+(16-15)*$AE$215))*(1+$C$6),2)*(IF($G$6="YES",$E$6,0)+IF($K$6="YES",$I$6,0)),2)</f>
        <v/>
      </c>
      <c r="F282" s="41">
        <f>ROUND((IF(16&lt;=15,$AD$216,$AD$216+(16-15)*$AE$216))*(1+$C$6),2)+ROUND(ROUND((IF(16&lt;=15,$AD$216,$AD$216+(16-15)*$AE$216))*(1+$C$6),2)*(IF($G$6="YES",$E$6,0)+IF($K$6="YES",$I$6,0)),2)</f>
        <v/>
      </c>
      <c r="G282" s="41">
        <f>ROUND((IF(16&lt;=20,$AD$217,IF(16&lt;=35,$AD$217+(16-20)*$AE$217,$AG$217+(16-35)*$AF$217)))*(1+$C$6),2)+ROUND(ROUND((IF(16&lt;=20,$AD$217,IF(16&lt;=35,$AD$217+(16-20)*$AE$217,$AG$217+(16-35)*$AF$217)))*(1+$C$6),2)*(IF($G$6="YES",$E$6,0)+IF($K$6="YES",$I$6,0)),2)</f>
        <v/>
      </c>
      <c r="H282" s="41">
        <f>ROUND((IF(16&lt;=20,$AD$218,IF(16&lt;=35,$AD$218+(16-20)*$AE$218,$AG$218+(16-35)*$AF$218)))*(1+$C$6),2)+ROUND(ROUND((IF(16&lt;=20,$AD$218,IF(16&lt;=35,$AD$218+(16-20)*$AE$218,$AG$218+(16-35)*$AF$218)))*(1+$C$6),2)*(IF($G$6="YES",$E$6,0)+IF($K$6="YES",$I$6,0)),2)</f>
        <v/>
      </c>
      <c r="I282" s="41">
        <f>ROUND((IF(16&lt;=2,$AD$219,$AD$219+(16-2)*$AE$219))*(1+$C$6),2)+ROUND(ROUND((IF(16&lt;=2,$AD$219,$AD$219+(16-2)*$AE$219))*(1+$C$6),2)*(IF($G$6="YES",$E$6,0)+IF($K$6="YES",$I$6,0)),2)+(16*$E$8*IF($C$8="YES",1,0))</f>
        <v/>
      </c>
      <c r="J282" s="42">
        <f>ROUND((IF(16&lt;=2,$AD$220,$AD$220+(16-2)*$AE$220))*(1+$C$6),2)+ROUND(ROUND((IF(16&lt;=2,$AD$220,$AD$220+(16-2)*$AE$220))*(1+$C$6),2)*(IF($G$6="YES",$E$6,0)+IF($K$6="YES",$I$6,0)),2)</f>
        <v/>
      </c>
    </row>
    <row r="283">
      <c r="B283" s="40" t="n">
        <v>17</v>
      </c>
      <c r="C283" s="41">
        <f>ROUND((IF(17&lt;=5,$AD$213,$AD$213+(17-5)*$AE$213))*(1+$C$6),2)+ROUND(ROUND((IF(17&lt;=5,$AD$213,$AD$213+(17-5)*$AE$213))*(1+$C$6),2)*(IF($G$6="YES",$E$6,0)+IF($K$6="YES",$I$6,0)),2)</f>
        <v/>
      </c>
      <c r="D283" s="41">
        <f>ROUND((IF(17&lt;=5,$AD$214,$AD$214+(17-5)*$AE$214))*(1+$C$6),2)+ROUND(ROUND((IF(17&lt;=5,$AD$214,$AD$214+(17-5)*$AE$214))*(1+$C$6),2)*(IF($G$6="YES",$E$6,0)+IF($K$6="YES",$I$6,0)),2)</f>
        <v/>
      </c>
      <c r="E283" s="41">
        <f>ROUND((IF(17&lt;=15,$AD$215,$AD$215+(17-15)*$AE$215))*(1+$C$6),2)+ROUND(ROUND((IF(17&lt;=15,$AD$215,$AD$215+(17-15)*$AE$215))*(1+$C$6),2)*(IF($G$6="YES",$E$6,0)+IF($K$6="YES",$I$6,0)),2)</f>
        <v/>
      </c>
      <c r="F283" s="41">
        <f>ROUND((IF(17&lt;=15,$AD$216,$AD$216+(17-15)*$AE$216))*(1+$C$6),2)+ROUND(ROUND((IF(17&lt;=15,$AD$216,$AD$216+(17-15)*$AE$216))*(1+$C$6),2)*(IF($G$6="YES",$E$6,0)+IF($K$6="YES",$I$6,0)),2)</f>
        <v/>
      </c>
      <c r="G283" s="41">
        <f>ROUND((IF(17&lt;=20,$AD$217,IF(17&lt;=35,$AD$217+(17-20)*$AE$217,$AG$217+(17-35)*$AF$217)))*(1+$C$6),2)+ROUND(ROUND((IF(17&lt;=20,$AD$217,IF(17&lt;=35,$AD$217+(17-20)*$AE$217,$AG$217+(17-35)*$AF$217)))*(1+$C$6),2)*(IF($G$6="YES",$E$6,0)+IF($K$6="YES",$I$6,0)),2)</f>
        <v/>
      </c>
      <c r="H283" s="41">
        <f>ROUND((IF(17&lt;=20,$AD$218,IF(17&lt;=35,$AD$218+(17-20)*$AE$218,$AG$218+(17-35)*$AF$218)))*(1+$C$6),2)+ROUND(ROUND((IF(17&lt;=20,$AD$218,IF(17&lt;=35,$AD$218+(17-20)*$AE$218,$AG$218+(17-35)*$AF$218)))*(1+$C$6),2)*(IF($G$6="YES",$E$6,0)+IF($K$6="YES",$I$6,0)),2)</f>
        <v/>
      </c>
      <c r="I283" s="41">
        <f>ROUND((IF(17&lt;=2,$AD$219,$AD$219+(17-2)*$AE$219))*(1+$C$6),2)+ROUND(ROUND((IF(17&lt;=2,$AD$219,$AD$219+(17-2)*$AE$219))*(1+$C$6),2)*(IF($G$6="YES",$E$6,0)+IF($K$6="YES",$I$6,0)),2)+(17*$E$8*IF($C$8="YES",1,0))</f>
        <v/>
      </c>
      <c r="J283" s="42">
        <f>ROUND((IF(17&lt;=2,$AD$220,$AD$220+(17-2)*$AE$220))*(1+$C$6),2)+ROUND(ROUND((IF(17&lt;=2,$AD$220,$AD$220+(17-2)*$AE$220))*(1+$C$6),2)*(IF($G$6="YES",$E$6,0)+IF($K$6="YES",$I$6,0)),2)</f>
        <v/>
      </c>
    </row>
    <row r="284">
      <c r="B284" s="40" t="n">
        <v>18</v>
      </c>
      <c r="C284" s="41">
        <f>ROUND((IF(18&lt;=5,$AD$213,$AD$213+(18-5)*$AE$213))*(1+$C$6),2)+ROUND(ROUND((IF(18&lt;=5,$AD$213,$AD$213+(18-5)*$AE$213))*(1+$C$6),2)*(IF($G$6="YES",$E$6,0)+IF($K$6="YES",$I$6,0)),2)</f>
        <v/>
      </c>
      <c r="D284" s="41">
        <f>ROUND((IF(18&lt;=5,$AD$214,$AD$214+(18-5)*$AE$214))*(1+$C$6),2)+ROUND(ROUND((IF(18&lt;=5,$AD$214,$AD$214+(18-5)*$AE$214))*(1+$C$6),2)*(IF($G$6="YES",$E$6,0)+IF($K$6="YES",$I$6,0)),2)</f>
        <v/>
      </c>
      <c r="E284" s="41">
        <f>ROUND((IF(18&lt;=15,$AD$215,$AD$215+(18-15)*$AE$215))*(1+$C$6),2)+ROUND(ROUND((IF(18&lt;=15,$AD$215,$AD$215+(18-15)*$AE$215))*(1+$C$6),2)*(IF($G$6="YES",$E$6,0)+IF($K$6="YES",$I$6,0)),2)</f>
        <v/>
      </c>
      <c r="F284" s="41">
        <f>ROUND((IF(18&lt;=15,$AD$216,$AD$216+(18-15)*$AE$216))*(1+$C$6),2)+ROUND(ROUND((IF(18&lt;=15,$AD$216,$AD$216+(18-15)*$AE$216))*(1+$C$6),2)*(IF($G$6="YES",$E$6,0)+IF($K$6="YES",$I$6,0)),2)</f>
        <v/>
      </c>
      <c r="G284" s="41">
        <f>ROUND((IF(18&lt;=20,$AD$217,IF(18&lt;=35,$AD$217+(18-20)*$AE$217,$AG$217+(18-35)*$AF$217)))*(1+$C$6),2)+ROUND(ROUND((IF(18&lt;=20,$AD$217,IF(18&lt;=35,$AD$217+(18-20)*$AE$217,$AG$217+(18-35)*$AF$217)))*(1+$C$6),2)*(IF($G$6="YES",$E$6,0)+IF($K$6="YES",$I$6,0)),2)</f>
        <v/>
      </c>
      <c r="H284" s="41">
        <f>ROUND((IF(18&lt;=20,$AD$218,IF(18&lt;=35,$AD$218+(18-20)*$AE$218,$AG$218+(18-35)*$AF$218)))*(1+$C$6),2)+ROUND(ROUND((IF(18&lt;=20,$AD$218,IF(18&lt;=35,$AD$218+(18-20)*$AE$218,$AG$218+(18-35)*$AF$218)))*(1+$C$6),2)*(IF($G$6="YES",$E$6,0)+IF($K$6="YES",$I$6,0)),2)</f>
        <v/>
      </c>
      <c r="I284" s="41">
        <f>ROUND((IF(18&lt;=2,$AD$219,$AD$219+(18-2)*$AE$219))*(1+$C$6),2)+ROUND(ROUND((IF(18&lt;=2,$AD$219,$AD$219+(18-2)*$AE$219))*(1+$C$6),2)*(IF($G$6="YES",$E$6,0)+IF($K$6="YES",$I$6,0)),2)+(18*$E$8*IF($C$8="YES",1,0))</f>
        <v/>
      </c>
      <c r="J284" s="42">
        <f>ROUND((IF(18&lt;=2,$AD$220,$AD$220+(18-2)*$AE$220))*(1+$C$6),2)+ROUND(ROUND((IF(18&lt;=2,$AD$220,$AD$220+(18-2)*$AE$220))*(1+$C$6),2)*(IF($G$6="YES",$E$6,0)+IF($K$6="YES",$I$6,0)),2)</f>
        <v/>
      </c>
    </row>
    <row r="285">
      <c r="B285" s="40" t="n">
        <v>19</v>
      </c>
      <c r="C285" s="41">
        <f>ROUND((IF(19&lt;=5,$AD$213,$AD$213+(19-5)*$AE$213))*(1+$C$6),2)+ROUND(ROUND((IF(19&lt;=5,$AD$213,$AD$213+(19-5)*$AE$213))*(1+$C$6),2)*(IF($G$6="YES",$E$6,0)+IF($K$6="YES",$I$6,0)),2)</f>
        <v/>
      </c>
      <c r="D285" s="41">
        <f>ROUND((IF(19&lt;=5,$AD$214,$AD$214+(19-5)*$AE$214))*(1+$C$6),2)+ROUND(ROUND((IF(19&lt;=5,$AD$214,$AD$214+(19-5)*$AE$214))*(1+$C$6),2)*(IF($G$6="YES",$E$6,0)+IF($K$6="YES",$I$6,0)),2)</f>
        <v/>
      </c>
      <c r="E285" s="41">
        <f>ROUND((IF(19&lt;=15,$AD$215,$AD$215+(19-15)*$AE$215))*(1+$C$6),2)+ROUND(ROUND((IF(19&lt;=15,$AD$215,$AD$215+(19-15)*$AE$215))*(1+$C$6),2)*(IF($G$6="YES",$E$6,0)+IF($K$6="YES",$I$6,0)),2)</f>
        <v/>
      </c>
      <c r="F285" s="41">
        <f>ROUND((IF(19&lt;=15,$AD$216,$AD$216+(19-15)*$AE$216))*(1+$C$6),2)+ROUND(ROUND((IF(19&lt;=15,$AD$216,$AD$216+(19-15)*$AE$216))*(1+$C$6),2)*(IF($G$6="YES",$E$6,0)+IF($K$6="YES",$I$6,0)),2)</f>
        <v/>
      </c>
      <c r="G285" s="41">
        <f>ROUND((IF(19&lt;=20,$AD$217,IF(19&lt;=35,$AD$217+(19-20)*$AE$217,$AG$217+(19-35)*$AF$217)))*(1+$C$6),2)+ROUND(ROUND((IF(19&lt;=20,$AD$217,IF(19&lt;=35,$AD$217+(19-20)*$AE$217,$AG$217+(19-35)*$AF$217)))*(1+$C$6),2)*(IF($G$6="YES",$E$6,0)+IF($K$6="YES",$I$6,0)),2)</f>
        <v/>
      </c>
      <c r="H285" s="41">
        <f>ROUND((IF(19&lt;=20,$AD$218,IF(19&lt;=35,$AD$218+(19-20)*$AE$218,$AG$218+(19-35)*$AF$218)))*(1+$C$6),2)+ROUND(ROUND((IF(19&lt;=20,$AD$218,IF(19&lt;=35,$AD$218+(19-20)*$AE$218,$AG$218+(19-35)*$AF$218)))*(1+$C$6),2)*(IF($G$6="YES",$E$6,0)+IF($K$6="YES",$I$6,0)),2)</f>
        <v/>
      </c>
      <c r="I285" s="41">
        <f>ROUND((IF(19&lt;=2,$AD$219,$AD$219+(19-2)*$AE$219))*(1+$C$6),2)+ROUND(ROUND((IF(19&lt;=2,$AD$219,$AD$219+(19-2)*$AE$219))*(1+$C$6),2)*(IF($G$6="YES",$E$6,0)+IF($K$6="YES",$I$6,0)),2)+(19*$E$8*IF($C$8="YES",1,0))</f>
        <v/>
      </c>
      <c r="J285" s="42">
        <f>ROUND((IF(19&lt;=2,$AD$220,$AD$220+(19-2)*$AE$220))*(1+$C$6),2)+ROUND(ROUND((IF(19&lt;=2,$AD$220,$AD$220+(19-2)*$AE$220))*(1+$C$6),2)*(IF($G$6="YES",$E$6,0)+IF($K$6="YES",$I$6,0)),2)</f>
        <v/>
      </c>
    </row>
    <row r="286">
      <c r="B286" s="40" t="n">
        <v>20</v>
      </c>
      <c r="C286" s="41">
        <f>ROUND((IF(20&lt;=5,$AD$213,$AD$213+(20-5)*$AE$213))*(1+$C$6),2)+ROUND(ROUND((IF(20&lt;=5,$AD$213,$AD$213+(20-5)*$AE$213))*(1+$C$6),2)*(IF($G$6="YES",$E$6,0)+IF($K$6="YES",$I$6,0)),2)</f>
        <v/>
      </c>
      <c r="D286" s="41">
        <f>ROUND((IF(20&lt;=5,$AD$214,$AD$214+(20-5)*$AE$214))*(1+$C$6),2)+ROUND(ROUND((IF(20&lt;=5,$AD$214,$AD$214+(20-5)*$AE$214))*(1+$C$6),2)*(IF($G$6="YES",$E$6,0)+IF($K$6="YES",$I$6,0)),2)</f>
        <v/>
      </c>
      <c r="E286" s="41">
        <f>ROUND((IF(20&lt;=15,$AD$215,$AD$215+(20-15)*$AE$215))*(1+$C$6),2)+ROUND(ROUND((IF(20&lt;=15,$AD$215,$AD$215+(20-15)*$AE$215))*(1+$C$6),2)*(IF($G$6="YES",$E$6,0)+IF($K$6="YES",$I$6,0)),2)</f>
        <v/>
      </c>
      <c r="F286" s="41">
        <f>ROUND((IF(20&lt;=15,$AD$216,$AD$216+(20-15)*$AE$216))*(1+$C$6),2)+ROUND(ROUND((IF(20&lt;=15,$AD$216,$AD$216+(20-15)*$AE$216))*(1+$C$6),2)*(IF($G$6="YES",$E$6,0)+IF($K$6="YES",$I$6,0)),2)</f>
        <v/>
      </c>
      <c r="G286" s="41">
        <f>ROUND((IF(20&lt;=20,$AD$217,IF(20&lt;=35,$AD$217+(20-20)*$AE$217,$AG$217+(20-35)*$AF$217)))*(1+$C$6),2)+ROUND(ROUND((IF(20&lt;=20,$AD$217,IF(20&lt;=35,$AD$217+(20-20)*$AE$217,$AG$217+(20-35)*$AF$217)))*(1+$C$6),2)*(IF($G$6="YES",$E$6,0)+IF($K$6="YES",$I$6,0)),2)</f>
        <v/>
      </c>
      <c r="H286" s="41">
        <f>ROUND((IF(20&lt;=20,$AD$218,IF(20&lt;=35,$AD$218+(20-20)*$AE$218,$AG$218+(20-35)*$AF$218)))*(1+$C$6),2)+ROUND(ROUND((IF(20&lt;=20,$AD$218,IF(20&lt;=35,$AD$218+(20-20)*$AE$218,$AG$218+(20-35)*$AF$218)))*(1+$C$6),2)*(IF($G$6="YES",$E$6,0)+IF($K$6="YES",$I$6,0)),2)</f>
        <v/>
      </c>
      <c r="I286" s="41">
        <f>ROUND((IF(20&lt;=2,$AD$219,$AD$219+(20-2)*$AE$219))*(1+$C$6),2)+ROUND(ROUND((IF(20&lt;=2,$AD$219,$AD$219+(20-2)*$AE$219))*(1+$C$6),2)*(IF($G$6="YES",$E$6,0)+IF($K$6="YES",$I$6,0)),2)+(20*$E$8*IF($C$8="YES",1,0))</f>
        <v/>
      </c>
      <c r="J286" s="42">
        <f>ROUND((IF(20&lt;=2,$AD$220,$AD$220+(20-2)*$AE$220))*(1+$C$6),2)+ROUND(ROUND((IF(20&lt;=2,$AD$220,$AD$220+(20-2)*$AE$220))*(1+$C$6),2)*(IF($G$6="YES",$E$6,0)+IF($K$6="YES",$I$6,0)),2)</f>
        <v/>
      </c>
    </row>
    <row r="287">
      <c r="B287" s="37" t="n">
        <v>21</v>
      </c>
      <c r="C287" s="38">
        <f>ROUND((IF(21&lt;=5,$AD$213,$AD$213+(21-5)*$AE$213))*(1+$C$6),2)+ROUND(ROUND((IF(21&lt;=5,$AD$213,$AD$213+(21-5)*$AE$213))*(1+$C$6),2)*(IF($G$6="YES",$E$6,0)+IF($K$6="YES",$I$6,0)),2)</f>
        <v/>
      </c>
      <c r="D287" s="38">
        <f>ROUND((IF(21&lt;=5,$AD$214,$AD$214+(21-5)*$AE$214))*(1+$C$6),2)+ROUND(ROUND((IF(21&lt;=5,$AD$214,$AD$214+(21-5)*$AE$214))*(1+$C$6),2)*(IF($G$6="YES",$E$6,0)+IF($K$6="YES",$I$6,0)),2)</f>
        <v/>
      </c>
      <c r="E287" s="38">
        <f>ROUND((IF(21&lt;=15,$AD$215,$AD$215+(21-15)*$AE$215))*(1+$C$6),2)+ROUND(ROUND((IF(21&lt;=15,$AD$215,$AD$215+(21-15)*$AE$215))*(1+$C$6),2)*(IF($G$6="YES",$E$6,0)+IF($K$6="YES",$I$6,0)),2)</f>
        <v/>
      </c>
      <c r="F287" s="38">
        <f>ROUND((IF(21&lt;=15,$AD$216,$AD$216+(21-15)*$AE$216))*(1+$C$6),2)+ROUND(ROUND((IF(21&lt;=15,$AD$216,$AD$216+(21-15)*$AE$216))*(1+$C$6),2)*(IF($G$6="YES",$E$6,0)+IF($K$6="YES",$I$6,0)),2)</f>
        <v/>
      </c>
      <c r="G287" s="38">
        <f>ROUND((IF(21&lt;=20,$AD$217,IF(21&lt;=35,$AD$217+(21-20)*$AE$217,$AG$217+(21-35)*$AF$217)))*(1+$C$6),2)+ROUND(ROUND((IF(21&lt;=20,$AD$217,IF(21&lt;=35,$AD$217+(21-20)*$AE$217,$AG$217+(21-35)*$AF$217)))*(1+$C$6),2)*(IF($G$6="YES",$E$6,0)+IF($K$6="YES",$I$6,0)),2)</f>
        <v/>
      </c>
      <c r="H287" s="38">
        <f>ROUND((IF(21&lt;=20,$AD$218,IF(21&lt;=35,$AD$218+(21-20)*$AE$218,$AG$218+(21-35)*$AF$218)))*(1+$C$6),2)+ROUND(ROUND((IF(21&lt;=20,$AD$218,IF(21&lt;=35,$AD$218+(21-20)*$AE$218,$AG$218+(21-35)*$AF$218)))*(1+$C$6),2)*(IF($G$6="YES",$E$6,0)+IF($K$6="YES",$I$6,0)),2)</f>
        <v/>
      </c>
      <c r="I287" s="38">
        <f>ROUND((IF(21&lt;=2,$AD$219,$AD$219+(21-2)*$AE$219))*(1+$C$6),2)+ROUND(ROUND((IF(21&lt;=2,$AD$219,$AD$219+(21-2)*$AE$219))*(1+$C$6),2)*(IF($G$6="YES",$E$6,0)+IF($K$6="YES",$I$6,0)),2)+(21*$E$8*IF($C$8="YES",1,0))</f>
        <v/>
      </c>
      <c r="J287" s="39">
        <f>ROUND((IF(21&lt;=2,$AD$220,$AD$220+(21-2)*$AE$220))*(1+$C$6),2)+ROUND(ROUND((IF(21&lt;=2,$AD$220,$AD$220+(21-2)*$AE$220))*(1+$C$6),2)*(IF($G$6="YES",$E$6,0)+IF($K$6="YES",$I$6,0)),2)</f>
        <v/>
      </c>
    </row>
    <row r="288">
      <c r="B288" s="37" t="n">
        <v>22</v>
      </c>
      <c r="C288" s="38">
        <f>ROUND((IF(22&lt;=5,$AD$213,$AD$213+(22-5)*$AE$213))*(1+$C$6),2)+ROUND(ROUND((IF(22&lt;=5,$AD$213,$AD$213+(22-5)*$AE$213))*(1+$C$6),2)*(IF($G$6="YES",$E$6,0)+IF($K$6="YES",$I$6,0)),2)</f>
        <v/>
      </c>
      <c r="D288" s="38">
        <f>ROUND((IF(22&lt;=5,$AD$214,$AD$214+(22-5)*$AE$214))*(1+$C$6),2)+ROUND(ROUND((IF(22&lt;=5,$AD$214,$AD$214+(22-5)*$AE$214))*(1+$C$6),2)*(IF($G$6="YES",$E$6,0)+IF($K$6="YES",$I$6,0)),2)</f>
        <v/>
      </c>
      <c r="E288" s="38">
        <f>ROUND((IF(22&lt;=15,$AD$215,$AD$215+(22-15)*$AE$215))*(1+$C$6),2)+ROUND(ROUND((IF(22&lt;=15,$AD$215,$AD$215+(22-15)*$AE$215))*(1+$C$6),2)*(IF($G$6="YES",$E$6,0)+IF($K$6="YES",$I$6,0)),2)</f>
        <v/>
      </c>
      <c r="F288" s="38">
        <f>ROUND((IF(22&lt;=15,$AD$216,$AD$216+(22-15)*$AE$216))*(1+$C$6),2)+ROUND(ROUND((IF(22&lt;=15,$AD$216,$AD$216+(22-15)*$AE$216))*(1+$C$6),2)*(IF($G$6="YES",$E$6,0)+IF($K$6="YES",$I$6,0)),2)</f>
        <v/>
      </c>
      <c r="G288" s="38">
        <f>ROUND((IF(22&lt;=20,$AD$217,IF(22&lt;=35,$AD$217+(22-20)*$AE$217,$AG$217+(22-35)*$AF$217)))*(1+$C$6),2)+ROUND(ROUND((IF(22&lt;=20,$AD$217,IF(22&lt;=35,$AD$217+(22-20)*$AE$217,$AG$217+(22-35)*$AF$217)))*(1+$C$6),2)*(IF($G$6="YES",$E$6,0)+IF($K$6="YES",$I$6,0)),2)</f>
        <v/>
      </c>
      <c r="H288" s="38">
        <f>ROUND((IF(22&lt;=20,$AD$218,IF(22&lt;=35,$AD$218+(22-20)*$AE$218,$AG$218+(22-35)*$AF$218)))*(1+$C$6),2)+ROUND(ROUND((IF(22&lt;=20,$AD$218,IF(22&lt;=35,$AD$218+(22-20)*$AE$218,$AG$218+(22-35)*$AF$218)))*(1+$C$6),2)*(IF($G$6="YES",$E$6,0)+IF($K$6="YES",$I$6,0)),2)</f>
        <v/>
      </c>
      <c r="I288" s="38">
        <f>ROUND((IF(22&lt;=2,$AD$219,$AD$219+(22-2)*$AE$219))*(1+$C$6),2)+ROUND(ROUND((IF(22&lt;=2,$AD$219,$AD$219+(22-2)*$AE$219))*(1+$C$6),2)*(IF($G$6="YES",$E$6,0)+IF($K$6="YES",$I$6,0)),2)+(22*$E$8*IF($C$8="YES",1,0))</f>
        <v/>
      </c>
      <c r="J288" s="39">
        <f>ROUND((IF(22&lt;=2,$AD$220,$AD$220+(22-2)*$AE$220))*(1+$C$6),2)+ROUND(ROUND((IF(22&lt;=2,$AD$220,$AD$220+(22-2)*$AE$220))*(1+$C$6),2)*(IF($G$6="YES",$E$6,0)+IF($K$6="YES",$I$6,0)),2)</f>
        <v/>
      </c>
    </row>
    <row r="289">
      <c r="B289" s="37" t="n">
        <v>23</v>
      </c>
      <c r="C289" s="38">
        <f>ROUND((IF(23&lt;=5,$AD$213,$AD$213+(23-5)*$AE$213))*(1+$C$6),2)+ROUND(ROUND((IF(23&lt;=5,$AD$213,$AD$213+(23-5)*$AE$213))*(1+$C$6),2)*(IF($G$6="YES",$E$6,0)+IF($K$6="YES",$I$6,0)),2)</f>
        <v/>
      </c>
      <c r="D289" s="38">
        <f>ROUND((IF(23&lt;=5,$AD$214,$AD$214+(23-5)*$AE$214))*(1+$C$6),2)+ROUND(ROUND((IF(23&lt;=5,$AD$214,$AD$214+(23-5)*$AE$214))*(1+$C$6),2)*(IF($G$6="YES",$E$6,0)+IF($K$6="YES",$I$6,0)),2)</f>
        <v/>
      </c>
      <c r="E289" s="38">
        <f>ROUND((IF(23&lt;=15,$AD$215,$AD$215+(23-15)*$AE$215))*(1+$C$6),2)+ROUND(ROUND((IF(23&lt;=15,$AD$215,$AD$215+(23-15)*$AE$215))*(1+$C$6),2)*(IF($G$6="YES",$E$6,0)+IF($K$6="YES",$I$6,0)),2)</f>
        <v/>
      </c>
      <c r="F289" s="38">
        <f>ROUND((IF(23&lt;=15,$AD$216,$AD$216+(23-15)*$AE$216))*(1+$C$6),2)+ROUND(ROUND((IF(23&lt;=15,$AD$216,$AD$216+(23-15)*$AE$216))*(1+$C$6),2)*(IF($G$6="YES",$E$6,0)+IF($K$6="YES",$I$6,0)),2)</f>
        <v/>
      </c>
      <c r="G289" s="38">
        <f>ROUND((IF(23&lt;=20,$AD$217,IF(23&lt;=35,$AD$217+(23-20)*$AE$217,$AG$217+(23-35)*$AF$217)))*(1+$C$6),2)+ROUND(ROUND((IF(23&lt;=20,$AD$217,IF(23&lt;=35,$AD$217+(23-20)*$AE$217,$AG$217+(23-35)*$AF$217)))*(1+$C$6),2)*(IF($G$6="YES",$E$6,0)+IF($K$6="YES",$I$6,0)),2)</f>
        <v/>
      </c>
      <c r="H289" s="38">
        <f>ROUND((IF(23&lt;=20,$AD$218,IF(23&lt;=35,$AD$218+(23-20)*$AE$218,$AG$218+(23-35)*$AF$218)))*(1+$C$6),2)+ROUND(ROUND((IF(23&lt;=20,$AD$218,IF(23&lt;=35,$AD$218+(23-20)*$AE$218,$AG$218+(23-35)*$AF$218)))*(1+$C$6),2)*(IF($G$6="YES",$E$6,0)+IF($K$6="YES",$I$6,0)),2)</f>
        <v/>
      </c>
      <c r="I289" s="38">
        <f>ROUND((IF(23&lt;=2,$AD$219,$AD$219+(23-2)*$AE$219))*(1+$C$6),2)+ROUND(ROUND((IF(23&lt;=2,$AD$219,$AD$219+(23-2)*$AE$219))*(1+$C$6),2)*(IF($G$6="YES",$E$6,0)+IF($K$6="YES",$I$6,0)),2)+(23*$E$8*IF($C$8="YES",1,0))</f>
        <v/>
      </c>
      <c r="J289" s="39">
        <f>ROUND((IF(23&lt;=2,$AD$220,$AD$220+(23-2)*$AE$220))*(1+$C$6),2)+ROUND(ROUND((IF(23&lt;=2,$AD$220,$AD$220+(23-2)*$AE$220))*(1+$C$6),2)*(IF($G$6="YES",$E$6,0)+IF($K$6="YES",$I$6,0)),2)</f>
        <v/>
      </c>
    </row>
    <row r="290">
      <c r="B290" s="37" t="n">
        <v>24</v>
      </c>
      <c r="C290" s="38">
        <f>ROUND((IF(24&lt;=5,$AD$213,$AD$213+(24-5)*$AE$213))*(1+$C$6),2)+ROUND(ROUND((IF(24&lt;=5,$AD$213,$AD$213+(24-5)*$AE$213))*(1+$C$6),2)*(IF($G$6="YES",$E$6,0)+IF($K$6="YES",$I$6,0)),2)</f>
        <v/>
      </c>
      <c r="D290" s="38">
        <f>ROUND((IF(24&lt;=5,$AD$214,$AD$214+(24-5)*$AE$214))*(1+$C$6),2)+ROUND(ROUND((IF(24&lt;=5,$AD$214,$AD$214+(24-5)*$AE$214))*(1+$C$6),2)*(IF($G$6="YES",$E$6,0)+IF($K$6="YES",$I$6,0)),2)</f>
        <v/>
      </c>
      <c r="E290" s="38">
        <f>ROUND((IF(24&lt;=15,$AD$215,$AD$215+(24-15)*$AE$215))*(1+$C$6),2)+ROUND(ROUND((IF(24&lt;=15,$AD$215,$AD$215+(24-15)*$AE$215))*(1+$C$6),2)*(IF($G$6="YES",$E$6,0)+IF($K$6="YES",$I$6,0)),2)</f>
        <v/>
      </c>
      <c r="F290" s="38">
        <f>ROUND((IF(24&lt;=15,$AD$216,$AD$216+(24-15)*$AE$216))*(1+$C$6),2)+ROUND(ROUND((IF(24&lt;=15,$AD$216,$AD$216+(24-15)*$AE$216))*(1+$C$6),2)*(IF($G$6="YES",$E$6,0)+IF($K$6="YES",$I$6,0)),2)</f>
        <v/>
      </c>
      <c r="G290" s="38">
        <f>ROUND((IF(24&lt;=20,$AD$217,IF(24&lt;=35,$AD$217+(24-20)*$AE$217,$AG$217+(24-35)*$AF$217)))*(1+$C$6),2)+ROUND(ROUND((IF(24&lt;=20,$AD$217,IF(24&lt;=35,$AD$217+(24-20)*$AE$217,$AG$217+(24-35)*$AF$217)))*(1+$C$6),2)*(IF($G$6="YES",$E$6,0)+IF($K$6="YES",$I$6,0)),2)</f>
        <v/>
      </c>
      <c r="H290" s="38">
        <f>ROUND((IF(24&lt;=20,$AD$218,IF(24&lt;=35,$AD$218+(24-20)*$AE$218,$AG$218+(24-35)*$AF$218)))*(1+$C$6),2)+ROUND(ROUND((IF(24&lt;=20,$AD$218,IF(24&lt;=35,$AD$218+(24-20)*$AE$218,$AG$218+(24-35)*$AF$218)))*(1+$C$6),2)*(IF($G$6="YES",$E$6,0)+IF($K$6="YES",$I$6,0)),2)</f>
        <v/>
      </c>
      <c r="I290" s="38">
        <f>ROUND((IF(24&lt;=2,$AD$219,$AD$219+(24-2)*$AE$219))*(1+$C$6),2)+ROUND(ROUND((IF(24&lt;=2,$AD$219,$AD$219+(24-2)*$AE$219))*(1+$C$6),2)*(IF($G$6="YES",$E$6,0)+IF($K$6="YES",$I$6,0)),2)+(24*$E$8*IF($C$8="YES",1,0))</f>
        <v/>
      </c>
      <c r="J290" s="39">
        <f>ROUND((IF(24&lt;=2,$AD$220,$AD$220+(24-2)*$AE$220))*(1+$C$6),2)+ROUND(ROUND((IF(24&lt;=2,$AD$220,$AD$220+(24-2)*$AE$220))*(1+$C$6),2)*(IF($G$6="YES",$E$6,0)+IF($K$6="YES",$I$6,0)),2)</f>
        <v/>
      </c>
    </row>
    <row r="291">
      <c r="B291" s="37" t="n">
        <v>25</v>
      </c>
      <c r="C291" s="38">
        <f>ROUND((IF(25&lt;=5,$AD$213,$AD$213+(25-5)*$AE$213))*(1+$C$6),2)+ROUND(ROUND((IF(25&lt;=5,$AD$213,$AD$213+(25-5)*$AE$213))*(1+$C$6),2)*(IF($G$6="YES",$E$6,0)+IF($K$6="YES",$I$6,0)),2)</f>
        <v/>
      </c>
      <c r="D291" s="38">
        <f>ROUND((IF(25&lt;=5,$AD$214,$AD$214+(25-5)*$AE$214))*(1+$C$6),2)+ROUND(ROUND((IF(25&lt;=5,$AD$214,$AD$214+(25-5)*$AE$214))*(1+$C$6),2)*(IF($G$6="YES",$E$6,0)+IF($K$6="YES",$I$6,0)),2)</f>
        <v/>
      </c>
      <c r="E291" s="38">
        <f>ROUND((IF(25&lt;=15,$AD$215,$AD$215+(25-15)*$AE$215))*(1+$C$6),2)+ROUND(ROUND((IF(25&lt;=15,$AD$215,$AD$215+(25-15)*$AE$215))*(1+$C$6),2)*(IF($G$6="YES",$E$6,0)+IF($K$6="YES",$I$6,0)),2)</f>
        <v/>
      </c>
      <c r="F291" s="38">
        <f>ROUND((IF(25&lt;=15,$AD$216,$AD$216+(25-15)*$AE$216))*(1+$C$6),2)+ROUND(ROUND((IF(25&lt;=15,$AD$216,$AD$216+(25-15)*$AE$216))*(1+$C$6),2)*(IF($G$6="YES",$E$6,0)+IF($K$6="YES",$I$6,0)),2)</f>
        <v/>
      </c>
      <c r="G291" s="38">
        <f>ROUND((IF(25&lt;=20,$AD$217,IF(25&lt;=35,$AD$217+(25-20)*$AE$217,$AG$217+(25-35)*$AF$217)))*(1+$C$6),2)+ROUND(ROUND((IF(25&lt;=20,$AD$217,IF(25&lt;=35,$AD$217+(25-20)*$AE$217,$AG$217+(25-35)*$AF$217)))*(1+$C$6),2)*(IF($G$6="YES",$E$6,0)+IF($K$6="YES",$I$6,0)),2)</f>
        <v/>
      </c>
      <c r="H291" s="38">
        <f>ROUND((IF(25&lt;=20,$AD$218,IF(25&lt;=35,$AD$218+(25-20)*$AE$218,$AG$218+(25-35)*$AF$218)))*(1+$C$6),2)+ROUND(ROUND((IF(25&lt;=20,$AD$218,IF(25&lt;=35,$AD$218+(25-20)*$AE$218,$AG$218+(25-35)*$AF$218)))*(1+$C$6),2)*(IF($G$6="YES",$E$6,0)+IF($K$6="YES",$I$6,0)),2)</f>
        <v/>
      </c>
      <c r="I291" s="38">
        <f>ROUND((IF(25&lt;=2,$AD$219,$AD$219+(25-2)*$AE$219))*(1+$C$6),2)+ROUND(ROUND((IF(25&lt;=2,$AD$219,$AD$219+(25-2)*$AE$219))*(1+$C$6),2)*(IF($G$6="YES",$E$6,0)+IF($K$6="YES",$I$6,0)),2)+(25*$E$8*IF($C$8="YES",1,0))</f>
        <v/>
      </c>
      <c r="J291" s="39">
        <f>ROUND((IF(25&lt;=2,$AD$220,$AD$220+(25-2)*$AE$220))*(1+$C$6),2)+ROUND(ROUND((IF(25&lt;=2,$AD$220,$AD$220+(25-2)*$AE$220))*(1+$C$6),2)*(IF($G$6="YES",$E$6,0)+IF($K$6="YES",$I$6,0)),2)</f>
        <v/>
      </c>
    </row>
    <row r="292">
      <c r="B292" s="40" t="n">
        <v>26</v>
      </c>
      <c r="C292" s="41">
        <f>ROUND((IF(26&lt;=5,$AD$213,$AD$213+(26-5)*$AE$213))*(1+$C$6),2)+ROUND(ROUND((IF(26&lt;=5,$AD$213,$AD$213+(26-5)*$AE$213))*(1+$C$6),2)*(IF($G$6="YES",$E$6,0)+IF($K$6="YES",$I$6,0)),2)</f>
        <v/>
      </c>
      <c r="D292" s="41">
        <f>ROUND((IF(26&lt;=5,$AD$214,$AD$214+(26-5)*$AE$214))*(1+$C$6),2)+ROUND(ROUND((IF(26&lt;=5,$AD$214,$AD$214+(26-5)*$AE$214))*(1+$C$6),2)*(IF($G$6="YES",$E$6,0)+IF($K$6="YES",$I$6,0)),2)</f>
        <v/>
      </c>
      <c r="E292" s="41">
        <f>ROUND((IF(26&lt;=15,$AD$215,$AD$215+(26-15)*$AE$215))*(1+$C$6),2)+ROUND(ROUND((IF(26&lt;=15,$AD$215,$AD$215+(26-15)*$AE$215))*(1+$C$6),2)*(IF($G$6="YES",$E$6,0)+IF($K$6="YES",$I$6,0)),2)</f>
        <v/>
      </c>
      <c r="F292" s="41">
        <f>ROUND((IF(26&lt;=15,$AD$216,$AD$216+(26-15)*$AE$216))*(1+$C$6),2)+ROUND(ROUND((IF(26&lt;=15,$AD$216,$AD$216+(26-15)*$AE$216))*(1+$C$6),2)*(IF($G$6="YES",$E$6,0)+IF($K$6="YES",$I$6,0)),2)</f>
        <v/>
      </c>
      <c r="G292" s="41">
        <f>ROUND((IF(26&lt;=20,$AD$217,IF(26&lt;=35,$AD$217+(26-20)*$AE$217,$AG$217+(26-35)*$AF$217)))*(1+$C$6),2)+ROUND(ROUND((IF(26&lt;=20,$AD$217,IF(26&lt;=35,$AD$217+(26-20)*$AE$217,$AG$217+(26-35)*$AF$217)))*(1+$C$6),2)*(IF($G$6="YES",$E$6,0)+IF($K$6="YES",$I$6,0)),2)</f>
        <v/>
      </c>
      <c r="H292" s="41">
        <f>ROUND((IF(26&lt;=20,$AD$218,IF(26&lt;=35,$AD$218+(26-20)*$AE$218,$AG$218+(26-35)*$AF$218)))*(1+$C$6),2)+ROUND(ROUND((IF(26&lt;=20,$AD$218,IF(26&lt;=35,$AD$218+(26-20)*$AE$218,$AG$218+(26-35)*$AF$218)))*(1+$C$6),2)*(IF($G$6="YES",$E$6,0)+IF($K$6="YES",$I$6,0)),2)</f>
        <v/>
      </c>
      <c r="I292" s="41">
        <f>ROUND((IF(26&lt;=2,$AD$219,$AD$219+(26-2)*$AE$219))*(1+$C$6),2)+ROUND(ROUND((IF(26&lt;=2,$AD$219,$AD$219+(26-2)*$AE$219))*(1+$C$6),2)*(IF($G$6="YES",$E$6,0)+IF($K$6="YES",$I$6,0)),2)+(26*$E$8*IF($C$8="YES",1,0))</f>
        <v/>
      </c>
      <c r="J292" s="42">
        <f>ROUND((IF(26&lt;=2,$AD$220,$AD$220+(26-2)*$AE$220))*(1+$C$6),2)+ROUND(ROUND((IF(26&lt;=2,$AD$220,$AD$220+(26-2)*$AE$220))*(1+$C$6),2)*(IF($G$6="YES",$E$6,0)+IF($K$6="YES",$I$6,0)),2)</f>
        <v/>
      </c>
    </row>
    <row r="293">
      <c r="B293" s="40" t="n">
        <v>27</v>
      </c>
      <c r="C293" s="41">
        <f>ROUND((IF(27&lt;=5,$AD$213,$AD$213+(27-5)*$AE$213))*(1+$C$6),2)+ROUND(ROUND((IF(27&lt;=5,$AD$213,$AD$213+(27-5)*$AE$213))*(1+$C$6),2)*(IF($G$6="YES",$E$6,0)+IF($K$6="YES",$I$6,0)),2)</f>
        <v/>
      </c>
      <c r="D293" s="41">
        <f>ROUND((IF(27&lt;=5,$AD$214,$AD$214+(27-5)*$AE$214))*(1+$C$6),2)+ROUND(ROUND((IF(27&lt;=5,$AD$214,$AD$214+(27-5)*$AE$214))*(1+$C$6),2)*(IF($G$6="YES",$E$6,0)+IF($K$6="YES",$I$6,0)),2)</f>
        <v/>
      </c>
      <c r="E293" s="41">
        <f>ROUND((IF(27&lt;=15,$AD$215,$AD$215+(27-15)*$AE$215))*(1+$C$6),2)+ROUND(ROUND((IF(27&lt;=15,$AD$215,$AD$215+(27-15)*$AE$215))*(1+$C$6),2)*(IF($G$6="YES",$E$6,0)+IF($K$6="YES",$I$6,0)),2)</f>
        <v/>
      </c>
      <c r="F293" s="41">
        <f>ROUND((IF(27&lt;=15,$AD$216,$AD$216+(27-15)*$AE$216))*(1+$C$6),2)+ROUND(ROUND((IF(27&lt;=15,$AD$216,$AD$216+(27-15)*$AE$216))*(1+$C$6),2)*(IF($G$6="YES",$E$6,0)+IF($K$6="YES",$I$6,0)),2)</f>
        <v/>
      </c>
      <c r="G293" s="41">
        <f>ROUND((IF(27&lt;=20,$AD$217,IF(27&lt;=35,$AD$217+(27-20)*$AE$217,$AG$217+(27-35)*$AF$217)))*(1+$C$6),2)+ROUND(ROUND((IF(27&lt;=20,$AD$217,IF(27&lt;=35,$AD$217+(27-20)*$AE$217,$AG$217+(27-35)*$AF$217)))*(1+$C$6),2)*(IF($G$6="YES",$E$6,0)+IF($K$6="YES",$I$6,0)),2)</f>
        <v/>
      </c>
      <c r="H293" s="41">
        <f>ROUND((IF(27&lt;=20,$AD$218,IF(27&lt;=35,$AD$218+(27-20)*$AE$218,$AG$218+(27-35)*$AF$218)))*(1+$C$6),2)+ROUND(ROUND((IF(27&lt;=20,$AD$218,IF(27&lt;=35,$AD$218+(27-20)*$AE$218,$AG$218+(27-35)*$AF$218)))*(1+$C$6),2)*(IF($G$6="YES",$E$6,0)+IF($K$6="YES",$I$6,0)),2)</f>
        <v/>
      </c>
      <c r="I293" s="41">
        <f>ROUND((IF(27&lt;=2,$AD$219,$AD$219+(27-2)*$AE$219))*(1+$C$6),2)+ROUND(ROUND((IF(27&lt;=2,$AD$219,$AD$219+(27-2)*$AE$219))*(1+$C$6),2)*(IF($G$6="YES",$E$6,0)+IF($K$6="YES",$I$6,0)),2)+(27*$E$8*IF($C$8="YES",1,0))</f>
        <v/>
      </c>
      <c r="J293" s="42">
        <f>ROUND((IF(27&lt;=2,$AD$220,$AD$220+(27-2)*$AE$220))*(1+$C$6),2)+ROUND(ROUND((IF(27&lt;=2,$AD$220,$AD$220+(27-2)*$AE$220))*(1+$C$6),2)*(IF($G$6="YES",$E$6,0)+IF($K$6="YES",$I$6,0)),2)</f>
        <v/>
      </c>
    </row>
    <row r="294">
      <c r="B294" s="40" t="n">
        <v>28</v>
      </c>
      <c r="C294" s="41">
        <f>ROUND((IF(28&lt;=5,$AD$213,$AD$213+(28-5)*$AE$213))*(1+$C$6),2)+ROUND(ROUND((IF(28&lt;=5,$AD$213,$AD$213+(28-5)*$AE$213))*(1+$C$6),2)*(IF($G$6="YES",$E$6,0)+IF($K$6="YES",$I$6,0)),2)</f>
        <v/>
      </c>
      <c r="D294" s="41">
        <f>ROUND((IF(28&lt;=5,$AD$214,$AD$214+(28-5)*$AE$214))*(1+$C$6),2)+ROUND(ROUND((IF(28&lt;=5,$AD$214,$AD$214+(28-5)*$AE$214))*(1+$C$6),2)*(IF($G$6="YES",$E$6,0)+IF($K$6="YES",$I$6,0)),2)</f>
        <v/>
      </c>
      <c r="E294" s="41">
        <f>ROUND((IF(28&lt;=15,$AD$215,$AD$215+(28-15)*$AE$215))*(1+$C$6),2)+ROUND(ROUND((IF(28&lt;=15,$AD$215,$AD$215+(28-15)*$AE$215))*(1+$C$6),2)*(IF($G$6="YES",$E$6,0)+IF($K$6="YES",$I$6,0)),2)</f>
        <v/>
      </c>
      <c r="F294" s="41">
        <f>ROUND((IF(28&lt;=15,$AD$216,$AD$216+(28-15)*$AE$216))*(1+$C$6),2)+ROUND(ROUND((IF(28&lt;=15,$AD$216,$AD$216+(28-15)*$AE$216))*(1+$C$6),2)*(IF($G$6="YES",$E$6,0)+IF($K$6="YES",$I$6,0)),2)</f>
        <v/>
      </c>
      <c r="G294" s="41">
        <f>ROUND((IF(28&lt;=20,$AD$217,IF(28&lt;=35,$AD$217+(28-20)*$AE$217,$AG$217+(28-35)*$AF$217)))*(1+$C$6),2)+ROUND(ROUND((IF(28&lt;=20,$AD$217,IF(28&lt;=35,$AD$217+(28-20)*$AE$217,$AG$217+(28-35)*$AF$217)))*(1+$C$6),2)*(IF($G$6="YES",$E$6,0)+IF($K$6="YES",$I$6,0)),2)</f>
        <v/>
      </c>
      <c r="H294" s="41">
        <f>ROUND((IF(28&lt;=20,$AD$218,IF(28&lt;=35,$AD$218+(28-20)*$AE$218,$AG$218+(28-35)*$AF$218)))*(1+$C$6),2)+ROUND(ROUND((IF(28&lt;=20,$AD$218,IF(28&lt;=35,$AD$218+(28-20)*$AE$218,$AG$218+(28-35)*$AF$218)))*(1+$C$6),2)*(IF($G$6="YES",$E$6,0)+IF($K$6="YES",$I$6,0)),2)</f>
        <v/>
      </c>
      <c r="I294" s="41">
        <f>ROUND((IF(28&lt;=2,$AD$219,$AD$219+(28-2)*$AE$219))*(1+$C$6),2)+ROUND(ROUND((IF(28&lt;=2,$AD$219,$AD$219+(28-2)*$AE$219))*(1+$C$6),2)*(IF($G$6="YES",$E$6,0)+IF($K$6="YES",$I$6,0)),2)+(28*$E$8*IF($C$8="YES",1,0))</f>
        <v/>
      </c>
      <c r="J294" s="42">
        <f>ROUND((IF(28&lt;=2,$AD$220,$AD$220+(28-2)*$AE$220))*(1+$C$6),2)+ROUND(ROUND((IF(28&lt;=2,$AD$220,$AD$220+(28-2)*$AE$220))*(1+$C$6),2)*(IF($G$6="YES",$E$6,0)+IF($K$6="YES",$I$6,0)),2)</f>
        <v/>
      </c>
    </row>
    <row r="295">
      <c r="B295" s="40" t="n">
        <v>29</v>
      </c>
      <c r="C295" s="41">
        <f>ROUND((IF(29&lt;=5,$AD$213,$AD$213+(29-5)*$AE$213))*(1+$C$6),2)+ROUND(ROUND((IF(29&lt;=5,$AD$213,$AD$213+(29-5)*$AE$213))*(1+$C$6),2)*(IF($G$6="YES",$E$6,0)+IF($K$6="YES",$I$6,0)),2)</f>
        <v/>
      </c>
      <c r="D295" s="41">
        <f>ROUND((IF(29&lt;=5,$AD$214,$AD$214+(29-5)*$AE$214))*(1+$C$6),2)+ROUND(ROUND((IF(29&lt;=5,$AD$214,$AD$214+(29-5)*$AE$214))*(1+$C$6),2)*(IF($G$6="YES",$E$6,0)+IF($K$6="YES",$I$6,0)),2)</f>
        <v/>
      </c>
      <c r="E295" s="41">
        <f>ROUND((IF(29&lt;=15,$AD$215,$AD$215+(29-15)*$AE$215))*(1+$C$6),2)+ROUND(ROUND((IF(29&lt;=15,$AD$215,$AD$215+(29-15)*$AE$215))*(1+$C$6),2)*(IF($G$6="YES",$E$6,0)+IF($K$6="YES",$I$6,0)),2)</f>
        <v/>
      </c>
      <c r="F295" s="41">
        <f>ROUND((IF(29&lt;=15,$AD$216,$AD$216+(29-15)*$AE$216))*(1+$C$6),2)+ROUND(ROUND((IF(29&lt;=15,$AD$216,$AD$216+(29-15)*$AE$216))*(1+$C$6),2)*(IF($G$6="YES",$E$6,0)+IF($K$6="YES",$I$6,0)),2)</f>
        <v/>
      </c>
      <c r="G295" s="41">
        <f>ROUND((IF(29&lt;=20,$AD$217,IF(29&lt;=35,$AD$217+(29-20)*$AE$217,$AG$217+(29-35)*$AF$217)))*(1+$C$6),2)+ROUND(ROUND((IF(29&lt;=20,$AD$217,IF(29&lt;=35,$AD$217+(29-20)*$AE$217,$AG$217+(29-35)*$AF$217)))*(1+$C$6),2)*(IF($G$6="YES",$E$6,0)+IF($K$6="YES",$I$6,0)),2)</f>
        <v/>
      </c>
      <c r="H295" s="41">
        <f>ROUND((IF(29&lt;=20,$AD$218,IF(29&lt;=35,$AD$218+(29-20)*$AE$218,$AG$218+(29-35)*$AF$218)))*(1+$C$6),2)+ROUND(ROUND((IF(29&lt;=20,$AD$218,IF(29&lt;=35,$AD$218+(29-20)*$AE$218,$AG$218+(29-35)*$AF$218)))*(1+$C$6),2)*(IF($G$6="YES",$E$6,0)+IF($K$6="YES",$I$6,0)),2)</f>
        <v/>
      </c>
      <c r="I295" s="41">
        <f>ROUND((IF(29&lt;=2,$AD$219,$AD$219+(29-2)*$AE$219))*(1+$C$6),2)+ROUND(ROUND((IF(29&lt;=2,$AD$219,$AD$219+(29-2)*$AE$219))*(1+$C$6),2)*(IF($G$6="YES",$E$6,0)+IF($K$6="YES",$I$6,0)),2)+(29*$E$8*IF($C$8="YES",1,0))</f>
        <v/>
      </c>
      <c r="J295" s="42">
        <f>ROUND((IF(29&lt;=2,$AD$220,$AD$220+(29-2)*$AE$220))*(1+$C$6),2)+ROUND(ROUND((IF(29&lt;=2,$AD$220,$AD$220+(29-2)*$AE$220))*(1+$C$6),2)*(IF($G$6="YES",$E$6,0)+IF($K$6="YES",$I$6,0)),2)</f>
        <v/>
      </c>
    </row>
    <row r="296">
      <c r="B296" s="40" t="n">
        <v>30</v>
      </c>
      <c r="C296" s="41">
        <f>ROUND((IF(30&lt;=5,$AD$213,$AD$213+(30-5)*$AE$213))*(1+$C$6),2)+ROUND(ROUND((IF(30&lt;=5,$AD$213,$AD$213+(30-5)*$AE$213))*(1+$C$6),2)*(IF($G$6="YES",$E$6,0)+IF($K$6="YES",$I$6,0)),2)</f>
        <v/>
      </c>
      <c r="D296" s="41">
        <f>ROUND((IF(30&lt;=5,$AD$214,$AD$214+(30-5)*$AE$214))*(1+$C$6),2)+ROUND(ROUND((IF(30&lt;=5,$AD$214,$AD$214+(30-5)*$AE$214))*(1+$C$6),2)*(IF($G$6="YES",$E$6,0)+IF($K$6="YES",$I$6,0)),2)</f>
        <v/>
      </c>
      <c r="E296" s="41">
        <f>ROUND((IF(30&lt;=15,$AD$215,$AD$215+(30-15)*$AE$215))*(1+$C$6),2)+ROUND(ROUND((IF(30&lt;=15,$AD$215,$AD$215+(30-15)*$AE$215))*(1+$C$6),2)*(IF($G$6="YES",$E$6,0)+IF($K$6="YES",$I$6,0)),2)</f>
        <v/>
      </c>
      <c r="F296" s="41">
        <f>ROUND((IF(30&lt;=15,$AD$216,$AD$216+(30-15)*$AE$216))*(1+$C$6),2)+ROUND(ROUND((IF(30&lt;=15,$AD$216,$AD$216+(30-15)*$AE$216))*(1+$C$6),2)*(IF($G$6="YES",$E$6,0)+IF($K$6="YES",$I$6,0)),2)</f>
        <v/>
      </c>
      <c r="G296" s="41">
        <f>ROUND((IF(30&lt;=20,$AD$217,IF(30&lt;=35,$AD$217+(30-20)*$AE$217,$AG$217+(30-35)*$AF$217)))*(1+$C$6),2)+ROUND(ROUND((IF(30&lt;=20,$AD$217,IF(30&lt;=35,$AD$217+(30-20)*$AE$217,$AG$217+(30-35)*$AF$217)))*(1+$C$6),2)*(IF($G$6="YES",$E$6,0)+IF($K$6="YES",$I$6,0)),2)</f>
        <v/>
      </c>
      <c r="H296" s="41">
        <f>ROUND((IF(30&lt;=20,$AD$218,IF(30&lt;=35,$AD$218+(30-20)*$AE$218,$AG$218+(30-35)*$AF$218)))*(1+$C$6),2)+ROUND(ROUND((IF(30&lt;=20,$AD$218,IF(30&lt;=35,$AD$218+(30-20)*$AE$218,$AG$218+(30-35)*$AF$218)))*(1+$C$6),2)*(IF($G$6="YES",$E$6,0)+IF($K$6="YES",$I$6,0)),2)</f>
        <v/>
      </c>
      <c r="I296" s="41">
        <f>ROUND((IF(30&lt;=2,$AD$219,$AD$219+(30-2)*$AE$219))*(1+$C$6),2)+ROUND(ROUND((IF(30&lt;=2,$AD$219,$AD$219+(30-2)*$AE$219))*(1+$C$6),2)*(IF($G$6="YES",$E$6,0)+IF($K$6="YES",$I$6,0)),2)+(30*$E$8*IF($C$8="YES",1,0))</f>
        <v/>
      </c>
      <c r="J296" s="42">
        <f>ROUND((IF(30&lt;=2,$AD$220,$AD$220+(30-2)*$AE$220))*(1+$C$6),2)+ROUND(ROUND((IF(30&lt;=2,$AD$220,$AD$220+(30-2)*$AE$220))*(1+$C$6),2)*(IF($G$6="YES",$E$6,0)+IF($K$6="YES",$I$6,0)),2)</f>
        <v/>
      </c>
    </row>
    <row r="297">
      <c r="B297" s="37" t="n">
        <v>31</v>
      </c>
      <c r="C297" s="38">
        <f>ROUND((IF(31&lt;=5,$AD$213,$AD$213+(31-5)*$AE$213))*(1+$C$6),2)+ROUND(ROUND((IF(31&lt;=5,$AD$213,$AD$213+(31-5)*$AE$213))*(1+$C$6),2)*(IF($G$6="YES",$E$6,0)+IF($K$6="YES",$I$6,0)),2)</f>
        <v/>
      </c>
      <c r="D297" s="38">
        <f>ROUND((IF(31&lt;=5,$AD$214,$AD$214+(31-5)*$AE$214))*(1+$C$6),2)+ROUND(ROUND((IF(31&lt;=5,$AD$214,$AD$214+(31-5)*$AE$214))*(1+$C$6),2)*(IF($G$6="YES",$E$6,0)+IF($K$6="YES",$I$6,0)),2)</f>
        <v/>
      </c>
      <c r="E297" s="38">
        <f>ROUND((IF(31&lt;=15,$AD$215,$AD$215+(31-15)*$AE$215))*(1+$C$6),2)+ROUND(ROUND((IF(31&lt;=15,$AD$215,$AD$215+(31-15)*$AE$215))*(1+$C$6),2)*(IF($G$6="YES",$E$6,0)+IF($K$6="YES",$I$6,0)),2)</f>
        <v/>
      </c>
      <c r="F297" s="38">
        <f>ROUND((IF(31&lt;=15,$AD$216,$AD$216+(31-15)*$AE$216))*(1+$C$6),2)+ROUND(ROUND((IF(31&lt;=15,$AD$216,$AD$216+(31-15)*$AE$216))*(1+$C$6),2)*(IF($G$6="YES",$E$6,0)+IF($K$6="YES",$I$6,0)),2)</f>
        <v/>
      </c>
      <c r="G297" s="38">
        <f>ROUND((IF(31&lt;=20,$AD$217,IF(31&lt;=35,$AD$217+(31-20)*$AE$217,$AG$217+(31-35)*$AF$217)))*(1+$C$6),2)+ROUND(ROUND((IF(31&lt;=20,$AD$217,IF(31&lt;=35,$AD$217+(31-20)*$AE$217,$AG$217+(31-35)*$AF$217)))*(1+$C$6),2)*(IF($G$6="YES",$E$6,0)+IF($K$6="YES",$I$6,0)),2)</f>
        <v/>
      </c>
      <c r="H297" s="38">
        <f>ROUND((IF(31&lt;=20,$AD$218,IF(31&lt;=35,$AD$218+(31-20)*$AE$218,$AG$218+(31-35)*$AF$218)))*(1+$C$6),2)+ROUND(ROUND((IF(31&lt;=20,$AD$218,IF(31&lt;=35,$AD$218+(31-20)*$AE$218,$AG$218+(31-35)*$AF$218)))*(1+$C$6),2)*(IF($G$6="YES",$E$6,0)+IF($K$6="YES",$I$6,0)),2)</f>
        <v/>
      </c>
      <c r="I297" s="38">
        <f>ROUND((IF(31&lt;=2,$AD$219,$AD$219+(31-2)*$AE$219))*(1+$C$6),2)+ROUND(ROUND((IF(31&lt;=2,$AD$219,$AD$219+(31-2)*$AE$219))*(1+$C$6),2)*(IF($G$6="YES",$E$6,0)+IF($K$6="YES",$I$6,0)),2)+(31*$E$8*IF($C$8="YES",1,0))</f>
        <v/>
      </c>
      <c r="J297" s="39">
        <f>ROUND((IF(31&lt;=2,$AD$220,$AD$220+(31-2)*$AE$220))*(1+$C$6),2)+ROUND(ROUND((IF(31&lt;=2,$AD$220,$AD$220+(31-2)*$AE$220))*(1+$C$6),2)*(IF($G$6="YES",$E$6,0)+IF($K$6="YES",$I$6,0)),2)</f>
        <v/>
      </c>
    </row>
    <row r="298">
      <c r="B298" s="37" t="n">
        <v>32</v>
      </c>
      <c r="C298" s="38">
        <f>ROUND((IF(32&lt;=5,$AD$213,$AD$213+(32-5)*$AE$213))*(1+$C$6),2)+ROUND(ROUND((IF(32&lt;=5,$AD$213,$AD$213+(32-5)*$AE$213))*(1+$C$6),2)*(IF($G$6="YES",$E$6,0)+IF($K$6="YES",$I$6,0)),2)</f>
        <v/>
      </c>
      <c r="D298" s="38">
        <f>ROUND((IF(32&lt;=5,$AD$214,$AD$214+(32-5)*$AE$214))*(1+$C$6),2)+ROUND(ROUND((IF(32&lt;=5,$AD$214,$AD$214+(32-5)*$AE$214))*(1+$C$6),2)*(IF($G$6="YES",$E$6,0)+IF($K$6="YES",$I$6,0)),2)</f>
        <v/>
      </c>
      <c r="E298" s="38">
        <f>ROUND((IF(32&lt;=15,$AD$215,$AD$215+(32-15)*$AE$215))*(1+$C$6),2)+ROUND(ROUND((IF(32&lt;=15,$AD$215,$AD$215+(32-15)*$AE$215))*(1+$C$6),2)*(IF($G$6="YES",$E$6,0)+IF($K$6="YES",$I$6,0)),2)</f>
        <v/>
      </c>
      <c r="F298" s="38">
        <f>ROUND((IF(32&lt;=15,$AD$216,$AD$216+(32-15)*$AE$216))*(1+$C$6),2)+ROUND(ROUND((IF(32&lt;=15,$AD$216,$AD$216+(32-15)*$AE$216))*(1+$C$6),2)*(IF($G$6="YES",$E$6,0)+IF($K$6="YES",$I$6,0)),2)</f>
        <v/>
      </c>
      <c r="G298" s="38">
        <f>ROUND((IF(32&lt;=20,$AD$217,IF(32&lt;=35,$AD$217+(32-20)*$AE$217,$AG$217+(32-35)*$AF$217)))*(1+$C$6),2)+ROUND(ROUND((IF(32&lt;=20,$AD$217,IF(32&lt;=35,$AD$217+(32-20)*$AE$217,$AG$217+(32-35)*$AF$217)))*(1+$C$6),2)*(IF($G$6="YES",$E$6,0)+IF($K$6="YES",$I$6,0)),2)</f>
        <v/>
      </c>
      <c r="H298" s="38">
        <f>ROUND((IF(32&lt;=20,$AD$218,IF(32&lt;=35,$AD$218+(32-20)*$AE$218,$AG$218+(32-35)*$AF$218)))*(1+$C$6),2)+ROUND(ROUND((IF(32&lt;=20,$AD$218,IF(32&lt;=35,$AD$218+(32-20)*$AE$218,$AG$218+(32-35)*$AF$218)))*(1+$C$6),2)*(IF($G$6="YES",$E$6,0)+IF($K$6="YES",$I$6,0)),2)</f>
        <v/>
      </c>
      <c r="I298" s="38">
        <f>ROUND((IF(32&lt;=2,$AD$219,$AD$219+(32-2)*$AE$219))*(1+$C$6),2)+ROUND(ROUND((IF(32&lt;=2,$AD$219,$AD$219+(32-2)*$AE$219))*(1+$C$6),2)*(IF($G$6="YES",$E$6,0)+IF($K$6="YES",$I$6,0)),2)+(32*$E$8*IF($C$8="YES",1,0))</f>
        <v/>
      </c>
      <c r="J298" s="39">
        <f>ROUND((IF(32&lt;=2,$AD$220,$AD$220+(32-2)*$AE$220))*(1+$C$6),2)+ROUND(ROUND((IF(32&lt;=2,$AD$220,$AD$220+(32-2)*$AE$220))*(1+$C$6),2)*(IF($G$6="YES",$E$6,0)+IF($K$6="YES",$I$6,0)),2)</f>
        <v/>
      </c>
    </row>
    <row r="299">
      <c r="B299" s="37" t="n">
        <v>33</v>
      </c>
      <c r="C299" s="38">
        <f>ROUND((IF(33&lt;=5,$AD$213,$AD$213+(33-5)*$AE$213))*(1+$C$6),2)+ROUND(ROUND((IF(33&lt;=5,$AD$213,$AD$213+(33-5)*$AE$213))*(1+$C$6),2)*(IF($G$6="YES",$E$6,0)+IF($K$6="YES",$I$6,0)),2)</f>
        <v/>
      </c>
      <c r="D299" s="38">
        <f>ROUND((IF(33&lt;=5,$AD$214,$AD$214+(33-5)*$AE$214))*(1+$C$6),2)+ROUND(ROUND((IF(33&lt;=5,$AD$214,$AD$214+(33-5)*$AE$214))*(1+$C$6),2)*(IF($G$6="YES",$E$6,0)+IF($K$6="YES",$I$6,0)),2)</f>
        <v/>
      </c>
      <c r="E299" s="38">
        <f>ROUND((IF(33&lt;=15,$AD$215,$AD$215+(33-15)*$AE$215))*(1+$C$6),2)+ROUND(ROUND((IF(33&lt;=15,$AD$215,$AD$215+(33-15)*$AE$215))*(1+$C$6),2)*(IF($G$6="YES",$E$6,0)+IF($K$6="YES",$I$6,0)),2)</f>
        <v/>
      </c>
      <c r="F299" s="38">
        <f>ROUND((IF(33&lt;=15,$AD$216,$AD$216+(33-15)*$AE$216))*(1+$C$6),2)+ROUND(ROUND((IF(33&lt;=15,$AD$216,$AD$216+(33-15)*$AE$216))*(1+$C$6),2)*(IF($G$6="YES",$E$6,0)+IF($K$6="YES",$I$6,0)),2)</f>
        <v/>
      </c>
      <c r="G299" s="38">
        <f>ROUND((IF(33&lt;=20,$AD$217,IF(33&lt;=35,$AD$217+(33-20)*$AE$217,$AG$217+(33-35)*$AF$217)))*(1+$C$6),2)+ROUND(ROUND((IF(33&lt;=20,$AD$217,IF(33&lt;=35,$AD$217+(33-20)*$AE$217,$AG$217+(33-35)*$AF$217)))*(1+$C$6),2)*(IF($G$6="YES",$E$6,0)+IF($K$6="YES",$I$6,0)),2)</f>
        <v/>
      </c>
      <c r="H299" s="38">
        <f>ROUND((IF(33&lt;=20,$AD$218,IF(33&lt;=35,$AD$218+(33-20)*$AE$218,$AG$218+(33-35)*$AF$218)))*(1+$C$6),2)+ROUND(ROUND((IF(33&lt;=20,$AD$218,IF(33&lt;=35,$AD$218+(33-20)*$AE$218,$AG$218+(33-35)*$AF$218)))*(1+$C$6),2)*(IF($G$6="YES",$E$6,0)+IF($K$6="YES",$I$6,0)),2)</f>
        <v/>
      </c>
      <c r="I299" s="38">
        <f>ROUND((IF(33&lt;=2,$AD$219,$AD$219+(33-2)*$AE$219))*(1+$C$6),2)+ROUND(ROUND((IF(33&lt;=2,$AD$219,$AD$219+(33-2)*$AE$219))*(1+$C$6),2)*(IF($G$6="YES",$E$6,0)+IF($K$6="YES",$I$6,0)),2)+(33*$E$8*IF($C$8="YES",1,0))</f>
        <v/>
      </c>
      <c r="J299" s="39">
        <f>ROUND((IF(33&lt;=2,$AD$220,$AD$220+(33-2)*$AE$220))*(1+$C$6),2)+ROUND(ROUND((IF(33&lt;=2,$AD$220,$AD$220+(33-2)*$AE$220))*(1+$C$6),2)*(IF($G$6="YES",$E$6,0)+IF($K$6="YES",$I$6,0)),2)</f>
        <v/>
      </c>
    </row>
    <row r="300">
      <c r="B300" s="37" t="n">
        <v>34</v>
      </c>
      <c r="C300" s="38">
        <f>ROUND((IF(34&lt;=5,$AD$213,$AD$213+(34-5)*$AE$213))*(1+$C$6),2)+ROUND(ROUND((IF(34&lt;=5,$AD$213,$AD$213+(34-5)*$AE$213))*(1+$C$6),2)*(IF($G$6="YES",$E$6,0)+IF($K$6="YES",$I$6,0)),2)</f>
        <v/>
      </c>
      <c r="D300" s="38">
        <f>ROUND((IF(34&lt;=5,$AD$214,$AD$214+(34-5)*$AE$214))*(1+$C$6),2)+ROUND(ROUND((IF(34&lt;=5,$AD$214,$AD$214+(34-5)*$AE$214))*(1+$C$6),2)*(IF($G$6="YES",$E$6,0)+IF($K$6="YES",$I$6,0)),2)</f>
        <v/>
      </c>
      <c r="E300" s="38">
        <f>ROUND((IF(34&lt;=15,$AD$215,$AD$215+(34-15)*$AE$215))*(1+$C$6),2)+ROUND(ROUND((IF(34&lt;=15,$AD$215,$AD$215+(34-15)*$AE$215))*(1+$C$6),2)*(IF($G$6="YES",$E$6,0)+IF($K$6="YES",$I$6,0)),2)</f>
        <v/>
      </c>
      <c r="F300" s="38">
        <f>ROUND((IF(34&lt;=15,$AD$216,$AD$216+(34-15)*$AE$216))*(1+$C$6),2)+ROUND(ROUND((IF(34&lt;=15,$AD$216,$AD$216+(34-15)*$AE$216))*(1+$C$6),2)*(IF($G$6="YES",$E$6,0)+IF($K$6="YES",$I$6,0)),2)</f>
        <v/>
      </c>
      <c r="G300" s="38">
        <f>ROUND((IF(34&lt;=20,$AD$217,IF(34&lt;=35,$AD$217+(34-20)*$AE$217,$AG$217+(34-35)*$AF$217)))*(1+$C$6),2)+ROUND(ROUND((IF(34&lt;=20,$AD$217,IF(34&lt;=35,$AD$217+(34-20)*$AE$217,$AG$217+(34-35)*$AF$217)))*(1+$C$6),2)*(IF($G$6="YES",$E$6,0)+IF($K$6="YES",$I$6,0)),2)</f>
        <v/>
      </c>
      <c r="H300" s="38">
        <f>ROUND((IF(34&lt;=20,$AD$218,IF(34&lt;=35,$AD$218+(34-20)*$AE$218,$AG$218+(34-35)*$AF$218)))*(1+$C$6),2)+ROUND(ROUND((IF(34&lt;=20,$AD$218,IF(34&lt;=35,$AD$218+(34-20)*$AE$218,$AG$218+(34-35)*$AF$218)))*(1+$C$6),2)*(IF($G$6="YES",$E$6,0)+IF($K$6="YES",$I$6,0)),2)</f>
        <v/>
      </c>
      <c r="I300" s="38">
        <f>ROUND((IF(34&lt;=2,$AD$219,$AD$219+(34-2)*$AE$219))*(1+$C$6),2)+ROUND(ROUND((IF(34&lt;=2,$AD$219,$AD$219+(34-2)*$AE$219))*(1+$C$6),2)*(IF($G$6="YES",$E$6,0)+IF($K$6="YES",$I$6,0)),2)+(34*$E$8*IF($C$8="YES",1,0))</f>
        <v/>
      </c>
      <c r="J300" s="39">
        <f>ROUND((IF(34&lt;=2,$AD$220,$AD$220+(34-2)*$AE$220))*(1+$C$6),2)+ROUND(ROUND((IF(34&lt;=2,$AD$220,$AD$220+(34-2)*$AE$220))*(1+$C$6),2)*(IF($G$6="YES",$E$6,0)+IF($K$6="YES",$I$6,0)),2)</f>
        <v/>
      </c>
    </row>
    <row r="301">
      <c r="B301" s="37" t="n">
        <v>35</v>
      </c>
      <c r="C301" s="38">
        <f>ROUND((IF(35&lt;=5,$AD$213,$AD$213+(35-5)*$AE$213))*(1+$C$6),2)+ROUND(ROUND((IF(35&lt;=5,$AD$213,$AD$213+(35-5)*$AE$213))*(1+$C$6),2)*(IF($G$6="YES",$E$6,0)+IF($K$6="YES",$I$6,0)),2)</f>
        <v/>
      </c>
      <c r="D301" s="38">
        <f>ROUND((IF(35&lt;=5,$AD$214,$AD$214+(35-5)*$AE$214))*(1+$C$6),2)+ROUND(ROUND((IF(35&lt;=5,$AD$214,$AD$214+(35-5)*$AE$214))*(1+$C$6),2)*(IF($G$6="YES",$E$6,0)+IF($K$6="YES",$I$6,0)),2)</f>
        <v/>
      </c>
      <c r="E301" s="38">
        <f>ROUND((IF(35&lt;=15,$AD$215,$AD$215+(35-15)*$AE$215))*(1+$C$6),2)+ROUND(ROUND((IF(35&lt;=15,$AD$215,$AD$215+(35-15)*$AE$215))*(1+$C$6),2)*(IF($G$6="YES",$E$6,0)+IF($K$6="YES",$I$6,0)),2)</f>
        <v/>
      </c>
      <c r="F301" s="38">
        <f>ROUND((IF(35&lt;=15,$AD$216,$AD$216+(35-15)*$AE$216))*(1+$C$6),2)+ROUND(ROUND((IF(35&lt;=15,$AD$216,$AD$216+(35-15)*$AE$216))*(1+$C$6),2)*(IF($G$6="YES",$E$6,0)+IF($K$6="YES",$I$6,0)),2)</f>
        <v/>
      </c>
      <c r="G301" s="38">
        <f>ROUND((IF(35&lt;=20,$AD$217,IF(35&lt;=35,$AD$217+(35-20)*$AE$217,$AG$217+(35-35)*$AF$217)))*(1+$C$6),2)+ROUND(ROUND((IF(35&lt;=20,$AD$217,IF(35&lt;=35,$AD$217+(35-20)*$AE$217,$AG$217+(35-35)*$AF$217)))*(1+$C$6),2)*(IF($G$6="YES",$E$6,0)+IF($K$6="YES",$I$6,0)),2)</f>
        <v/>
      </c>
      <c r="H301" s="38">
        <f>ROUND((IF(35&lt;=20,$AD$218,IF(35&lt;=35,$AD$218+(35-20)*$AE$218,$AG$218+(35-35)*$AF$218)))*(1+$C$6),2)+ROUND(ROUND((IF(35&lt;=20,$AD$218,IF(35&lt;=35,$AD$218+(35-20)*$AE$218,$AG$218+(35-35)*$AF$218)))*(1+$C$6),2)*(IF($G$6="YES",$E$6,0)+IF($K$6="YES",$I$6,0)),2)</f>
        <v/>
      </c>
      <c r="I301" s="38">
        <f>ROUND((IF(35&lt;=2,$AD$219,$AD$219+(35-2)*$AE$219))*(1+$C$6),2)+ROUND(ROUND((IF(35&lt;=2,$AD$219,$AD$219+(35-2)*$AE$219))*(1+$C$6),2)*(IF($G$6="YES",$E$6,0)+IF($K$6="YES",$I$6,0)),2)+(35*$E$8*IF($C$8="YES",1,0))</f>
        <v/>
      </c>
      <c r="J301" s="39">
        <f>ROUND((IF(35&lt;=2,$AD$220,$AD$220+(35-2)*$AE$220))*(1+$C$6),2)+ROUND(ROUND((IF(35&lt;=2,$AD$220,$AD$220+(35-2)*$AE$220))*(1+$C$6),2)*(IF($G$6="YES",$E$6,0)+IF($K$6="YES",$I$6,0)),2)</f>
        <v/>
      </c>
    </row>
    <row r="302">
      <c r="B302" s="40" t="n">
        <v>36</v>
      </c>
      <c r="C302" s="43" t="inlineStr">
        <is>
          <t>see ECO/R</t>
        </is>
      </c>
      <c r="D302" s="43" t="inlineStr">
        <is>
          <t>see ECO/R</t>
        </is>
      </c>
      <c r="E302" s="43" t="inlineStr">
        <is>
          <t>see ECO/R</t>
        </is>
      </c>
      <c r="F302" s="43" t="inlineStr">
        <is>
          <t>see ECO/R</t>
        </is>
      </c>
      <c r="G302" s="41">
        <f>ROUND((IF(36&lt;=20,$AD$217,IF(36&lt;=35,$AD$217+(36-20)*$AE$217,$AG$217+(36-35)*$AF$217)))*(1+$C$6),2)+ROUND(ROUND((IF(36&lt;=20,$AD$217,IF(36&lt;=35,$AD$217+(36-20)*$AE$217,$AG$217+(36-35)*$AF$217)))*(1+$C$6),2)*(IF($G$6="YES",$E$6,0)+IF($K$6="YES",$I$6,0)),2)</f>
        <v/>
      </c>
      <c r="H302" s="41">
        <f>ROUND((IF(36&lt;=20,$AD$218,IF(36&lt;=35,$AD$218+(36-20)*$AE$218,$AG$218+(36-35)*$AF$218)))*(1+$C$6),2)+ROUND(ROUND((IF(36&lt;=20,$AD$218,IF(36&lt;=35,$AD$218+(36-20)*$AE$218,$AG$218+(36-35)*$AF$218)))*(1+$C$6),2)*(IF($G$6="YES",$E$6,0)+IF($K$6="YES",$I$6,0)),2)</f>
        <v/>
      </c>
      <c r="I302" s="41">
        <f>ROUND((IF(36&lt;=2,$AD$219,$AD$219+(36-2)*$AE$219))*(1+$C$6),2)+ROUND(ROUND((IF(36&lt;=2,$AD$219,$AD$219+(36-2)*$AE$219))*(1+$C$6),2)*(IF($G$6="YES",$E$6,0)+IF($K$6="YES",$I$6,0)),2)+(36*$E$8*IF($C$8="YES",1,0))</f>
        <v/>
      </c>
      <c r="J302" s="42">
        <f>ROUND((IF(36&lt;=2,$AD$220,$AD$220+(36-2)*$AE$220))*(1+$C$6),2)+ROUND(ROUND((IF(36&lt;=2,$AD$220,$AD$220+(36-2)*$AE$220))*(1+$C$6),2)*(IF($G$6="YES",$E$6,0)+IF($K$6="YES",$I$6,0)),2)</f>
        <v/>
      </c>
    </row>
    <row r="303">
      <c r="B303" s="40" t="n">
        <v>37</v>
      </c>
      <c r="C303" s="43" t="inlineStr">
        <is>
          <t>see ECO/R</t>
        </is>
      </c>
      <c r="D303" s="43" t="inlineStr">
        <is>
          <t>see ECO/R</t>
        </is>
      </c>
      <c r="E303" s="43" t="inlineStr">
        <is>
          <t>see ECO/R</t>
        </is>
      </c>
      <c r="F303" s="43" t="inlineStr">
        <is>
          <t>see ECO/R</t>
        </is>
      </c>
      <c r="G303" s="41">
        <f>ROUND((IF(37&lt;=20,$AD$217,IF(37&lt;=35,$AD$217+(37-20)*$AE$217,$AG$217+(37-35)*$AF$217)))*(1+$C$6),2)+ROUND(ROUND((IF(37&lt;=20,$AD$217,IF(37&lt;=35,$AD$217+(37-20)*$AE$217,$AG$217+(37-35)*$AF$217)))*(1+$C$6),2)*(IF($G$6="YES",$E$6,0)+IF($K$6="YES",$I$6,0)),2)</f>
        <v/>
      </c>
      <c r="H303" s="41">
        <f>ROUND((IF(37&lt;=20,$AD$218,IF(37&lt;=35,$AD$218+(37-20)*$AE$218,$AG$218+(37-35)*$AF$218)))*(1+$C$6),2)+ROUND(ROUND((IF(37&lt;=20,$AD$218,IF(37&lt;=35,$AD$218+(37-20)*$AE$218,$AG$218+(37-35)*$AF$218)))*(1+$C$6),2)*(IF($G$6="YES",$E$6,0)+IF($K$6="YES",$I$6,0)),2)</f>
        <v/>
      </c>
      <c r="I303" s="41">
        <f>ROUND((IF(37&lt;=2,$AD$219,$AD$219+(37-2)*$AE$219))*(1+$C$6),2)+ROUND(ROUND((IF(37&lt;=2,$AD$219,$AD$219+(37-2)*$AE$219))*(1+$C$6),2)*(IF($G$6="YES",$E$6,0)+IF($K$6="YES",$I$6,0)),2)+(37*$E$8*IF($C$8="YES",1,0))</f>
        <v/>
      </c>
      <c r="J303" s="42">
        <f>ROUND((IF(37&lt;=2,$AD$220,$AD$220+(37-2)*$AE$220))*(1+$C$6),2)+ROUND(ROUND((IF(37&lt;=2,$AD$220,$AD$220+(37-2)*$AE$220))*(1+$C$6),2)*(IF($G$6="YES",$E$6,0)+IF($K$6="YES",$I$6,0)),2)</f>
        <v/>
      </c>
    </row>
    <row r="304">
      <c r="B304" s="40" t="n">
        <v>38</v>
      </c>
      <c r="C304" s="43" t="inlineStr">
        <is>
          <t>see ECO/R</t>
        </is>
      </c>
      <c r="D304" s="43" t="inlineStr">
        <is>
          <t>see ECO/R</t>
        </is>
      </c>
      <c r="E304" s="43" t="inlineStr">
        <is>
          <t>see ECO/R</t>
        </is>
      </c>
      <c r="F304" s="43" t="inlineStr">
        <is>
          <t>see ECO/R</t>
        </is>
      </c>
      <c r="G304" s="41">
        <f>ROUND((IF(38&lt;=20,$AD$217,IF(38&lt;=35,$AD$217+(38-20)*$AE$217,$AG$217+(38-35)*$AF$217)))*(1+$C$6),2)+ROUND(ROUND((IF(38&lt;=20,$AD$217,IF(38&lt;=35,$AD$217+(38-20)*$AE$217,$AG$217+(38-35)*$AF$217)))*(1+$C$6),2)*(IF($G$6="YES",$E$6,0)+IF($K$6="YES",$I$6,0)),2)</f>
        <v/>
      </c>
      <c r="H304" s="41">
        <f>ROUND((IF(38&lt;=20,$AD$218,IF(38&lt;=35,$AD$218+(38-20)*$AE$218,$AG$218+(38-35)*$AF$218)))*(1+$C$6),2)+ROUND(ROUND((IF(38&lt;=20,$AD$218,IF(38&lt;=35,$AD$218+(38-20)*$AE$218,$AG$218+(38-35)*$AF$218)))*(1+$C$6),2)*(IF($G$6="YES",$E$6,0)+IF($K$6="YES",$I$6,0)),2)</f>
        <v/>
      </c>
      <c r="I304" s="41">
        <f>ROUND((IF(38&lt;=2,$AD$219,$AD$219+(38-2)*$AE$219))*(1+$C$6),2)+ROUND(ROUND((IF(38&lt;=2,$AD$219,$AD$219+(38-2)*$AE$219))*(1+$C$6),2)*(IF($G$6="YES",$E$6,0)+IF($K$6="YES",$I$6,0)),2)+(38*$E$8*IF($C$8="YES",1,0))</f>
        <v/>
      </c>
      <c r="J304" s="42">
        <f>ROUND((IF(38&lt;=2,$AD$220,$AD$220+(38-2)*$AE$220))*(1+$C$6),2)+ROUND(ROUND((IF(38&lt;=2,$AD$220,$AD$220+(38-2)*$AE$220))*(1+$C$6),2)*(IF($G$6="YES",$E$6,0)+IF($K$6="YES",$I$6,0)),2)</f>
        <v/>
      </c>
    </row>
    <row r="305">
      <c r="B305" s="40" t="n">
        <v>39</v>
      </c>
      <c r="C305" s="43" t="inlineStr">
        <is>
          <t>see ECO/R</t>
        </is>
      </c>
      <c r="D305" s="43" t="inlineStr">
        <is>
          <t>see ECO/R</t>
        </is>
      </c>
      <c r="E305" s="43" t="inlineStr">
        <is>
          <t>see ECO/R</t>
        </is>
      </c>
      <c r="F305" s="43" t="inlineStr">
        <is>
          <t>see ECO/R</t>
        </is>
      </c>
      <c r="G305" s="41">
        <f>ROUND((IF(39&lt;=20,$AD$217,IF(39&lt;=35,$AD$217+(39-20)*$AE$217,$AG$217+(39-35)*$AF$217)))*(1+$C$6),2)+ROUND(ROUND((IF(39&lt;=20,$AD$217,IF(39&lt;=35,$AD$217+(39-20)*$AE$217,$AG$217+(39-35)*$AF$217)))*(1+$C$6),2)*(IF($G$6="YES",$E$6,0)+IF($K$6="YES",$I$6,0)),2)</f>
        <v/>
      </c>
      <c r="H305" s="41">
        <f>ROUND((IF(39&lt;=20,$AD$218,IF(39&lt;=35,$AD$218+(39-20)*$AE$218,$AG$218+(39-35)*$AF$218)))*(1+$C$6),2)+ROUND(ROUND((IF(39&lt;=20,$AD$218,IF(39&lt;=35,$AD$218+(39-20)*$AE$218,$AG$218+(39-35)*$AF$218)))*(1+$C$6),2)*(IF($G$6="YES",$E$6,0)+IF($K$6="YES",$I$6,0)),2)</f>
        <v/>
      </c>
      <c r="I305" s="41">
        <f>ROUND((IF(39&lt;=2,$AD$219,$AD$219+(39-2)*$AE$219))*(1+$C$6),2)+ROUND(ROUND((IF(39&lt;=2,$AD$219,$AD$219+(39-2)*$AE$219))*(1+$C$6),2)*(IF($G$6="YES",$E$6,0)+IF($K$6="YES",$I$6,0)),2)+(39*$E$8*IF($C$8="YES",1,0))</f>
        <v/>
      </c>
      <c r="J305" s="42">
        <f>ROUND((IF(39&lt;=2,$AD$220,$AD$220+(39-2)*$AE$220))*(1+$C$6),2)+ROUND(ROUND((IF(39&lt;=2,$AD$220,$AD$220+(39-2)*$AE$220))*(1+$C$6),2)*(IF($G$6="YES",$E$6,0)+IF($K$6="YES",$I$6,0)),2)</f>
        <v/>
      </c>
    </row>
    <row r="306">
      <c r="B306" s="44" t="n">
        <v>40</v>
      </c>
      <c r="C306" s="45" t="inlineStr">
        <is>
          <t>see ECO/R</t>
        </is>
      </c>
      <c r="D306" s="45" t="inlineStr">
        <is>
          <t>see ECO/R</t>
        </is>
      </c>
      <c r="E306" s="45" t="inlineStr">
        <is>
          <t>see ECO/R</t>
        </is>
      </c>
      <c r="F306" s="45" t="inlineStr">
        <is>
          <t>see ECO/R</t>
        </is>
      </c>
      <c r="G306" s="46">
        <f>ROUND((IF(40&lt;=20,$AD$217,IF(40&lt;=35,$AD$217+(40-20)*$AE$217,$AG$217+(40-35)*$AF$217)))*(1+$C$6),2)+ROUND(ROUND((IF(40&lt;=20,$AD$217,IF(40&lt;=35,$AD$217+(40-20)*$AE$217,$AG$217+(40-35)*$AF$217)))*(1+$C$6),2)*(IF($G$6="YES",$E$6,0)+IF($K$6="YES",$I$6,0)),2)</f>
        <v/>
      </c>
      <c r="H306" s="46">
        <f>ROUND((IF(40&lt;=20,$AD$218,IF(40&lt;=35,$AD$218+(40-20)*$AE$218,$AG$218+(40-35)*$AF$218)))*(1+$C$6),2)+ROUND(ROUND((IF(40&lt;=20,$AD$218,IF(40&lt;=35,$AD$218+(40-20)*$AE$218,$AG$218+(40-35)*$AF$218)))*(1+$C$6),2)*(IF($G$6="YES",$E$6,0)+IF($K$6="YES",$I$6,0)),2)</f>
        <v/>
      </c>
      <c r="I306" s="46">
        <f>ROUND((IF(40&lt;=2,$AD$219,$AD$219+(40-2)*$AE$219))*(1+$C$6),2)+ROUND(ROUND((IF(40&lt;=2,$AD$219,$AD$219+(40-2)*$AE$219))*(1+$C$6),2)*(IF($G$6="YES",$E$6,0)+IF($K$6="YES",$I$6,0)),2)+(40*$E$8*IF($C$8="YES",1,0))</f>
        <v/>
      </c>
      <c r="J306" s="47">
        <f>ROUND((IF(40&lt;=2,$AD$220,$AD$220+(40-2)*$AE$220))*(1+$C$6),2)+ROUND(ROUND((IF(40&lt;=2,$AD$220,$AD$220+(40-2)*$AE$220))*(1+$C$6),2)*(IF($G$6="YES",$E$6,0)+IF($K$6="YES",$I$6,0)),2)</f>
        <v/>
      </c>
    </row>
    <row r="307"/>
    <row r="308"/>
    <row r="309" ht="21.95" customHeight="1" s="98">
      <c r="B309" s="99" t="inlineStr">
        <is>
          <t>4.  Prepaid Online 2 Rate  —  Prepaid Online 2 card</t>
        </is>
      </c>
    </row>
    <row r="310" ht="30" customHeight="1" s="98">
      <c r="B310" s="18" t="inlineStr">
        <is>
          <t>Service</t>
        </is>
      </c>
      <c r="C310" s="19" t="inlineStr">
        <is>
          <t>Description</t>
        </is>
      </c>
      <c r="D310" s="19" t="inlineStr">
        <is>
          <t>Min charge
(excl VAT)</t>
        </is>
      </c>
      <c r="E310" s="19" t="inlineStr">
        <is>
          <t>Up to (kg)</t>
        </is>
      </c>
      <c r="F310" s="19" t="inlineStr">
        <is>
          <t>Rate/kg
thereafter (excl)</t>
        </is>
      </c>
      <c r="G310" s="19" t="inlineStr">
        <is>
          <t>Min charge
(incl VAT)</t>
        </is>
      </c>
      <c r="H310" s="19" t="inlineStr">
        <is>
          <t>Rate/kg
thereafter (incl)</t>
        </is>
      </c>
      <c r="I310" s="20" t="inlineStr">
        <is>
          <t>Notes</t>
        </is>
      </c>
    </row>
    <row r="311" ht="25.5" customHeight="1" s="98">
      <c r="B311" s="21" t="inlineStr">
        <is>
          <t>LPF-SC</t>
        </is>
      </c>
      <c r="C311" s="22" t="inlineStr">
        <is>
          <t>Local Priority Flyer — Same-City</t>
        </is>
      </c>
      <c r="D311" s="23">
        <f>$AD$311</f>
        <v/>
      </c>
      <c r="E311" s="24" t="n">
        <v>5</v>
      </c>
      <c r="F311" s="23">
        <f>$AE$311</f>
        <v/>
      </c>
      <c r="G311" s="23">
        <f>ROUND($AD$311*(1+$C$6),2)+ROUND(ROUND($AD$311*(1+$C$6),2)*(IF($G$6="YES",$E$6,0)+IF($K$6="YES",$I$6,0)),2)</f>
        <v/>
      </c>
      <c r="H311" s="23">
        <f>ROUND($AE$311*(1+$C$6),2)+ROUND(ROUND($AE$311*(1+$C$6),2)*(IF($G$6="YES",$E$6,0)+IF($K$6="YES",$I$6,0)),2)</f>
        <v/>
      </c>
      <c r="I311" s="25" t="inlineStr">
        <is>
          <t>Local service — beyond 35kg, priced at the ECO/R rate above.</t>
        </is>
      </c>
      <c r="AD311" s="26" t="n">
        <v>98.98</v>
      </c>
      <c r="AE311" s="26" t="n">
        <v>13.04</v>
      </c>
    </row>
    <row r="312" ht="25.5" customHeight="1" s="98">
      <c r="B312" s="27" t="inlineStr">
        <is>
          <t>LPF-R</t>
        </is>
      </c>
      <c r="C312" s="28" t="inlineStr">
        <is>
          <t>Local Priority Flyer — Regional</t>
        </is>
      </c>
      <c r="D312" s="29">
        <f>$AD$312</f>
        <v/>
      </c>
      <c r="E312" s="30" t="n">
        <v>5</v>
      </c>
      <c r="F312" s="29">
        <f>$AE$312</f>
        <v/>
      </c>
      <c r="G312" s="29">
        <f>ROUND($AD$312*(1+$C$6),2)+ROUND(ROUND($AD$312*(1+$C$6),2)*(IF($G$6="YES",$E$6,0)+IF($K$6="YES",$I$6,0)),2)</f>
        <v/>
      </c>
      <c r="H312" s="29">
        <f>ROUND($AE$312*(1+$C$6),2)+ROUND(ROUND($AE$312*(1+$C$6),2)*(IF($G$6="YES",$E$6,0)+IF($K$6="YES",$I$6,0)),2)</f>
        <v/>
      </c>
      <c r="I312" s="31" t="inlineStr">
        <is>
          <t>Local service — beyond 35kg, priced at the ECO/R rate above.</t>
        </is>
      </c>
      <c r="AD312" s="26" t="n">
        <v>115.13</v>
      </c>
      <c r="AE312" s="26" t="n">
        <v>13.04</v>
      </c>
    </row>
    <row r="313" ht="25.5" customHeight="1" s="98">
      <c r="B313" s="21" t="inlineStr">
        <is>
          <t>LPP-SC</t>
        </is>
      </c>
      <c r="C313" s="22" t="inlineStr">
        <is>
          <t>Local Priority Parcel — Same-City</t>
        </is>
      </c>
      <c r="D313" s="23">
        <f>$AD$313</f>
        <v/>
      </c>
      <c r="E313" s="24" t="n">
        <v>15</v>
      </c>
      <c r="F313" s="23">
        <f>$AE$313</f>
        <v/>
      </c>
      <c r="G313" s="23">
        <f>ROUND($AD$313*(1+$C$6),2)+ROUND(ROUND($AD$313*(1+$C$6),2)*(IF($G$6="YES",$E$6,0)+IF($K$6="YES",$I$6,0)),2)</f>
        <v/>
      </c>
      <c r="H313" s="23">
        <f>ROUND($AE$313*(1+$C$6),2)+ROUND(ROUND($AE$313*(1+$C$6),2)*(IF($G$6="YES",$E$6,0)+IF($K$6="YES",$I$6,0)),2)</f>
        <v/>
      </c>
      <c r="I313" s="25" t="inlineStr">
        <is>
          <t>Local service — beyond 35kg, priced at the ECO/R rate above.</t>
        </is>
      </c>
      <c r="AD313" s="26" t="n">
        <v>118.4</v>
      </c>
      <c r="AE313" s="26" t="n">
        <v>13.04</v>
      </c>
    </row>
    <row r="314" ht="25.5" customHeight="1" s="98">
      <c r="B314" s="27" t="inlineStr">
        <is>
          <t>LPP-R</t>
        </is>
      </c>
      <c r="C314" s="28" t="inlineStr">
        <is>
          <t>Local Priority Parcel — Regional</t>
        </is>
      </c>
      <c r="D314" s="29">
        <f>$AD$314</f>
        <v/>
      </c>
      <c r="E314" s="30" t="n">
        <v>15</v>
      </c>
      <c r="F314" s="29">
        <f>$AE$314</f>
        <v/>
      </c>
      <c r="G314" s="29">
        <f>ROUND($AD$314*(1+$C$6),2)+ROUND(ROUND($AD$314*(1+$C$6),2)*(IF($G$6="YES",$E$6,0)+IF($K$6="YES",$I$6,0)),2)</f>
        <v/>
      </c>
      <c r="H314" s="29">
        <f>ROUND($AE$314*(1+$C$6),2)+ROUND(ROUND($AE$314*(1+$C$6),2)*(IF($G$6="YES",$E$6,0)+IF($K$6="YES",$I$6,0)),2)</f>
        <v/>
      </c>
      <c r="I314" s="31" t="inlineStr">
        <is>
          <t>Local service — beyond 35kg, priced at the ECO/R rate above.</t>
        </is>
      </c>
      <c r="AD314" s="26" t="n">
        <v>129.17</v>
      </c>
      <c r="AE314" s="26" t="n">
        <v>13.04</v>
      </c>
    </row>
    <row r="315">
      <c r="B315" s="21" t="inlineStr">
        <is>
          <t>ECO</t>
        </is>
      </c>
      <c r="C315" s="22" t="inlineStr">
        <is>
          <t>Economy Road — National</t>
        </is>
      </c>
      <c r="D315" s="23">
        <f>$AD$315</f>
        <v/>
      </c>
      <c r="E315" s="24" t="n">
        <v>5</v>
      </c>
      <c r="F315" s="23">
        <f>$AE$315</f>
        <v/>
      </c>
      <c r="G315" s="23">
        <f>ROUND($AD$315*(1+$C$6),2)+ROUND(ROUND($AD$315*(1+$C$6),2)*(IF($G$6="YES",$E$6,0)+IF($K$6="YES",$I$6,0)),2)</f>
        <v/>
      </c>
      <c r="H315" s="23">
        <f>ROUND($AE$315*(1+$C$6),2)+ROUND(ROUND($AE$315*(1+$C$6),2)*(IF($G$6="YES",$E$6,0)+IF($K$6="YES",$I$6,0)),2)</f>
        <v/>
      </c>
      <c r="I315" s="25" t="n"/>
      <c r="AD315" s="26" t="n">
        <v>107.64</v>
      </c>
      <c r="AE315" s="26" t="n">
        <v>13.04</v>
      </c>
      <c r="AF315" s="26" t="n">
        <v>17.39</v>
      </c>
      <c r="AG315" s="26" t="n">
        <v>498.84</v>
      </c>
    </row>
    <row r="316">
      <c r="B316" s="27" t="inlineStr">
        <is>
          <t>ECOR</t>
        </is>
      </c>
      <c r="C316" s="28" t="inlineStr">
        <is>
          <t>Economy Road — Regional</t>
        </is>
      </c>
      <c r="D316" s="29">
        <f>$AD$316</f>
        <v/>
      </c>
      <c r="E316" s="30" t="n">
        <v>5</v>
      </c>
      <c r="F316" s="29">
        <f>$AE$316</f>
        <v/>
      </c>
      <c r="G316" s="29">
        <f>ROUND($AD$316*(1+$C$6),2)+ROUND(ROUND($AD$316*(1+$C$6),2)*(IF($G$6="YES",$E$6,0)+IF($K$6="YES",$I$6,0)),2)</f>
        <v/>
      </c>
      <c r="H316" s="29">
        <f>ROUND($AE$316*(1+$C$6),2)+ROUND(ROUND($AE$316*(1+$C$6),2)*(IF($G$6="YES",$E$6,0)+IF($K$6="YES",$I$6,0)),2)</f>
        <v/>
      </c>
      <c r="I316" s="31" t="n"/>
      <c r="AD316" s="26" t="n">
        <v>187.64</v>
      </c>
      <c r="AE316" s="26" t="n">
        <v>17.04</v>
      </c>
      <c r="AF316" s="26" t="n">
        <v>21.39</v>
      </c>
      <c r="AG316" s="26" t="n">
        <v>698.84</v>
      </c>
    </row>
    <row r="317">
      <c r="B317" s="21" t="inlineStr">
        <is>
          <t>PRI</t>
        </is>
      </c>
      <c r="C317" s="22" t="inlineStr">
        <is>
          <t>Priority Courier — National</t>
        </is>
      </c>
      <c r="D317" s="23">
        <f>$AD$317</f>
        <v/>
      </c>
      <c r="E317" s="24" t="n">
        <v>2</v>
      </c>
      <c r="F317" s="23">
        <f>$AE$317</f>
        <v/>
      </c>
      <c r="G317" s="23">
        <f>ROUND($AD$317*(1+$C$6),2)+ROUND(ROUND($AD$317*(1+$C$6),2)*(IF($G$6="YES",$E$6,0)+IF($K$6="YES",$I$6,0)),2)</f>
        <v/>
      </c>
      <c r="H317" s="23">
        <f>ROUND($AE$317*(1+$C$6),2)+ROUND(ROUND($AE$317*(1+$C$6),2)*(IF($G$6="YES",$E$6,0)+IF($K$6="YES",$I$6,0)),2)</f>
        <v/>
      </c>
      <c r="I317" s="25" t="inlineStr">
        <is>
          <t>May carry an additional R/kg airfreight surcharge on certain inter-zone routes - see Global Settings above.</t>
        </is>
      </c>
      <c r="AD317" s="26" t="n">
        <v>132.4</v>
      </c>
      <c r="AE317" s="26" t="n">
        <v>48</v>
      </c>
    </row>
    <row r="318">
      <c r="B318" s="48" t="inlineStr">
        <is>
          <t>PRIR</t>
        </is>
      </c>
      <c r="C318" s="49" t="inlineStr">
        <is>
          <t>Priority Courier — Regional</t>
        </is>
      </c>
      <c r="D318" s="50">
        <f>$AD$318</f>
        <v/>
      </c>
      <c r="E318" s="51" t="n">
        <v>2</v>
      </c>
      <c r="F318" s="50">
        <f>$AE$318</f>
        <v/>
      </c>
      <c r="G318" s="50">
        <f>ROUND($AD$318*(1+$C$6),2)+ROUND(ROUND($AD$318*(1+$C$6),2)*(IF($G$6="YES",$E$6,0)+IF($K$6="YES",$I$6,0)),2)</f>
        <v/>
      </c>
      <c r="H318" s="50">
        <f>ROUND($AE$318*(1+$C$6),2)+ROUND(ROUND($AE$318*(1+$C$6),2)*(IF($G$6="YES",$E$6,0)+IF($K$6="YES",$I$6,0)),2)</f>
        <v/>
      </c>
      <c r="I318" s="52" t="inlineStr">
        <is>
          <t>May carry an additional R/kg airfreight surcharge on certain inter-zone routes - see Global Settings above.</t>
        </is>
      </c>
      <c r="AD318" s="26" t="n">
        <v>217.4</v>
      </c>
      <c r="AE318" s="26" t="n">
        <v>52</v>
      </c>
    </row>
    <row r="319"/>
    <row r="320">
      <c r="B320" s="36" t="inlineStr">
        <is>
          <t>Weight-based price  —  VAT &amp; fuel levy EXCLUDED</t>
        </is>
      </c>
    </row>
    <row r="321" ht="18" customHeight="1" s="98">
      <c r="B321" s="18" t="inlineStr">
        <is>
          <t>Kg</t>
        </is>
      </c>
      <c r="C321" s="19" t="inlineStr">
        <is>
          <t>LPF-SC</t>
        </is>
      </c>
      <c r="D321" s="19" t="inlineStr">
        <is>
          <t>LPF-R</t>
        </is>
      </c>
      <c r="E321" s="19" t="inlineStr">
        <is>
          <t>LPP-SC</t>
        </is>
      </c>
      <c r="F321" s="19" t="inlineStr">
        <is>
          <t>LPP-R</t>
        </is>
      </c>
      <c r="G321" s="19" t="inlineStr">
        <is>
          <t>ECO</t>
        </is>
      </c>
      <c r="H321" s="19" t="inlineStr">
        <is>
          <t>ECOR</t>
        </is>
      </c>
      <c r="I321" s="19" t="inlineStr">
        <is>
          <t>PRI</t>
        </is>
      </c>
      <c r="J321" s="20" t="inlineStr">
        <is>
          <t>PRIR</t>
        </is>
      </c>
    </row>
    <row r="322">
      <c r="B322" s="37" t="n">
        <v>1</v>
      </c>
      <c r="C322" s="38">
        <f>IF(1&lt;=5,$AD$311,$AD$311+(1-5)*$AE$311)</f>
        <v/>
      </c>
      <c r="D322" s="38">
        <f>IF(1&lt;=5,$AD$312,$AD$312+(1-5)*$AE$312)</f>
        <v/>
      </c>
      <c r="E322" s="38">
        <f>IF(1&lt;=15,$AD$313,$AD$313+(1-15)*$AE$313)</f>
        <v/>
      </c>
      <c r="F322" s="38">
        <f>IF(1&lt;=15,$AD$314,$AD$314+(1-15)*$AE$314)</f>
        <v/>
      </c>
      <c r="G322" s="38">
        <f>IF(1&lt;=5,$AD$315,IF(1&lt;=35,$AD$315+(1-5)*$AE$315,$AG$315+(1-35)*$AF$315))</f>
        <v/>
      </c>
      <c r="H322" s="38">
        <f>IF(1&lt;=5,$AD$316,IF(1&lt;=35,$AD$316+(1-5)*$AE$316,$AG$316+(1-35)*$AF$316))</f>
        <v/>
      </c>
      <c r="I322" s="38">
        <f>IF(1&lt;=2,$AD$317,$AD$317+(1-2)*$AE$317)</f>
        <v/>
      </c>
      <c r="J322" s="39">
        <f>IF(1&lt;=2,$AD$318,$AD$318+(1-2)*$AE$318)</f>
        <v/>
      </c>
    </row>
    <row r="323">
      <c r="B323" s="37" t="n">
        <v>2</v>
      </c>
      <c r="C323" s="38">
        <f>IF(2&lt;=5,$AD$311,$AD$311+(2-5)*$AE$311)</f>
        <v/>
      </c>
      <c r="D323" s="38">
        <f>IF(2&lt;=5,$AD$312,$AD$312+(2-5)*$AE$312)</f>
        <v/>
      </c>
      <c r="E323" s="38">
        <f>IF(2&lt;=15,$AD$313,$AD$313+(2-15)*$AE$313)</f>
        <v/>
      </c>
      <c r="F323" s="38">
        <f>IF(2&lt;=15,$AD$314,$AD$314+(2-15)*$AE$314)</f>
        <v/>
      </c>
      <c r="G323" s="38">
        <f>IF(2&lt;=5,$AD$315,IF(2&lt;=35,$AD$315+(2-5)*$AE$315,$AG$315+(2-35)*$AF$315))</f>
        <v/>
      </c>
      <c r="H323" s="38">
        <f>IF(2&lt;=5,$AD$316,IF(2&lt;=35,$AD$316+(2-5)*$AE$316,$AG$316+(2-35)*$AF$316))</f>
        <v/>
      </c>
      <c r="I323" s="38">
        <f>IF(2&lt;=2,$AD$317,$AD$317+(2-2)*$AE$317)</f>
        <v/>
      </c>
      <c r="J323" s="39">
        <f>IF(2&lt;=2,$AD$318,$AD$318+(2-2)*$AE$318)</f>
        <v/>
      </c>
    </row>
    <row r="324">
      <c r="B324" s="37" t="n">
        <v>3</v>
      </c>
      <c r="C324" s="38">
        <f>IF(3&lt;=5,$AD$311,$AD$311+(3-5)*$AE$311)</f>
        <v/>
      </c>
      <c r="D324" s="38">
        <f>IF(3&lt;=5,$AD$312,$AD$312+(3-5)*$AE$312)</f>
        <v/>
      </c>
      <c r="E324" s="38">
        <f>IF(3&lt;=15,$AD$313,$AD$313+(3-15)*$AE$313)</f>
        <v/>
      </c>
      <c r="F324" s="38">
        <f>IF(3&lt;=15,$AD$314,$AD$314+(3-15)*$AE$314)</f>
        <v/>
      </c>
      <c r="G324" s="38">
        <f>IF(3&lt;=5,$AD$315,IF(3&lt;=35,$AD$315+(3-5)*$AE$315,$AG$315+(3-35)*$AF$315))</f>
        <v/>
      </c>
      <c r="H324" s="38">
        <f>IF(3&lt;=5,$AD$316,IF(3&lt;=35,$AD$316+(3-5)*$AE$316,$AG$316+(3-35)*$AF$316))</f>
        <v/>
      </c>
      <c r="I324" s="38">
        <f>IF(3&lt;=2,$AD$317,$AD$317+(3-2)*$AE$317)</f>
        <v/>
      </c>
      <c r="J324" s="39">
        <f>IF(3&lt;=2,$AD$318,$AD$318+(3-2)*$AE$318)</f>
        <v/>
      </c>
    </row>
    <row r="325">
      <c r="B325" s="37" t="n">
        <v>4</v>
      </c>
      <c r="C325" s="38">
        <f>IF(4&lt;=5,$AD$311,$AD$311+(4-5)*$AE$311)</f>
        <v/>
      </c>
      <c r="D325" s="38">
        <f>IF(4&lt;=5,$AD$312,$AD$312+(4-5)*$AE$312)</f>
        <v/>
      </c>
      <c r="E325" s="38">
        <f>IF(4&lt;=15,$AD$313,$AD$313+(4-15)*$AE$313)</f>
        <v/>
      </c>
      <c r="F325" s="38">
        <f>IF(4&lt;=15,$AD$314,$AD$314+(4-15)*$AE$314)</f>
        <v/>
      </c>
      <c r="G325" s="38">
        <f>IF(4&lt;=5,$AD$315,IF(4&lt;=35,$AD$315+(4-5)*$AE$315,$AG$315+(4-35)*$AF$315))</f>
        <v/>
      </c>
      <c r="H325" s="38">
        <f>IF(4&lt;=5,$AD$316,IF(4&lt;=35,$AD$316+(4-5)*$AE$316,$AG$316+(4-35)*$AF$316))</f>
        <v/>
      </c>
      <c r="I325" s="38">
        <f>IF(4&lt;=2,$AD$317,$AD$317+(4-2)*$AE$317)</f>
        <v/>
      </c>
      <c r="J325" s="39">
        <f>IF(4&lt;=2,$AD$318,$AD$318+(4-2)*$AE$318)</f>
        <v/>
      </c>
    </row>
    <row r="326">
      <c r="B326" s="37" t="n">
        <v>5</v>
      </c>
      <c r="C326" s="38">
        <f>IF(5&lt;=5,$AD$311,$AD$311+(5-5)*$AE$311)</f>
        <v/>
      </c>
      <c r="D326" s="38">
        <f>IF(5&lt;=5,$AD$312,$AD$312+(5-5)*$AE$312)</f>
        <v/>
      </c>
      <c r="E326" s="38">
        <f>IF(5&lt;=15,$AD$313,$AD$313+(5-15)*$AE$313)</f>
        <v/>
      </c>
      <c r="F326" s="38">
        <f>IF(5&lt;=15,$AD$314,$AD$314+(5-15)*$AE$314)</f>
        <v/>
      </c>
      <c r="G326" s="38">
        <f>IF(5&lt;=5,$AD$315,IF(5&lt;=35,$AD$315+(5-5)*$AE$315,$AG$315+(5-35)*$AF$315))</f>
        <v/>
      </c>
      <c r="H326" s="38">
        <f>IF(5&lt;=5,$AD$316,IF(5&lt;=35,$AD$316+(5-5)*$AE$316,$AG$316+(5-35)*$AF$316))</f>
        <v/>
      </c>
      <c r="I326" s="38">
        <f>IF(5&lt;=2,$AD$317,$AD$317+(5-2)*$AE$317)</f>
        <v/>
      </c>
      <c r="J326" s="39">
        <f>IF(5&lt;=2,$AD$318,$AD$318+(5-2)*$AE$318)</f>
        <v/>
      </c>
    </row>
    <row r="327">
      <c r="B327" s="40" t="n">
        <v>6</v>
      </c>
      <c r="C327" s="41">
        <f>IF(6&lt;=5,$AD$311,$AD$311+(6-5)*$AE$311)</f>
        <v/>
      </c>
      <c r="D327" s="41">
        <f>IF(6&lt;=5,$AD$312,$AD$312+(6-5)*$AE$312)</f>
        <v/>
      </c>
      <c r="E327" s="41">
        <f>IF(6&lt;=15,$AD$313,$AD$313+(6-15)*$AE$313)</f>
        <v/>
      </c>
      <c r="F327" s="41">
        <f>IF(6&lt;=15,$AD$314,$AD$314+(6-15)*$AE$314)</f>
        <v/>
      </c>
      <c r="G327" s="41">
        <f>IF(6&lt;=5,$AD$315,IF(6&lt;=35,$AD$315+(6-5)*$AE$315,$AG$315+(6-35)*$AF$315))</f>
        <v/>
      </c>
      <c r="H327" s="41">
        <f>IF(6&lt;=5,$AD$316,IF(6&lt;=35,$AD$316+(6-5)*$AE$316,$AG$316+(6-35)*$AF$316))</f>
        <v/>
      </c>
      <c r="I327" s="41">
        <f>IF(6&lt;=2,$AD$317,$AD$317+(6-2)*$AE$317)</f>
        <v/>
      </c>
      <c r="J327" s="42">
        <f>IF(6&lt;=2,$AD$318,$AD$318+(6-2)*$AE$318)</f>
        <v/>
      </c>
    </row>
    <row r="328">
      <c r="B328" s="40" t="n">
        <v>7</v>
      </c>
      <c r="C328" s="41">
        <f>IF(7&lt;=5,$AD$311,$AD$311+(7-5)*$AE$311)</f>
        <v/>
      </c>
      <c r="D328" s="41">
        <f>IF(7&lt;=5,$AD$312,$AD$312+(7-5)*$AE$312)</f>
        <v/>
      </c>
      <c r="E328" s="41">
        <f>IF(7&lt;=15,$AD$313,$AD$313+(7-15)*$AE$313)</f>
        <v/>
      </c>
      <c r="F328" s="41">
        <f>IF(7&lt;=15,$AD$314,$AD$314+(7-15)*$AE$314)</f>
        <v/>
      </c>
      <c r="G328" s="41">
        <f>IF(7&lt;=5,$AD$315,IF(7&lt;=35,$AD$315+(7-5)*$AE$315,$AG$315+(7-35)*$AF$315))</f>
        <v/>
      </c>
      <c r="H328" s="41">
        <f>IF(7&lt;=5,$AD$316,IF(7&lt;=35,$AD$316+(7-5)*$AE$316,$AG$316+(7-35)*$AF$316))</f>
        <v/>
      </c>
      <c r="I328" s="41">
        <f>IF(7&lt;=2,$AD$317,$AD$317+(7-2)*$AE$317)</f>
        <v/>
      </c>
      <c r="J328" s="42">
        <f>IF(7&lt;=2,$AD$318,$AD$318+(7-2)*$AE$318)</f>
        <v/>
      </c>
    </row>
    <row r="329">
      <c r="B329" s="40" t="n">
        <v>8</v>
      </c>
      <c r="C329" s="41">
        <f>IF(8&lt;=5,$AD$311,$AD$311+(8-5)*$AE$311)</f>
        <v/>
      </c>
      <c r="D329" s="41">
        <f>IF(8&lt;=5,$AD$312,$AD$312+(8-5)*$AE$312)</f>
        <v/>
      </c>
      <c r="E329" s="41">
        <f>IF(8&lt;=15,$AD$313,$AD$313+(8-15)*$AE$313)</f>
        <v/>
      </c>
      <c r="F329" s="41">
        <f>IF(8&lt;=15,$AD$314,$AD$314+(8-15)*$AE$314)</f>
        <v/>
      </c>
      <c r="G329" s="41">
        <f>IF(8&lt;=5,$AD$315,IF(8&lt;=35,$AD$315+(8-5)*$AE$315,$AG$315+(8-35)*$AF$315))</f>
        <v/>
      </c>
      <c r="H329" s="41">
        <f>IF(8&lt;=5,$AD$316,IF(8&lt;=35,$AD$316+(8-5)*$AE$316,$AG$316+(8-35)*$AF$316))</f>
        <v/>
      </c>
      <c r="I329" s="41">
        <f>IF(8&lt;=2,$AD$317,$AD$317+(8-2)*$AE$317)</f>
        <v/>
      </c>
      <c r="J329" s="42">
        <f>IF(8&lt;=2,$AD$318,$AD$318+(8-2)*$AE$318)</f>
        <v/>
      </c>
    </row>
    <row r="330">
      <c r="B330" s="40" t="n">
        <v>9</v>
      </c>
      <c r="C330" s="41">
        <f>IF(9&lt;=5,$AD$311,$AD$311+(9-5)*$AE$311)</f>
        <v/>
      </c>
      <c r="D330" s="41">
        <f>IF(9&lt;=5,$AD$312,$AD$312+(9-5)*$AE$312)</f>
        <v/>
      </c>
      <c r="E330" s="41">
        <f>IF(9&lt;=15,$AD$313,$AD$313+(9-15)*$AE$313)</f>
        <v/>
      </c>
      <c r="F330" s="41">
        <f>IF(9&lt;=15,$AD$314,$AD$314+(9-15)*$AE$314)</f>
        <v/>
      </c>
      <c r="G330" s="41">
        <f>IF(9&lt;=5,$AD$315,IF(9&lt;=35,$AD$315+(9-5)*$AE$315,$AG$315+(9-35)*$AF$315))</f>
        <v/>
      </c>
      <c r="H330" s="41">
        <f>IF(9&lt;=5,$AD$316,IF(9&lt;=35,$AD$316+(9-5)*$AE$316,$AG$316+(9-35)*$AF$316))</f>
        <v/>
      </c>
      <c r="I330" s="41">
        <f>IF(9&lt;=2,$AD$317,$AD$317+(9-2)*$AE$317)</f>
        <v/>
      </c>
      <c r="J330" s="42">
        <f>IF(9&lt;=2,$AD$318,$AD$318+(9-2)*$AE$318)</f>
        <v/>
      </c>
    </row>
    <row r="331">
      <c r="B331" s="40" t="n">
        <v>10</v>
      </c>
      <c r="C331" s="41">
        <f>IF(10&lt;=5,$AD$311,$AD$311+(10-5)*$AE$311)</f>
        <v/>
      </c>
      <c r="D331" s="41">
        <f>IF(10&lt;=5,$AD$312,$AD$312+(10-5)*$AE$312)</f>
        <v/>
      </c>
      <c r="E331" s="41">
        <f>IF(10&lt;=15,$AD$313,$AD$313+(10-15)*$AE$313)</f>
        <v/>
      </c>
      <c r="F331" s="41">
        <f>IF(10&lt;=15,$AD$314,$AD$314+(10-15)*$AE$314)</f>
        <v/>
      </c>
      <c r="G331" s="41">
        <f>IF(10&lt;=5,$AD$315,IF(10&lt;=35,$AD$315+(10-5)*$AE$315,$AG$315+(10-35)*$AF$315))</f>
        <v/>
      </c>
      <c r="H331" s="41">
        <f>IF(10&lt;=5,$AD$316,IF(10&lt;=35,$AD$316+(10-5)*$AE$316,$AG$316+(10-35)*$AF$316))</f>
        <v/>
      </c>
      <c r="I331" s="41">
        <f>IF(10&lt;=2,$AD$317,$AD$317+(10-2)*$AE$317)</f>
        <v/>
      </c>
      <c r="J331" s="42">
        <f>IF(10&lt;=2,$AD$318,$AD$318+(10-2)*$AE$318)</f>
        <v/>
      </c>
    </row>
    <row r="332">
      <c r="B332" s="37" t="n">
        <v>11</v>
      </c>
      <c r="C332" s="38">
        <f>IF(11&lt;=5,$AD$311,$AD$311+(11-5)*$AE$311)</f>
        <v/>
      </c>
      <c r="D332" s="38">
        <f>IF(11&lt;=5,$AD$312,$AD$312+(11-5)*$AE$312)</f>
        <v/>
      </c>
      <c r="E332" s="38">
        <f>IF(11&lt;=15,$AD$313,$AD$313+(11-15)*$AE$313)</f>
        <v/>
      </c>
      <c r="F332" s="38">
        <f>IF(11&lt;=15,$AD$314,$AD$314+(11-15)*$AE$314)</f>
        <v/>
      </c>
      <c r="G332" s="38">
        <f>IF(11&lt;=5,$AD$315,IF(11&lt;=35,$AD$315+(11-5)*$AE$315,$AG$315+(11-35)*$AF$315))</f>
        <v/>
      </c>
      <c r="H332" s="38">
        <f>IF(11&lt;=5,$AD$316,IF(11&lt;=35,$AD$316+(11-5)*$AE$316,$AG$316+(11-35)*$AF$316))</f>
        <v/>
      </c>
      <c r="I332" s="38">
        <f>IF(11&lt;=2,$AD$317,$AD$317+(11-2)*$AE$317)</f>
        <v/>
      </c>
      <c r="J332" s="39">
        <f>IF(11&lt;=2,$AD$318,$AD$318+(11-2)*$AE$318)</f>
        <v/>
      </c>
    </row>
    <row r="333">
      <c r="B333" s="37" t="n">
        <v>12</v>
      </c>
      <c r="C333" s="38">
        <f>IF(12&lt;=5,$AD$311,$AD$311+(12-5)*$AE$311)</f>
        <v/>
      </c>
      <c r="D333" s="38">
        <f>IF(12&lt;=5,$AD$312,$AD$312+(12-5)*$AE$312)</f>
        <v/>
      </c>
      <c r="E333" s="38">
        <f>IF(12&lt;=15,$AD$313,$AD$313+(12-15)*$AE$313)</f>
        <v/>
      </c>
      <c r="F333" s="38">
        <f>IF(12&lt;=15,$AD$314,$AD$314+(12-15)*$AE$314)</f>
        <v/>
      </c>
      <c r="G333" s="38">
        <f>IF(12&lt;=5,$AD$315,IF(12&lt;=35,$AD$315+(12-5)*$AE$315,$AG$315+(12-35)*$AF$315))</f>
        <v/>
      </c>
      <c r="H333" s="38">
        <f>IF(12&lt;=5,$AD$316,IF(12&lt;=35,$AD$316+(12-5)*$AE$316,$AG$316+(12-35)*$AF$316))</f>
        <v/>
      </c>
      <c r="I333" s="38">
        <f>IF(12&lt;=2,$AD$317,$AD$317+(12-2)*$AE$317)</f>
        <v/>
      </c>
      <c r="J333" s="39">
        <f>IF(12&lt;=2,$AD$318,$AD$318+(12-2)*$AE$318)</f>
        <v/>
      </c>
    </row>
    <row r="334">
      <c r="B334" s="37" t="n">
        <v>13</v>
      </c>
      <c r="C334" s="38">
        <f>IF(13&lt;=5,$AD$311,$AD$311+(13-5)*$AE$311)</f>
        <v/>
      </c>
      <c r="D334" s="38">
        <f>IF(13&lt;=5,$AD$312,$AD$312+(13-5)*$AE$312)</f>
        <v/>
      </c>
      <c r="E334" s="38">
        <f>IF(13&lt;=15,$AD$313,$AD$313+(13-15)*$AE$313)</f>
        <v/>
      </c>
      <c r="F334" s="38">
        <f>IF(13&lt;=15,$AD$314,$AD$314+(13-15)*$AE$314)</f>
        <v/>
      </c>
      <c r="G334" s="38">
        <f>IF(13&lt;=5,$AD$315,IF(13&lt;=35,$AD$315+(13-5)*$AE$315,$AG$315+(13-35)*$AF$315))</f>
        <v/>
      </c>
      <c r="H334" s="38">
        <f>IF(13&lt;=5,$AD$316,IF(13&lt;=35,$AD$316+(13-5)*$AE$316,$AG$316+(13-35)*$AF$316))</f>
        <v/>
      </c>
      <c r="I334" s="38">
        <f>IF(13&lt;=2,$AD$317,$AD$317+(13-2)*$AE$317)</f>
        <v/>
      </c>
      <c r="J334" s="39">
        <f>IF(13&lt;=2,$AD$318,$AD$318+(13-2)*$AE$318)</f>
        <v/>
      </c>
    </row>
    <row r="335">
      <c r="B335" s="37" t="n">
        <v>14</v>
      </c>
      <c r="C335" s="38">
        <f>IF(14&lt;=5,$AD$311,$AD$311+(14-5)*$AE$311)</f>
        <v/>
      </c>
      <c r="D335" s="38">
        <f>IF(14&lt;=5,$AD$312,$AD$312+(14-5)*$AE$312)</f>
        <v/>
      </c>
      <c r="E335" s="38">
        <f>IF(14&lt;=15,$AD$313,$AD$313+(14-15)*$AE$313)</f>
        <v/>
      </c>
      <c r="F335" s="38">
        <f>IF(14&lt;=15,$AD$314,$AD$314+(14-15)*$AE$314)</f>
        <v/>
      </c>
      <c r="G335" s="38">
        <f>IF(14&lt;=5,$AD$315,IF(14&lt;=35,$AD$315+(14-5)*$AE$315,$AG$315+(14-35)*$AF$315))</f>
        <v/>
      </c>
      <c r="H335" s="38">
        <f>IF(14&lt;=5,$AD$316,IF(14&lt;=35,$AD$316+(14-5)*$AE$316,$AG$316+(14-35)*$AF$316))</f>
        <v/>
      </c>
      <c r="I335" s="38">
        <f>IF(14&lt;=2,$AD$317,$AD$317+(14-2)*$AE$317)</f>
        <v/>
      </c>
      <c r="J335" s="39">
        <f>IF(14&lt;=2,$AD$318,$AD$318+(14-2)*$AE$318)</f>
        <v/>
      </c>
    </row>
    <row r="336">
      <c r="B336" s="37" t="n">
        <v>15</v>
      </c>
      <c r="C336" s="38">
        <f>IF(15&lt;=5,$AD$311,$AD$311+(15-5)*$AE$311)</f>
        <v/>
      </c>
      <c r="D336" s="38">
        <f>IF(15&lt;=5,$AD$312,$AD$312+(15-5)*$AE$312)</f>
        <v/>
      </c>
      <c r="E336" s="38">
        <f>IF(15&lt;=15,$AD$313,$AD$313+(15-15)*$AE$313)</f>
        <v/>
      </c>
      <c r="F336" s="38">
        <f>IF(15&lt;=15,$AD$314,$AD$314+(15-15)*$AE$314)</f>
        <v/>
      </c>
      <c r="G336" s="38">
        <f>IF(15&lt;=5,$AD$315,IF(15&lt;=35,$AD$315+(15-5)*$AE$315,$AG$315+(15-35)*$AF$315))</f>
        <v/>
      </c>
      <c r="H336" s="38">
        <f>IF(15&lt;=5,$AD$316,IF(15&lt;=35,$AD$316+(15-5)*$AE$316,$AG$316+(15-35)*$AF$316))</f>
        <v/>
      </c>
      <c r="I336" s="38">
        <f>IF(15&lt;=2,$AD$317,$AD$317+(15-2)*$AE$317)</f>
        <v/>
      </c>
      <c r="J336" s="39">
        <f>IF(15&lt;=2,$AD$318,$AD$318+(15-2)*$AE$318)</f>
        <v/>
      </c>
    </row>
    <row r="337">
      <c r="B337" s="40" t="n">
        <v>16</v>
      </c>
      <c r="C337" s="41">
        <f>IF(16&lt;=5,$AD$311,$AD$311+(16-5)*$AE$311)</f>
        <v/>
      </c>
      <c r="D337" s="41">
        <f>IF(16&lt;=5,$AD$312,$AD$312+(16-5)*$AE$312)</f>
        <v/>
      </c>
      <c r="E337" s="41">
        <f>IF(16&lt;=15,$AD$313,$AD$313+(16-15)*$AE$313)</f>
        <v/>
      </c>
      <c r="F337" s="41">
        <f>IF(16&lt;=15,$AD$314,$AD$314+(16-15)*$AE$314)</f>
        <v/>
      </c>
      <c r="G337" s="41">
        <f>IF(16&lt;=5,$AD$315,IF(16&lt;=35,$AD$315+(16-5)*$AE$315,$AG$315+(16-35)*$AF$315))</f>
        <v/>
      </c>
      <c r="H337" s="41">
        <f>IF(16&lt;=5,$AD$316,IF(16&lt;=35,$AD$316+(16-5)*$AE$316,$AG$316+(16-35)*$AF$316))</f>
        <v/>
      </c>
      <c r="I337" s="41">
        <f>IF(16&lt;=2,$AD$317,$AD$317+(16-2)*$AE$317)</f>
        <v/>
      </c>
      <c r="J337" s="42">
        <f>IF(16&lt;=2,$AD$318,$AD$318+(16-2)*$AE$318)</f>
        <v/>
      </c>
    </row>
    <row r="338">
      <c r="B338" s="40" t="n">
        <v>17</v>
      </c>
      <c r="C338" s="41">
        <f>IF(17&lt;=5,$AD$311,$AD$311+(17-5)*$AE$311)</f>
        <v/>
      </c>
      <c r="D338" s="41">
        <f>IF(17&lt;=5,$AD$312,$AD$312+(17-5)*$AE$312)</f>
        <v/>
      </c>
      <c r="E338" s="41">
        <f>IF(17&lt;=15,$AD$313,$AD$313+(17-15)*$AE$313)</f>
        <v/>
      </c>
      <c r="F338" s="41">
        <f>IF(17&lt;=15,$AD$314,$AD$314+(17-15)*$AE$314)</f>
        <v/>
      </c>
      <c r="G338" s="41">
        <f>IF(17&lt;=5,$AD$315,IF(17&lt;=35,$AD$315+(17-5)*$AE$315,$AG$315+(17-35)*$AF$315))</f>
        <v/>
      </c>
      <c r="H338" s="41">
        <f>IF(17&lt;=5,$AD$316,IF(17&lt;=35,$AD$316+(17-5)*$AE$316,$AG$316+(17-35)*$AF$316))</f>
        <v/>
      </c>
      <c r="I338" s="41">
        <f>IF(17&lt;=2,$AD$317,$AD$317+(17-2)*$AE$317)</f>
        <v/>
      </c>
      <c r="J338" s="42">
        <f>IF(17&lt;=2,$AD$318,$AD$318+(17-2)*$AE$318)</f>
        <v/>
      </c>
    </row>
    <row r="339">
      <c r="B339" s="40" t="n">
        <v>18</v>
      </c>
      <c r="C339" s="41">
        <f>IF(18&lt;=5,$AD$311,$AD$311+(18-5)*$AE$311)</f>
        <v/>
      </c>
      <c r="D339" s="41">
        <f>IF(18&lt;=5,$AD$312,$AD$312+(18-5)*$AE$312)</f>
        <v/>
      </c>
      <c r="E339" s="41">
        <f>IF(18&lt;=15,$AD$313,$AD$313+(18-15)*$AE$313)</f>
        <v/>
      </c>
      <c r="F339" s="41">
        <f>IF(18&lt;=15,$AD$314,$AD$314+(18-15)*$AE$314)</f>
        <v/>
      </c>
      <c r="G339" s="41">
        <f>IF(18&lt;=5,$AD$315,IF(18&lt;=35,$AD$315+(18-5)*$AE$315,$AG$315+(18-35)*$AF$315))</f>
        <v/>
      </c>
      <c r="H339" s="41">
        <f>IF(18&lt;=5,$AD$316,IF(18&lt;=35,$AD$316+(18-5)*$AE$316,$AG$316+(18-35)*$AF$316))</f>
        <v/>
      </c>
      <c r="I339" s="41">
        <f>IF(18&lt;=2,$AD$317,$AD$317+(18-2)*$AE$317)</f>
        <v/>
      </c>
      <c r="J339" s="42">
        <f>IF(18&lt;=2,$AD$318,$AD$318+(18-2)*$AE$318)</f>
        <v/>
      </c>
    </row>
    <row r="340">
      <c r="B340" s="40" t="n">
        <v>19</v>
      </c>
      <c r="C340" s="41">
        <f>IF(19&lt;=5,$AD$311,$AD$311+(19-5)*$AE$311)</f>
        <v/>
      </c>
      <c r="D340" s="41">
        <f>IF(19&lt;=5,$AD$312,$AD$312+(19-5)*$AE$312)</f>
        <v/>
      </c>
      <c r="E340" s="41">
        <f>IF(19&lt;=15,$AD$313,$AD$313+(19-15)*$AE$313)</f>
        <v/>
      </c>
      <c r="F340" s="41">
        <f>IF(19&lt;=15,$AD$314,$AD$314+(19-15)*$AE$314)</f>
        <v/>
      </c>
      <c r="G340" s="41">
        <f>IF(19&lt;=5,$AD$315,IF(19&lt;=35,$AD$315+(19-5)*$AE$315,$AG$315+(19-35)*$AF$315))</f>
        <v/>
      </c>
      <c r="H340" s="41">
        <f>IF(19&lt;=5,$AD$316,IF(19&lt;=35,$AD$316+(19-5)*$AE$316,$AG$316+(19-35)*$AF$316))</f>
        <v/>
      </c>
      <c r="I340" s="41">
        <f>IF(19&lt;=2,$AD$317,$AD$317+(19-2)*$AE$317)</f>
        <v/>
      </c>
      <c r="J340" s="42">
        <f>IF(19&lt;=2,$AD$318,$AD$318+(19-2)*$AE$318)</f>
        <v/>
      </c>
    </row>
    <row r="341">
      <c r="B341" s="40" t="n">
        <v>20</v>
      </c>
      <c r="C341" s="41">
        <f>IF(20&lt;=5,$AD$311,$AD$311+(20-5)*$AE$311)</f>
        <v/>
      </c>
      <c r="D341" s="41">
        <f>IF(20&lt;=5,$AD$312,$AD$312+(20-5)*$AE$312)</f>
        <v/>
      </c>
      <c r="E341" s="41">
        <f>IF(20&lt;=15,$AD$313,$AD$313+(20-15)*$AE$313)</f>
        <v/>
      </c>
      <c r="F341" s="41">
        <f>IF(20&lt;=15,$AD$314,$AD$314+(20-15)*$AE$314)</f>
        <v/>
      </c>
      <c r="G341" s="41">
        <f>IF(20&lt;=5,$AD$315,IF(20&lt;=35,$AD$315+(20-5)*$AE$315,$AG$315+(20-35)*$AF$315))</f>
        <v/>
      </c>
      <c r="H341" s="41">
        <f>IF(20&lt;=5,$AD$316,IF(20&lt;=35,$AD$316+(20-5)*$AE$316,$AG$316+(20-35)*$AF$316))</f>
        <v/>
      </c>
      <c r="I341" s="41">
        <f>IF(20&lt;=2,$AD$317,$AD$317+(20-2)*$AE$317)</f>
        <v/>
      </c>
      <c r="J341" s="42">
        <f>IF(20&lt;=2,$AD$318,$AD$318+(20-2)*$AE$318)</f>
        <v/>
      </c>
    </row>
    <row r="342">
      <c r="B342" s="37" t="n">
        <v>21</v>
      </c>
      <c r="C342" s="38">
        <f>IF(21&lt;=5,$AD$311,$AD$311+(21-5)*$AE$311)</f>
        <v/>
      </c>
      <c r="D342" s="38">
        <f>IF(21&lt;=5,$AD$312,$AD$312+(21-5)*$AE$312)</f>
        <v/>
      </c>
      <c r="E342" s="38">
        <f>IF(21&lt;=15,$AD$313,$AD$313+(21-15)*$AE$313)</f>
        <v/>
      </c>
      <c r="F342" s="38">
        <f>IF(21&lt;=15,$AD$314,$AD$314+(21-15)*$AE$314)</f>
        <v/>
      </c>
      <c r="G342" s="38">
        <f>IF(21&lt;=5,$AD$315,IF(21&lt;=35,$AD$315+(21-5)*$AE$315,$AG$315+(21-35)*$AF$315))</f>
        <v/>
      </c>
      <c r="H342" s="38">
        <f>IF(21&lt;=5,$AD$316,IF(21&lt;=35,$AD$316+(21-5)*$AE$316,$AG$316+(21-35)*$AF$316))</f>
        <v/>
      </c>
      <c r="I342" s="38">
        <f>IF(21&lt;=2,$AD$317,$AD$317+(21-2)*$AE$317)</f>
        <v/>
      </c>
      <c r="J342" s="39">
        <f>IF(21&lt;=2,$AD$318,$AD$318+(21-2)*$AE$318)</f>
        <v/>
      </c>
    </row>
    <row r="343">
      <c r="B343" s="37" t="n">
        <v>22</v>
      </c>
      <c r="C343" s="38">
        <f>IF(22&lt;=5,$AD$311,$AD$311+(22-5)*$AE$311)</f>
        <v/>
      </c>
      <c r="D343" s="38">
        <f>IF(22&lt;=5,$AD$312,$AD$312+(22-5)*$AE$312)</f>
        <v/>
      </c>
      <c r="E343" s="38">
        <f>IF(22&lt;=15,$AD$313,$AD$313+(22-15)*$AE$313)</f>
        <v/>
      </c>
      <c r="F343" s="38">
        <f>IF(22&lt;=15,$AD$314,$AD$314+(22-15)*$AE$314)</f>
        <v/>
      </c>
      <c r="G343" s="38">
        <f>IF(22&lt;=5,$AD$315,IF(22&lt;=35,$AD$315+(22-5)*$AE$315,$AG$315+(22-35)*$AF$315))</f>
        <v/>
      </c>
      <c r="H343" s="38">
        <f>IF(22&lt;=5,$AD$316,IF(22&lt;=35,$AD$316+(22-5)*$AE$316,$AG$316+(22-35)*$AF$316))</f>
        <v/>
      </c>
      <c r="I343" s="38">
        <f>IF(22&lt;=2,$AD$317,$AD$317+(22-2)*$AE$317)</f>
        <v/>
      </c>
      <c r="J343" s="39">
        <f>IF(22&lt;=2,$AD$318,$AD$318+(22-2)*$AE$318)</f>
        <v/>
      </c>
    </row>
    <row r="344">
      <c r="B344" s="37" t="n">
        <v>23</v>
      </c>
      <c r="C344" s="38">
        <f>IF(23&lt;=5,$AD$311,$AD$311+(23-5)*$AE$311)</f>
        <v/>
      </c>
      <c r="D344" s="38">
        <f>IF(23&lt;=5,$AD$312,$AD$312+(23-5)*$AE$312)</f>
        <v/>
      </c>
      <c r="E344" s="38">
        <f>IF(23&lt;=15,$AD$313,$AD$313+(23-15)*$AE$313)</f>
        <v/>
      </c>
      <c r="F344" s="38">
        <f>IF(23&lt;=15,$AD$314,$AD$314+(23-15)*$AE$314)</f>
        <v/>
      </c>
      <c r="G344" s="38">
        <f>IF(23&lt;=5,$AD$315,IF(23&lt;=35,$AD$315+(23-5)*$AE$315,$AG$315+(23-35)*$AF$315))</f>
        <v/>
      </c>
      <c r="H344" s="38">
        <f>IF(23&lt;=5,$AD$316,IF(23&lt;=35,$AD$316+(23-5)*$AE$316,$AG$316+(23-35)*$AF$316))</f>
        <v/>
      </c>
      <c r="I344" s="38">
        <f>IF(23&lt;=2,$AD$317,$AD$317+(23-2)*$AE$317)</f>
        <v/>
      </c>
      <c r="J344" s="39">
        <f>IF(23&lt;=2,$AD$318,$AD$318+(23-2)*$AE$318)</f>
        <v/>
      </c>
    </row>
    <row r="345">
      <c r="B345" s="37" t="n">
        <v>24</v>
      </c>
      <c r="C345" s="38">
        <f>IF(24&lt;=5,$AD$311,$AD$311+(24-5)*$AE$311)</f>
        <v/>
      </c>
      <c r="D345" s="38">
        <f>IF(24&lt;=5,$AD$312,$AD$312+(24-5)*$AE$312)</f>
        <v/>
      </c>
      <c r="E345" s="38">
        <f>IF(24&lt;=15,$AD$313,$AD$313+(24-15)*$AE$313)</f>
        <v/>
      </c>
      <c r="F345" s="38">
        <f>IF(24&lt;=15,$AD$314,$AD$314+(24-15)*$AE$314)</f>
        <v/>
      </c>
      <c r="G345" s="38">
        <f>IF(24&lt;=5,$AD$315,IF(24&lt;=35,$AD$315+(24-5)*$AE$315,$AG$315+(24-35)*$AF$315))</f>
        <v/>
      </c>
      <c r="H345" s="38">
        <f>IF(24&lt;=5,$AD$316,IF(24&lt;=35,$AD$316+(24-5)*$AE$316,$AG$316+(24-35)*$AF$316))</f>
        <v/>
      </c>
      <c r="I345" s="38">
        <f>IF(24&lt;=2,$AD$317,$AD$317+(24-2)*$AE$317)</f>
        <v/>
      </c>
      <c r="J345" s="39">
        <f>IF(24&lt;=2,$AD$318,$AD$318+(24-2)*$AE$318)</f>
        <v/>
      </c>
    </row>
    <row r="346">
      <c r="B346" s="37" t="n">
        <v>25</v>
      </c>
      <c r="C346" s="38">
        <f>IF(25&lt;=5,$AD$311,$AD$311+(25-5)*$AE$311)</f>
        <v/>
      </c>
      <c r="D346" s="38">
        <f>IF(25&lt;=5,$AD$312,$AD$312+(25-5)*$AE$312)</f>
        <v/>
      </c>
      <c r="E346" s="38">
        <f>IF(25&lt;=15,$AD$313,$AD$313+(25-15)*$AE$313)</f>
        <v/>
      </c>
      <c r="F346" s="38">
        <f>IF(25&lt;=15,$AD$314,$AD$314+(25-15)*$AE$314)</f>
        <v/>
      </c>
      <c r="G346" s="38">
        <f>IF(25&lt;=5,$AD$315,IF(25&lt;=35,$AD$315+(25-5)*$AE$315,$AG$315+(25-35)*$AF$315))</f>
        <v/>
      </c>
      <c r="H346" s="38">
        <f>IF(25&lt;=5,$AD$316,IF(25&lt;=35,$AD$316+(25-5)*$AE$316,$AG$316+(25-35)*$AF$316))</f>
        <v/>
      </c>
      <c r="I346" s="38">
        <f>IF(25&lt;=2,$AD$317,$AD$317+(25-2)*$AE$317)</f>
        <v/>
      </c>
      <c r="J346" s="39">
        <f>IF(25&lt;=2,$AD$318,$AD$318+(25-2)*$AE$318)</f>
        <v/>
      </c>
    </row>
    <row r="347">
      <c r="B347" s="40" t="n">
        <v>26</v>
      </c>
      <c r="C347" s="41">
        <f>IF(26&lt;=5,$AD$311,$AD$311+(26-5)*$AE$311)</f>
        <v/>
      </c>
      <c r="D347" s="41">
        <f>IF(26&lt;=5,$AD$312,$AD$312+(26-5)*$AE$312)</f>
        <v/>
      </c>
      <c r="E347" s="41">
        <f>IF(26&lt;=15,$AD$313,$AD$313+(26-15)*$AE$313)</f>
        <v/>
      </c>
      <c r="F347" s="41">
        <f>IF(26&lt;=15,$AD$314,$AD$314+(26-15)*$AE$314)</f>
        <v/>
      </c>
      <c r="G347" s="41">
        <f>IF(26&lt;=5,$AD$315,IF(26&lt;=35,$AD$315+(26-5)*$AE$315,$AG$315+(26-35)*$AF$315))</f>
        <v/>
      </c>
      <c r="H347" s="41">
        <f>IF(26&lt;=5,$AD$316,IF(26&lt;=35,$AD$316+(26-5)*$AE$316,$AG$316+(26-35)*$AF$316))</f>
        <v/>
      </c>
      <c r="I347" s="41">
        <f>IF(26&lt;=2,$AD$317,$AD$317+(26-2)*$AE$317)</f>
        <v/>
      </c>
      <c r="J347" s="42">
        <f>IF(26&lt;=2,$AD$318,$AD$318+(26-2)*$AE$318)</f>
        <v/>
      </c>
    </row>
    <row r="348">
      <c r="B348" s="40" t="n">
        <v>27</v>
      </c>
      <c r="C348" s="41">
        <f>IF(27&lt;=5,$AD$311,$AD$311+(27-5)*$AE$311)</f>
        <v/>
      </c>
      <c r="D348" s="41">
        <f>IF(27&lt;=5,$AD$312,$AD$312+(27-5)*$AE$312)</f>
        <v/>
      </c>
      <c r="E348" s="41">
        <f>IF(27&lt;=15,$AD$313,$AD$313+(27-15)*$AE$313)</f>
        <v/>
      </c>
      <c r="F348" s="41">
        <f>IF(27&lt;=15,$AD$314,$AD$314+(27-15)*$AE$314)</f>
        <v/>
      </c>
      <c r="G348" s="41">
        <f>IF(27&lt;=5,$AD$315,IF(27&lt;=35,$AD$315+(27-5)*$AE$315,$AG$315+(27-35)*$AF$315))</f>
        <v/>
      </c>
      <c r="H348" s="41">
        <f>IF(27&lt;=5,$AD$316,IF(27&lt;=35,$AD$316+(27-5)*$AE$316,$AG$316+(27-35)*$AF$316))</f>
        <v/>
      </c>
      <c r="I348" s="41">
        <f>IF(27&lt;=2,$AD$317,$AD$317+(27-2)*$AE$317)</f>
        <v/>
      </c>
      <c r="J348" s="42">
        <f>IF(27&lt;=2,$AD$318,$AD$318+(27-2)*$AE$318)</f>
        <v/>
      </c>
    </row>
    <row r="349">
      <c r="B349" s="40" t="n">
        <v>28</v>
      </c>
      <c r="C349" s="41">
        <f>IF(28&lt;=5,$AD$311,$AD$311+(28-5)*$AE$311)</f>
        <v/>
      </c>
      <c r="D349" s="41">
        <f>IF(28&lt;=5,$AD$312,$AD$312+(28-5)*$AE$312)</f>
        <v/>
      </c>
      <c r="E349" s="41">
        <f>IF(28&lt;=15,$AD$313,$AD$313+(28-15)*$AE$313)</f>
        <v/>
      </c>
      <c r="F349" s="41">
        <f>IF(28&lt;=15,$AD$314,$AD$314+(28-15)*$AE$314)</f>
        <v/>
      </c>
      <c r="G349" s="41">
        <f>IF(28&lt;=5,$AD$315,IF(28&lt;=35,$AD$315+(28-5)*$AE$315,$AG$315+(28-35)*$AF$315))</f>
        <v/>
      </c>
      <c r="H349" s="41">
        <f>IF(28&lt;=5,$AD$316,IF(28&lt;=35,$AD$316+(28-5)*$AE$316,$AG$316+(28-35)*$AF$316))</f>
        <v/>
      </c>
      <c r="I349" s="41">
        <f>IF(28&lt;=2,$AD$317,$AD$317+(28-2)*$AE$317)</f>
        <v/>
      </c>
      <c r="J349" s="42">
        <f>IF(28&lt;=2,$AD$318,$AD$318+(28-2)*$AE$318)</f>
        <v/>
      </c>
    </row>
    <row r="350">
      <c r="B350" s="40" t="n">
        <v>29</v>
      </c>
      <c r="C350" s="41">
        <f>IF(29&lt;=5,$AD$311,$AD$311+(29-5)*$AE$311)</f>
        <v/>
      </c>
      <c r="D350" s="41">
        <f>IF(29&lt;=5,$AD$312,$AD$312+(29-5)*$AE$312)</f>
        <v/>
      </c>
      <c r="E350" s="41">
        <f>IF(29&lt;=15,$AD$313,$AD$313+(29-15)*$AE$313)</f>
        <v/>
      </c>
      <c r="F350" s="41">
        <f>IF(29&lt;=15,$AD$314,$AD$314+(29-15)*$AE$314)</f>
        <v/>
      </c>
      <c r="G350" s="41">
        <f>IF(29&lt;=5,$AD$315,IF(29&lt;=35,$AD$315+(29-5)*$AE$315,$AG$315+(29-35)*$AF$315))</f>
        <v/>
      </c>
      <c r="H350" s="41">
        <f>IF(29&lt;=5,$AD$316,IF(29&lt;=35,$AD$316+(29-5)*$AE$316,$AG$316+(29-35)*$AF$316))</f>
        <v/>
      </c>
      <c r="I350" s="41">
        <f>IF(29&lt;=2,$AD$317,$AD$317+(29-2)*$AE$317)</f>
        <v/>
      </c>
      <c r="J350" s="42">
        <f>IF(29&lt;=2,$AD$318,$AD$318+(29-2)*$AE$318)</f>
        <v/>
      </c>
    </row>
    <row r="351">
      <c r="B351" s="40" t="n">
        <v>30</v>
      </c>
      <c r="C351" s="41">
        <f>IF(30&lt;=5,$AD$311,$AD$311+(30-5)*$AE$311)</f>
        <v/>
      </c>
      <c r="D351" s="41">
        <f>IF(30&lt;=5,$AD$312,$AD$312+(30-5)*$AE$312)</f>
        <v/>
      </c>
      <c r="E351" s="41">
        <f>IF(30&lt;=15,$AD$313,$AD$313+(30-15)*$AE$313)</f>
        <v/>
      </c>
      <c r="F351" s="41">
        <f>IF(30&lt;=15,$AD$314,$AD$314+(30-15)*$AE$314)</f>
        <v/>
      </c>
      <c r="G351" s="41">
        <f>IF(30&lt;=5,$AD$315,IF(30&lt;=35,$AD$315+(30-5)*$AE$315,$AG$315+(30-35)*$AF$315))</f>
        <v/>
      </c>
      <c r="H351" s="41">
        <f>IF(30&lt;=5,$AD$316,IF(30&lt;=35,$AD$316+(30-5)*$AE$316,$AG$316+(30-35)*$AF$316))</f>
        <v/>
      </c>
      <c r="I351" s="41">
        <f>IF(30&lt;=2,$AD$317,$AD$317+(30-2)*$AE$317)</f>
        <v/>
      </c>
      <c r="J351" s="42">
        <f>IF(30&lt;=2,$AD$318,$AD$318+(30-2)*$AE$318)</f>
        <v/>
      </c>
    </row>
    <row r="352">
      <c r="B352" s="37" t="n">
        <v>31</v>
      </c>
      <c r="C352" s="38">
        <f>IF(31&lt;=5,$AD$311,$AD$311+(31-5)*$AE$311)</f>
        <v/>
      </c>
      <c r="D352" s="38">
        <f>IF(31&lt;=5,$AD$312,$AD$312+(31-5)*$AE$312)</f>
        <v/>
      </c>
      <c r="E352" s="38">
        <f>IF(31&lt;=15,$AD$313,$AD$313+(31-15)*$AE$313)</f>
        <v/>
      </c>
      <c r="F352" s="38">
        <f>IF(31&lt;=15,$AD$314,$AD$314+(31-15)*$AE$314)</f>
        <v/>
      </c>
      <c r="G352" s="38">
        <f>IF(31&lt;=5,$AD$315,IF(31&lt;=35,$AD$315+(31-5)*$AE$315,$AG$315+(31-35)*$AF$315))</f>
        <v/>
      </c>
      <c r="H352" s="38">
        <f>IF(31&lt;=5,$AD$316,IF(31&lt;=35,$AD$316+(31-5)*$AE$316,$AG$316+(31-35)*$AF$316))</f>
        <v/>
      </c>
      <c r="I352" s="38">
        <f>IF(31&lt;=2,$AD$317,$AD$317+(31-2)*$AE$317)</f>
        <v/>
      </c>
      <c r="J352" s="39">
        <f>IF(31&lt;=2,$AD$318,$AD$318+(31-2)*$AE$318)</f>
        <v/>
      </c>
    </row>
    <row r="353">
      <c r="B353" s="37" t="n">
        <v>32</v>
      </c>
      <c r="C353" s="38">
        <f>IF(32&lt;=5,$AD$311,$AD$311+(32-5)*$AE$311)</f>
        <v/>
      </c>
      <c r="D353" s="38">
        <f>IF(32&lt;=5,$AD$312,$AD$312+(32-5)*$AE$312)</f>
        <v/>
      </c>
      <c r="E353" s="38">
        <f>IF(32&lt;=15,$AD$313,$AD$313+(32-15)*$AE$313)</f>
        <v/>
      </c>
      <c r="F353" s="38">
        <f>IF(32&lt;=15,$AD$314,$AD$314+(32-15)*$AE$314)</f>
        <v/>
      </c>
      <c r="G353" s="38">
        <f>IF(32&lt;=5,$AD$315,IF(32&lt;=35,$AD$315+(32-5)*$AE$315,$AG$315+(32-35)*$AF$315))</f>
        <v/>
      </c>
      <c r="H353" s="38">
        <f>IF(32&lt;=5,$AD$316,IF(32&lt;=35,$AD$316+(32-5)*$AE$316,$AG$316+(32-35)*$AF$316))</f>
        <v/>
      </c>
      <c r="I353" s="38">
        <f>IF(32&lt;=2,$AD$317,$AD$317+(32-2)*$AE$317)</f>
        <v/>
      </c>
      <c r="J353" s="39">
        <f>IF(32&lt;=2,$AD$318,$AD$318+(32-2)*$AE$318)</f>
        <v/>
      </c>
    </row>
    <row r="354">
      <c r="B354" s="37" t="n">
        <v>33</v>
      </c>
      <c r="C354" s="38">
        <f>IF(33&lt;=5,$AD$311,$AD$311+(33-5)*$AE$311)</f>
        <v/>
      </c>
      <c r="D354" s="38">
        <f>IF(33&lt;=5,$AD$312,$AD$312+(33-5)*$AE$312)</f>
        <v/>
      </c>
      <c r="E354" s="38">
        <f>IF(33&lt;=15,$AD$313,$AD$313+(33-15)*$AE$313)</f>
        <v/>
      </c>
      <c r="F354" s="38">
        <f>IF(33&lt;=15,$AD$314,$AD$314+(33-15)*$AE$314)</f>
        <v/>
      </c>
      <c r="G354" s="38">
        <f>IF(33&lt;=5,$AD$315,IF(33&lt;=35,$AD$315+(33-5)*$AE$315,$AG$315+(33-35)*$AF$315))</f>
        <v/>
      </c>
      <c r="H354" s="38">
        <f>IF(33&lt;=5,$AD$316,IF(33&lt;=35,$AD$316+(33-5)*$AE$316,$AG$316+(33-35)*$AF$316))</f>
        <v/>
      </c>
      <c r="I354" s="38">
        <f>IF(33&lt;=2,$AD$317,$AD$317+(33-2)*$AE$317)</f>
        <v/>
      </c>
      <c r="J354" s="39">
        <f>IF(33&lt;=2,$AD$318,$AD$318+(33-2)*$AE$318)</f>
        <v/>
      </c>
    </row>
    <row r="355">
      <c r="B355" s="37" t="n">
        <v>34</v>
      </c>
      <c r="C355" s="38">
        <f>IF(34&lt;=5,$AD$311,$AD$311+(34-5)*$AE$311)</f>
        <v/>
      </c>
      <c r="D355" s="38">
        <f>IF(34&lt;=5,$AD$312,$AD$312+(34-5)*$AE$312)</f>
        <v/>
      </c>
      <c r="E355" s="38">
        <f>IF(34&lt;=15,$AD$313,$AD$313+(34-15)*$AE$313)</f>
        <v/>
      </c>
      <c r="F355" s="38">
        <f>IF(34&lt;=15,$AD$314,$AD$314+(34-15)*$AE$314)</f>
        <v/>
      </c>
      <c r="G355" s="38">
        <f>IF(34&lt;=5,$AD$315,IF(34&lt;=35,$AD$315+(34-5)*$AE$315,$AG$315+(34-35)*$AF$315))</f>
        <v/>
      </c>
      <c r="H355" s="38">
        <f>IF(34&lt;=5,$AD$316,IF(34&lt;=35,$AD$316+(34-5)*$AE$316,$AG$316+(34-35)*$AF$316))</f>
        <v/>
      </c>
      <c r="I355" s="38">
        <f>IF(34&lt;=2,$AD$317,$AD$317+(34-2)*$AE$317)</f>
        <v/>
      </c>
      <c r="J355" s="39">
        <f>IF(34&lt;=2,$AD$318,$AD$318+(34-2)*$AE$318)</f>
        <v/>
      </c>
    </row>
    <row r="356">
      <c r="B356" s="37" t="n">
        <v>35</v>
      </c>
      <c r="C356" s="38">
        <f>IF(35&lt;=5,$AD$311,$AD$311+(35-5)*$AE$311)</f>
        <v/>
      </c>
      <c r="D356" s="38">
        <f>IF(35&lt;=5,$AD$312,$AD$312+(35-5)*$AE$312)</f>
        <v/>
      </c>
      <c r="E356" s="38">
        <f>IF(35&lt;=15,$AD$313,$AD$313+(35-15)*$AE$313)</f>
        <v/>
      </c>
      <c r="F356" s="38">
        <f>IF(35&lt;=15,$AD$314,$AD$314+(35-15)*$AE$314)</f>
        <v/>
      </c>
      <c r="G356" s="38">
        <f>IF(35&lt;=5,$AD$315,IF(35&lt;=35,$AD$315+(35-5)*$AE$315,$AG$315+(35-35)*$AF$315))</f>
        <v/>
      </c>
      <c r="H356" s="38">
        <f>IF(35&lt;=5,$AD$316,IF(35&lt;=35,$AD$316+(35-5)*$AE$316,$AG$316+(35-35)*$AF$316))</f>
        <v/>
      </c>
      <c r="I356" s="38">
        <f>IF(35&lt;=2,$AD$317,$AD$317+(35-2)*$AE$317)</f>
        <v/>
      </c>
      <c r="J356" s="39">
        <f>IF(35&lt;=2,$AD$318,$AD$318+(35-2)*$AE$318)</f>
        <v/>
      </c>
    </row>
    <row r="357">
      <c r="B357" s="40" t="n">
        <v>36</v>
      </c>
      <c r="C357" s="43" t="inlineStr">
        <is>
          <t>see ECO/R</t>
        </is>
      </c>
      <c r="D357" s="43" t="inlineStr">
        <is>
          <t>see ECO/R</t>
        </is>
      </c>
      <c r="E357" s="43" t="inlineStr">
        <is>
          <t>see ECO/R</t>
        </is>
      </c>
      <c r="F357" s="43" t="inlineStr">
        <is>
          <t>see ECO/R</t>
        </is>
      </c>
      <c r="G357" s="41">
        <f>IF(36&lt;=5,$AD$315,IF(36&lt;=35,$AD$315+(36-5)*$AE$315,$AG$315+(36-35)*$AF$315))</f>
        <v/>
      </c>
      <c r="H357" s="41">
        <f>IF(36&lt;=5,$AD$316,IF(36&lt;=35,$AD$316+(36-5)*$AE$316,$AG$316+(36-35)*$AF$316))</f>
        <v/>
      </c>
      <c r="I357" s="41">
        <f>IF(36&lt;=2,$AD$317,$AD$317+(36-2)*$AE$317)</f>
        <v/>
      </c>
      <c r="J357" s="42">
        <f>IF(36&lt;=2,$AD$318,$AD$318+(36-2)*$AE$318)</f>
        <v/>
      </c>
    </row>
    <row r="358">
      <c r="B358" s="40" t="n">
        <v>37</v>
      </c>
      <c r="C358" s="43" t="inlineStr">
        <is>
          <t>see ECO/R</t>
        </is>
      </c>
      <c r="D358" s="43" t="inlineStr">
        <is>
          <t>see ECO/R</t>
        </is>
      </c>
      <c r="E358" s="43" t="inlineStr">
        <is>
          <t>see ECO/R</t>
        </is>
      </c>
      <c r="F358" s="43" t="inlineStr">
        <is>
          <t>see ECO/R</t>
        </is>
      </c>
      <c r="G358" s="41">
        <f>IF(37&lt;=5,$AD$315,IF(37&lt;=35,$AD$315+(37-5)*$AE$315,$AG$315+(37-35)*$AF$315))</f>
        <v/>
      </c>
      <c r="H358" s="41">
        <f>IF(37&lt;=5,$AD$316,IF(37&lt;=35,$AD$316+(37-5)*$AE$316,$AG$316+(37-35)*$AF$316))</f>
        <v/>
      </c>
      <c r="I358" s="41">
        <f>IF(37&lt;=2,$AD$317,$AD$317+(37-2)*$AE$317)</f>
        <v/>
      </c>
      <c r="J358" s="42">
        <f>IF(37&lt;=2,$AD$318,$AD$318+(37-2)*$AE$318)</f>
        <v/>
      </c>
    </row>
    <row r="359">
      <c r="B359" s="40" t="n">
        <v>38</v>
      </c>
      <c r="C359" s="43" t="inlineStr">
        <is>
          <t>see ECO/R</t>
        </is>
      </c>
      <c r="D359" s="43" t="inlineStr">
        <is>
          <t>see ECO/R</t>
        </is>
      </c>
      <c r="E359" s="43" t="inlineStr">
        <is>
          <t>see ECO/R</t>
        </is>
      </c>
      <c r="F359" s="43" t="inlineStr">
        <is>
          <t>see ECO/R</t>
        </is>
      </c>
      <c r="G359" s="41">
        <f>IF(38&lt;=5,$AD$315,IF(38&lt;=35,$AD$315+(38-5)*$AE$315,$AG$315+(38-35)*$AF$315))</f>
        <v/>
      </c>
      <c r="H359" s="41">
        <f>IF(38&lt;=5,$AD$316,IF(38&lt;=35,$AD$316+(38-5)*$AE$316,$AG$316+(38-35)*$AF$316))</f>
        <v/>
      </c>
      <c r="I359" s="41">
        <f>IF(38&lt;=2,$AD$317,$AD$317+(38-2)*$AE$317)</f>
        <v/>
      </c>
      <c r="J359" s="42">
        <f>IF(38&lt;=2,$AD$318,$AD$318+(38-2)*$AE$318)</f>
        <v/>
      </c>
    </row>
    <row r="360">
      <c r="B360" s="40" t="n">
        <v>39</v>
      </c>
      <c r="C360" s="43" t="inlineStr">
        <is>
          <t>see ECO/R</t>
        </is>
      </c>
      <c r="D360" s="43" t="inlineStr">
        <is>
          <t>see ECO/R</t>
        </is>
      </c>
      <c r="E360" s="43" t="inlineStr">
        <is>
          <t>see ECO/R</t>
        </is>
      </c>
      <c r="F360" s="43" t="inlineStr">
        <is>
          <t>see ECO/R</t>
        </is>
      </c>
      <c r="G360" s="41">
        <f>IF(39&lt;=5,$AD$315,IF(39&lt;=35,$AD$315+(39-5)*$AE$315,$AG$315+(39-35)*$AF$315))</f>
        <v/>
      </c>
      <c r="H360" s="41">
        <f>IF(39&lt;=5,$AD$316,IF(39&lt;=35,$AD$316+(39-5)*$AE$316,$AG$316+(39-35)*$AF$316))</f>
        <v/>
      </c>
      <c r="I360" s="41">
        <f>IF(39&lt;=2,$AD$317,$AD$317+(39-2)*$AE$317)</f>
        <v/>
      </c>
      <c r="J360" s="42">
        <f>IF(39&lt;=2,$AD$318,$AD$318+(39-2)*$AE$318)</f>
        <v/>
      </c>
    </row>
    <row r="361">
      <c r="B361" s="44" t="n">
        <v>40</v>
      </c>
      <c r="C361" s="45" t="inlineStr">
        <is>
          <t>see ECO/R</t>
        </is>
      </c>
      <c r="D361" s="45" t="inlineStr">
        <is>
          <t>see ECO/R</t>
        </is>
      </c>
      <c r="E361" s="45" t="inlineStr">
        <is>
          <t>see ECO/R</t>
        </is>
      </c>
      <c r="F361" s="45" t="inlineStr">
        <is>
          <t>see ECO/R</t>
        </is>
      </c>
      <c r="G361" s="46">
        <f>IF(40&lt;=5,$AD$315,IF(40&lt;=35,$AD$315+(40-5)*$AE$315,$AG$315+(40-35)*$AF$315))</f>
        <v/>
      </c>
      <c r="H361" s="46">
        <f>IF(40&lt;=5,$AD$316,IF(40&lt;=35,$AD$316+(40-5)*$AE$316,$AG$316+(40-35)*$AF$316))</f>
        <v/>
      </c>
      <c r="I361" s="46">
        <f>IF(40&lt;=2,$AD$317,$AD$317+(40-2)*$AE$317)</f>
        <v/>
      </c>
      <c r="J361" s="47">
        <f>IF(40&lt;=2,$AD$318,$AD$318+(40-2)*$AE$318)</f>
        <v/>
      </c>
    </row>
    <row r="362"/>
    <row r="363">
      <c r="B363" s="36" t="inlineStr">
        <is>
          <t>Weight-based price  —  VAT &amp; fuel levy INCLUDED</t>
        </is>
      </c>
    </row>
    <row r="364" ht="18" customHeight="1" s="98">
      <c r="B364" s="18" t="inlineStr">
        <is>
          <t>Kg</t>
        </is>
      </c>
      <c r="C364" s="19" t="inlineStr">
        <is>
          <t>LPF-SC</t>
        </is>
      </c>
      <c r="D364" s="19" t="inlineStr">
        <is>
          <t>LPF-R</t>
        </is>
      </c>
      <c r="E364" s="19" t="inlineStr">
        <is>
          <t>LPP-SC</t>
        </is>
      </c>
      <c r="F364" s="19" t="inlineStr">
        <is>
          <t>LPP-R</t>
        </is>
      </c>
      <c r="G364" s="19" t="inlineStr">
        <is>
          <t>ECO</t>
        </is>
      </c>
      <c r="H364" s="19" t="inlineStr">
        <is>
          <t>ECOR</t>
        </is>
      </c>
      <c r="I364" s="19" t="inlineStr">
        <is>
          <t>PRI</t>
        </is>
      </c>
      <c r="J364" s="20" t="inlineStr">
        <is>
          <t>PRIR</t>
        </is>
      </c>
    </row>
    <row r="365">
      <c r="B365" s="37" t="n">
        <v>1</v>
      </c>
      <c r="C365" s="38">
        <f>ROUND((IF(1&lt;=5,$AD$311,$AD$311+(1-5)*$AE$311))*(1+$C$6),2)+ROUND(ROUND((IF(1&lt;=5,$AD$311,$AD$311+(1-5)*$AE$311))*(1+$C$6),2)*(IF($G$6="YES",$E$6,0)+IF($K$6="YES",$I$6,0)),2)</f>
        <v/>
      </c>
      <c r="D365" s="38">
        <f>ROUND((IF(1&lt;=5,$AD$312,$AD$312+(1-5)*$AE$312))*(1+$C$6),2)+ROUND(ROUND((IF(1&lt;=5,$AD$312,$AD$312+(1-5)*$AE$312))*(1+$C$6),2)*(IF($G$6="YES",$E$6,0)+IF($K$6="YES",$I$6,0)),2)</f>
        <v/>
      </c>
      <c r="E365" s="38">
        <f>ROUND((IF(1&lt;=15,$AD$313,$AD$313+(1-15)*$AE$313))*(1+$C$6),2)+ROUND(ROUND((IF(1&lt;=15,$AD$313,$AD$313+(1-15)*$AE$313))*(1+$C$6),2)*(IF($G$6="YES",$E$6,0)+IF($K$6="YES",$I$6,0)),2)</f>
        <v/>
      </c>
      <c r="F365" s="38">
        <f>ROUND((IF(1&lt;=15,$AD$314,$AD$314+(1-15)*$AE$314))*(1+$C$6),2)+ROUND(ROUND((IF(1&lt;=15,$AD$314,$AD$314+(1-15)*$AE$314))*(1+$C$6),2)*(IF($G$6="YES",$E$6,0)+IF($K$6="YES",$I$6,0)),2)</f>
        <v/>
      </c>
      <c r="G365" s="38">
        <f>ROUND((IF(1&lt;=5,$AD$315,IF(1&lt;=35,$AD$315+(1-5)*$AE$315,$AG$315+(1-35)*$AF$315)))*(1+$C$6),2)+ROUND(ROUND((IF(1&lt;=5,$AD$315,IF(1&lt;=35,$AD$315+(1-5)*$AE$315,$AG$315+(1-35)*$AF$315)))*(1+$C$6),2)*(IF($G$6="YES",$E$6,0)+IF($K$6="YES",$I$6,0)),2)</f>
        <v/>
      </c>
      <c r="H365" s="38">
        <f>ROUND((IF(1&lt;=5,$AD$316,IF(1&lt;=35,$AD$316+(1-5)*$AE$316,$AG$316+(1-35)*$AF$316)))*(1+$C$6),2)+ROUND(ROUND((IF(1&lt;=5,$AD$316,IF(1&lt;=35,$AD$316+(1-5)*$AE$316,$AG$316+(1-35)*$AF$316)))*(1+$C$6),2)*(IF($G$6="YES",$E$6,0)+IF($K$6="YES",$I$6,0)),2)</f>
        <v/>
      </c>
      <c r="I365" s="38">
        <f>ROUND((IF(1&lt;=2,$AD$317,$AD$317+(1-2)*$AE$317))*(1+$C$6),2)+ROUND(ROUND((IF(1&lt;=2,$AD$317,$AD$317+(1-2)*$AE$317))*(1+$C$6),2)*(IF($G$6="YES",$E$6,0)+IF($K$6="YES",$I$6,0)),2)+(1*$E$8*IF($C$8="YES",1,0))</f>
        <v/>
      </c>
      <c r="J365" s="39">
        <f>ROUND((IF(1&lt;=2,$AD$318,$AD$318+(1-2)*$AE$318))*(1+$C$6),2)+ROUND(ROUND((IF(1&lt;=2,$AD$318,$AD$318+(1-2)*$AE$318))*(1+$C$6),2)*(IF($G$6="YES",$E$6,0)+IF($K$6="YES",$I$6,0)),2)</f>
        <v/>
      </c>
    </row>
    <row r="366">
      <c r="B366" s="37" t="n">
        <v>2</v>
      </c>
      <c r="C366" s="38">
        <f>ROUND((IF(2&lt;=5,$AD$311,$AD$311+(2-5)*$AE$311))*(1+$C$6),2)+ROUND(ROUND((IF(2&lt;=5,$AD$311,$AD$311+(2-5)*$AE$311))*(1+$C$6),2)*(IF($G$6="YES",$E$6,0)+IF($K$6="YES",$I$6,0)),2)</f>
        <v/>
      </c>
      <c r="D366" s="38">
        <f>ROUND((IF(2&lt;=5,$AD$312,$AD$312+(2-5)*$AE$312))*(1+$C$6),2)+ROUND(ROUND((IF(2&lt;=5,$AD$312,$AD$312+(2-5)*$AE$312))*(1+$C$6),2)*(IF($G$6="YES",$E$6,0)+IF($K$6="YES",$I$6,0)),2)</f>
        <v/>
      </c>
      <c r="E366" s="38">
        <f>ROUND((IF(2&lt;=15,$AD$313,$AD$313+(2-15)*$AE$313))*(1+$C$6),2)+ROUND(ROUND((IF(2&lt;=15,$AD$313,$AD$313+(2-15)*$AE$313))*(1+$C$6),2)*(IF($G$6="YES",$E$6,0)+IF($K$6="YES",$I$6,0)),2)</f>
        <v/>
      </c>
      <c r="F366" s="38">
        <f>ROUND((IF(2&lt;=15,$AD$314,$AD$314+(2-15)*$AE$314))*(1+$C$6),2)+ROUND(ROUND((IF(2&lt;=15,$AD$314,$AD$314+(2-15)*$AE$314))*(1+$C$6),2)*(IF($G$6="YES",$E$6,0)+IF($K$6="YES",$I$6,0)),2)</f>
        <v/>
      </c>
      <c r="G366" s="38">
        <f>ROUND((IF(2&lt;=5,$AD$315,IF(2&lt;=35,$AD$315+(2-5)*$AE$315,$AG$315+(2-35)*$AF$315)))*(1+$C$6),2)+ROUND(ROUND((IF(2&lt;=5,$AD$315,IF(2&lt;=35,$AD$315+(2-5)*$AE$315,$AG$315+(2-35)*$AF$315)))*(1+$C$6),2)*(IF($G$6="YES",$E$6,0)+IF($K$6="YES",$I$6,0)),2)</f>
        <v/>
      </c>
      <c r="H366" s="38">
        <f>ROUND((IF(2&lt;=5,$AD$316,IF(2&lt;=35,$AD$316+(2-5)*$AE$316,$AG$316+(2-35)*$AF$316)))*(1+$C$6),2)+ROUND(ROUND((IF(2&lt;=5,$AD$316,IF(2&lt;=35,$AD$316+(2-5)*$AE$316,$AG$316+(2-35)*$AF$316)))*(1+$C$6),2)*(IF($G$6="YES",$E$6,0)+IF($K$6="YES",$I$6,0)),2)</f>
        <v/>
      </c>
      <c r="I366" s="38">
        <f>ROUND((IF(2&lt;=2,$AD$317,$AD$317+(2-2)*$AE$317))*(1+$C$6),2)+ROUND(ROUND((IF(2&lt;=2,$AD$317,$AD$317+(2-2)*$AE$317))*(1+$C$6),2)*(IF($G$6="YES",$E$6,0)+IF($K$6="YES",$I$6,0)),2)+(2*$E$8*IF($C$8="YES",1,0))</f>
        <v/>
      </c>
      <c r="J366" s="39">
        <f>ROUND((IF(2&lt;=2,$AD$318,$AD$318+(2-2)*$AE$318))*(1+$C$6),2)+ROUND(ROUND((IF(2&lt;=2,$AD$318,$AD$318+(2-2)*$AE$318))*(1+$C$6),2)*(IF($G$6="YES",$E$6,0)+IF($K$6="YES",$I$6,0)),2)</f>
        <v/>
      </c>
    </row>
    <row r="367">
      <c r="B367" s="37" t="n">
        <v>3</v>
      </c>
      <c r="C367" s="38">
        <f>ROUND((IF(3&lt;=5,$AD$311,$AD$311+(3-5)*$AE$311))*(1+$C$6),2)+ROUND(ROUND((IF(3&lt;=5,$AD$311,$AD$311+(3-5)*$AE$311))*(1+$C$6),2)*(IF($G$6="YES",$E$6,0)+IF($K$6="YES",$I$6,0)),2)</f>
        <v/>
      </c>
      <c r="D367" s="38">
        <f>ROUND((IF(3&lt;=5,$AD$312,$AD$312+(3-5)*$AE$312))*(1+$C$6),2)+ROUND(ROUND((IF(3&lt;=5,$AD$312,$AD$312+(3-5)*$AE$312))*(1+$C$6),2)*(IF($G$6="YES",$E$6,0)+IF($K$6="YES",$I$6,0)),2)</f>
        <v/>
      </c>
      <c r="E367" s="38">
        <f>ROUND((IF(3&lt;=15,$AD$313,$AD$313+(3-15)*$AE$313))*(1+$C$6),2)+ROUND(ROUND((IF(3&lt;=15,$AD$313,$AD$313+(3-15)*$AE$313))*(1+$C$6),2)*(IF($G$6="YES",$E$6,0)+IF($K$6="YES",$I$6,0)),2)</f>
        <v/>
      </c>
      <c r="F367" s="38">
        <f>ROUND((IF(3&lt;=15,$AD$314,$AD$314+(3-15)*$AE$314))*(1+$C$6),2)+ROUND(ROUND((IF(3&lt;=15,$AD$314,$AD$314+(3-15)*$AE$314))*(1+$C$6),2)*(IF($G$6="YES",$E$6,0)+IF($K$6="YES",$I$6,0)),2)</f>
        <v/>
      </c>
      <c r="G367" s="38">
        <f>ROUND((IF(3&lt;=5,$AD$315,IF(3&lt;=35,$AD$315+(3-5)*$AE$315,$AG$315+(3-35)*$AF$315)))*(1+$C$6),2)+ROUND(ROUND((IF(3&lt;=5,$AD$315,IF(3&lt;=35,$AD$315+(3-5)*$AE$315,$AG$315+(3-35)*$AF$315)))*(1+$C$6),2)*(IF($G$6="YES",$E$6,0)+IF($K$6="YES",$I$6,0)),2)</f>
        <v/>
      </c>
      <c r="H367" s="38">
        <f>ROUND((IF(3&lt;=5,$AD$316,IF(3&lt;=35,$AD$316+(3-5)*$AE$316,$AG$316+(3-35)*$AF$316)))*(1+$C$6),2)+ROUND(ROUND((IF(3&lt;=5,$AD$316,IF(3&lt;=35,$AD$316+(3-5)*$AE$316,$AG$316+(3-35)*$AF$316)))*(1+$C$6),2)*(IF($G$6="YES",$E$6,0)+IF($K$6="YES",$I$6,0)),2)</f>
        <v/>
      </c>
      <c r="I367" s="38">
        <f>ROUND((IF(3&lt;=2,$AD$317,$AD$317+(3-2)*$AE$317))*(1+$C$6),2)+ROUND(ROUND((IF(3&lt;=2,$AD$317,$AD$317+(3-2)*$AE$317))*(1+$C$6),2)*(IF($G$6="YES",$E$6,0)+IF($K$6="YES",$I$6,0)),2)+(3*$E$8*IF($C$8="YES",1,0))</f>
        <v/>
      </c>
      <c r="J367" s="39">
        <f>ROUND((IF(3&lt;=2,$AD$318,$AD$318+(3-2)*$AE$318))*(1+$C$6),2)+ROUND(ROUND((IF(3&lt;=2,$AD$318,$AD$318+(3-2)*$AE$318))*(1+$C$6),2)*(IF($G$6="YES",$E$6,0)+IF($K$6="YES",$I$6,0)),2)</f>
        <v/>
      </c>
    </row>
    <row r="368">
      <c r="B368" s="37" t="n">
        <v>4</v>
      </c>
      <c r="C368" s="38">
        <f>ROUND((IF(4&lt;=5,$AD$311,$AD$311+(4-5)*$AE$311))*(1+$C$6),2)+ROUND(ROUND((IF(4&lt;=5,$AD$311,$AD$311+(4-5)*$AE$311))*(1+$C$6),2)*(IF($G$6="YES",$E$6,0)+IF($K$6="YES",$I$6,0)),2)</f>
        <v/>
      </c>
      <c r="D368" s="38">
        <f>ROUND((IF(4&lt;=5,$AD$312,$AD$312+(4-5)*$AE$312))*(1+$C$6),2)+ROUND(ROUND((IF(4&lt;=5,$AD$312,$AD$312+(4-5)*$AE$312))*(1+$C$6),2)*(IF($G$6="YES",$E$6,0)+IF($K$6="YES",$I$6,0)),2)</f>
        <v/>
      </c>
      <c r="E368" s="38">
        <f>ROUND((IF(4&lt;=15,$AD$313,$AD$313+(4-15)*$AE$313))*(1+$C$6),2)+ROUND(ROUND((IF(4&lt;=15,$AD$313,$AD$313+(4-15)*$AE$313))*(1+$C$6),2)*(IF($G$6="YES",$E$6,0)+IF($K$6="YES",$I$6,0)),2)</f>
        <v/>
      </c>
      <c r="F368" s="38">
        <f>ROUND((IF(4&lt;=15,$AD$314,$AD$314+(4-15)*$AE$314))*(1+$C$6),2)+ROUND(ROUND((IF(4&lt;=15,$AD$314,$AD$314+(4-15)*$AE$314))*(1+$C$6),2)*(IF($G$6="YES",$E$6,0)+IF($K$6="YES",$I$6,0)),2)</f>
        <v/>
      </c>
      <c r="G368" s="38">
        <f>ROUND((IF(4&lt;=5,$AD$315,IF(4&lt;=35,$AD$315+(4-5)*$AE$315,$AG$315+(4-35)*$AF$315)))*(1+$C$6),2)+ROUND(ROUND((IF(4&lt;=5,$AD$315,IF(4&lt;=35,$AD$315+(4-5)*$AE$315,$AG$315+(4-35)*$AF$315)))*(1+$C$6),2)*(IF($G$6="YES",$E$6,0)+IF($K$6="YES",$I$6,0)),2)</f>
        <v/>
      </c>
      <c r="H368" s="38">
        <f>ROUND((IF(4&lt;=5,$AD$316,IF(4&lt;=35,$AD$316+(4-5)*$AE$316,$AG$316+(4-35)*$AF$316)))*(1+$C$6),2)+ROUND(ROUND((IF(4&lt;=5,$AD$316,IF(4&lt;=35,$AD$316+(4-5)*$AE$316,$AG$316+(4-35)*$AF$316)))*(1+$C$6),2)*(IF($G$6="YES",$E$6,0)+IF($K$6="YES",$I$6,0)),2)</f>
        <v/>
      </c>
      <c r="I368" s="38">
        <f>ROUND((IF(4&lt;=2,$AD$317,$AD$317+(4-2)*$AE$317))*(1+$C$6),2)+ROUND(ROUND((IF(4&lt;=2,$AD$317,$AD$317+(4-2)*$AE$317))*(1+$C$6),2)*(IF($G$6="YES",$E$6,0)+IF($K$6="YES",$I$6,0)),2)+(4*$E$8*IF($C$8="YES",1,0))</f>
        <v/>
      </c>
      <c r="J368" s="39">
        <f>ROUND((IF(4&lt;=2,$AD$318,$AD$318+(4-2)*$AE$318))*(1+$C$6),2)+ROUND(ROUND((IF(4&lt;=2,$AD$318,$AD$318+(4-2)*$AE$318))*(1+$C$6),2)*(IF($G$6="YES",$E$6,0)+IF($K$6="YES",$I$6,0)),2)</f>
        <v/>
      </c>
    </row>
    <row r="369">
      <c r="B369" s="37" t="n">
        <v>5</v>
      </c>
      <c r="C369" s="38">
        <f>ROUND((IF(5&lt;=5,$AD$311,$AD$311+(5-5)*$AE$311))*(1+$C$6),2)+ROUND(ROUND((IF(5&lt;=5,$AD$311,$AD$311+(5-5)*$AE$311))*(1+$C$6),2)*(IF($G$6="YES",$E$6,0)+IF($K$6="YES",$I$6,0)),2)</f>
        <v/>
      </c>
      <c r="D369" s="38">
        <f>ROUND((IF(5&lt;=5,$AD$312,$AD$312+(5-5)*$AE$312))*(1+$C$6),2)+ROUND(ROUND((IF(5&lt;=5,$AD$312,$AD$312+(5-5)*$AE$312))*(1+$C$6),2)*(IF($G$6="YES",$E$6,0)+IF($K$6="YES",$I$6,0)),2)</f>
        <v/>
      </c>
      <c r="E369" s="38">
        <f>ROUND((IF(5&lt;=15,$AD$313,$AD$313+(5-15)*$AE$313))*(1+$C$6),2)+ROUND(ROUND((IF(5&lt;=15,$AD$313,$AD$313+(5-15)*$AE$313))*(1+$C$6),2)*(IF($G$6="YES",$E$6,0)+IF($K$6="YES",$I$6,0)),2)</f>
        <v/>
      </c>
      <c r="F369" s="38">
        <f>ROUND((IF(5&lt;=15,$AD$314,$AD$314+(5-15)*$AE$314))*(1+$C$6),2)+ROUND(ROUND((IF(5&lt;=15,$AD$314,$AD$314+(5-15)*$AE$314))*(1+$C$6),2)*(IF($G$6="YES",$E$6,0)+IF($K$6="YES",$I$6,0)),2)</f>
        <v/>
      </c>
      <c r="G369" s="38">
        <f>ROUND((IF(5&lt;=5,$AD$315,IF(5&lt;=35,$AD$315+(5-5)*$AE$315,$AG$315+(5-35)*$AF$315)))*(1+$C$6),2)+ROUND(ROUND((IF(5&lt;=5,$AD$315,IF(5&lt;=35,$AD$315+(5-5)*$AE$315,$AG$315+(5-35)*$AF$315)))*(1+$C$6),2)*(IF($G$6="YES",$E$6,0)+IF($K$6="YES",$I$6,0)),2)</f>
        <v/>
      </c>
      <c r="H369" s="38">
        <f>ROUND((IF(5&lt;=5,$AD$316,IF(5&lt;=35,$AD$316+(5-5)*$AE$316,$AG$316+(5-35)*$AF$316)))*(1+$C$6),2)+ROUND(ROUND((IF(5&lt;=5,$AD$316,IF(5&lt;=35,$AD$316+(5-5)*$AE$316,$AG$316+(5-35)*$AF$316)))*(1+$C$6),2)*(IF($G$6="YES",$E$6,0)+IF($K$6="YES",$I$6,0)),2)</f>
        <v/>
      </c>
      <c r="I369" s="38">
        <f>ROUND((IF(5&lt;=2,$AD$317,$AD$317+(5-2)*$AE$317))*(1+$C$6),2)+ROUND(ROUND((IF(5&lt;=2,$AD$317,$AD$317+(5-2)*$AE$317))*(1+$C$6),2)*(IF($G$6="YES",$E$6,0)+IF($K$6="YES",$I$6,0)),2)+(5*$E$8*IF($C$8="YES",1,0))</f>
        <v/>
      </c>
      <c r="J369" s="39">
        <f>ROUND((IF(5&lt;=2,$AD$318,$AD$318+(5-2)*$AE$318))*(1+$C$6),2)+ROUND(ROUND((IF(5&lt;=2,$AD$318,$AD$318+(5-2)*$AE$318))*(1+$C$6),2)*(IF($G$6="YES",$E$6,0)+IF($K$6="YES",$I$6,0)),2)</f>
        <v/>
      </c>
    </row>
    <row r="370">
      <c r="B370" s="40" t="n">
        <v>6</v>
      </c>
      <c r="C370" s="41">
        <f>ROUND((IF(6&lt;=5,$AD$311,$AD$311+(6-5)*$AE$311))*(1+$C$6),2)+ROUND(ROUND((IF(6&lt;=5,$AD$311,$AD$311+(6-5)*$AE$311))*(1+$C$6),2)*(IF($G$6="YES",$E$6,0)+IF($K$6="YES",$I$6,0)),2)</f>
        <v/>
      </c>
      <c r="D370" s="41">
        <f>ROUND((IF(6&lt;=5,$AD$312,$AD$312+(6-5)*$AE$312))*(1+$C$6),2)+ROUND(ROUND((IF(6&lt;=5,$AD$312,$AD$312+(6-5)*$AE$312))*(1+$C$6),2)*(IF($G$6="YES",$E$6,0)+IF($K$6="YES",$I$6,0)),2)</f>
        <v/>
      </c>
      <c r="E370" s="41">
        <f>ROUND((IF(6&lt;=15,$AD$313,$AD$313+(6-15)*$AE$313))*(1+$C$6),2)+ROUND(ROUND((IF(6&lt;=15,$AD$313,$AD$313+(6-15)*$AE$313))*(1+$C$6),2)*(IF($G$6="YES",$E$6,0)+IF($K$6="YES",$I$6,0)),2)</f>
        <v/>
      </c>
      <c r="F370" s="41">
        <f>ROUND((IF(6&lt;=15,$AD$314,$AD$314+(6-15)*$AE$314))*(1+$C$6),2)+ROUND(ROUND((IF(6&lt;=15,$AD$314,$AD$314+(6-15)*$AE$314))*(1+$C$6),2)*(IF($G$6="YES",$E$6,0)+IF($K$6="YES",$I$6,0)),2)</f>
        <v/>
      </c>
      <c r="G370" s="41">
        <f>ROUND((IF(6&lt;=5,$AD$315,IF(6&lt;=35,$AD$315+(6-5)*$AE$315,$AG$315+(6-35)*$AF$315)))*(1+$C$6),2)+ROUND(ROUND((IF(6&lt;=5,$AD$315,IF(6&lt;=35,$AD$315+(6-5)*$AE$315,$AG$315+(6-35)*$AF$315)))*(1+$C$6),2)*(IF($G$6="YES",$E$6,0)+IF($K$6="YES",$I$6,0)),2)</f>
        <v/>
      </c>
      <c r="H370" s="41">
        <f>ROUND((IF(6&lt;=5,$AD$316,IF(6&lt;=35,$AD$316+(6-5)*$AE$316,$AG$316+(6-35)*$AF$316)))*(1+$C$6),2)+ROUND(ROUND((IF(6&lt;=5,$AD$316,IF(6&lt;=35,$AD$316+(6-5)*$AE$316,$AG$316+(6-35)*$AF$316)))*(1+$C$6),2)*(IF($G$6="YES",$E$6,0)+IF($K$6="YES",$I$6,0)),2)</f>
        <v/>
      </c>
      <c r="I370" s="41">
        <f>ROUND((IF(6&lt;=2,$AD$317,$AD$317+(6-2)*$AE$317))*(1+$C$6),2)+ROUND(ROUND((IF(6&lt;=2,$AD$317,$AD$317+(6-2)*$AE$317))*(1+$C$6),2)*(IF($G$6="YES",$E$6,0)+IF($K$6="YES",$I$6,0)),2)+(6*$E$8*IF($C$8="YES",1,0))</f>
        <v/>
      </c>
      <c r="J370" s="42">
        <f>ROUND((IF(6&lt;=2,$AD$318,$AD$318+(6-2)*$AE$318))*(1+$C$6),2)+ROUND(ROUND((IF(6&lt;=2,$AD$318,$AD$318+(6-2)*$AE$318))*(1+$C$6),2)*(IF($G$6="YES",$E$6,0)+IF($K$6="YES",$I$6,0)),2)</f>
        <v/>
      </c>
    </row>
    <row r="371">
      <c r="B371" s="40" t="n">
        <v>7</v>
      </c>
      <c r="C371" s="41">
        <f>ROUND((IF(7&lt;=5,$AD$311,$AD$311+(7-5)*$AE$311))*(1+$C$6),2)+ROUND(ROUND((IF(7&lt;=5,$AD$311,$AD$311+(7-5)*$AE$311))*(1+$C$6),2)*(IF($G$6="YES",$E$6,0)+IF($K$6="YES",$I$6,0)),2)</f>
        <v/>
      </c>
      <c r="D371" s="41">
        <f>ROUND((IF(7&lt;=5,$AD$312,$AD$312+(7-5)*$AE$312))*(1+$C$6),2)+ROUND(ROUND((IF(7&lt;=5,$AD$312,$AD$312+(7-5)*$AE$312))*(1+$C$6),2)*(IF($G$6="YES",$E$6,0)+IF($K$6="YES",$I$6,0)),2)</f>
        <v/>
      </c>
      <c r="E371" s="41">
        <f>ROUND((IF(7&lt;=15,$AD$313,$AD$313+(7-15)*$AE$313))*(1+$C$6),2)+ROUND(ROUND((IF(7&lt;=15,$AD$313,$AD$313+(7-15)*$AE$313))*(1+$C$6),2)*(IF($G$6="YES",$E$6,0)+IF($K$6="YES",$I$6,0)),2)</f>
        <v/>
      </c>
      <c r="F371" s="41">
        <f>ROUND((IF(7&lt;=15,$AD$314,$AD$314+(7-15)*$AE$314))*(1+$C$6),2)+ROUND(ROUND((IF(7&lt;=15,$AD$314,$AD$314+(7-15)*$AE$314))*(1+$C$6),2)*(IF($G$6="YES",$E$6,0)+IF($K$6="YES",$I$6,0)),2)</f>
        <v/>
      </c>
      <c r="G371" s="41">
        <f>ROUND((IF(7&lt;=5,$AD$315,IF(7&lt;=35,$AD$315+(7-5)*$AE$315,$AG$315+(7-35)*$AF$315)))*(1+$C$6),2)+ROUND(ROUND((IF(7&lt;=5,$AD$315,IF(7&lt;=35,$AD$315+(7-5)*$AE$315,$AG$315+(7-35)*$AF$315)))*(1+$C$6),2)*(IF($G$6="YES",$E$6,0)+IF($K$6="YES",$I$6,0)),2)</f>
        <v/>
      </c>
      <c r="H371" s="41">
        <f>ROUND((IF(7&lt;=5,$AD$316,IF(7&lt;=35,$AD$316+(7-5)*$AE$316,$AG$316+(7-35)*$AF$316)))*(1+$C$6),2)+ROUND(ROUND((IF(7&lt;=5,$AD$316,IF(7&lt;=35,$AD$316+(7-5)*$AE$316,$AG$316+(7-35)*$AF$316)))*(1+$C$6),2)*(IF($G$6="YES",$E$6,0)+IF($K$6="YES",$I$6,0)),2)</f>
        <v/>
      </c>
      <c r="I371" s="41">
        <f>ROUND((IF(7&lt;=2,$AD$317,$AD$317+(7-2)*$AE$317))*(1+$C$6),2)+ROUND(ROUND((IF(7&lt;=2,$AD$317,$AD$317+(7-2)*$AE$317))*(1+$C$6),2)*(IF($G$6="YES",$E$6,0)+IF($K$6="YES",$I$6,0)),2)+(7*$E$8*IF($C$8="YES",1,0))</f>
        <v/>
      </c>
      <c r="J371" s="42">
        <f>ROUND((IF(7&lt;=2,$AD$318,$AD$318+(7-2)*$AE$318))*(1+$C$6),2)+ROUND(ROUND((IF(7&lt;=2,$AD$318,$AD$318+(7-2)*$AE$318))*(1+$C$6),2)*(IF($G$6="YES",$E$6,0)+IF($K$6="YES",$I$6,0)),2)</f>
        <v/>
      </c>
    </row>
    <row r="372">
      <c r="B372" s="40" t="n">
        <v>8</v>
      </c>
      <c r="C372" s="41">
        <f>ROUND((IF(8&lt;=5,$AD$311,$AD$311+(8-5)*$AE$311))*(1+$C$6),2)+ROUND(ROUND((IF(8&lt;=5,$AD$311,$AD$311+(8-5)*$AE$311))*(1+$C$6),2)*(IF($G$6="YES",$E$6,0)+IF($K$6="YES",$I$6,0)),2)</f>
        <v/>
      </c>
      <c r="D372" s="41">
        <f>ROUND((IF(8&lt;=5,$AD$312,$AD$312+(8-5)*$AE$312))*(1+$C$6),2)+ROUND(ROUND((IF(8&lt;=5,$AD$312,$AD$312+(8-5)*$AE$312))*(1+$C$6),2)*(IF($G$6="YES",$E$6,0)+IF($K$6="YES",$I$6,0)),2)</f>
        <v/>
      </c>
      <c r="E372" s="41">
        <f>ROUND((IF(8&lt;=15,$AD$313,$AD$313+(8-15)*$AE$313))*(1+$C$6),2)+ROUND(ROUND((IF(8&lt;=15,$AD$313,$AD$313+(8-15)*$AE$313))*(1+$C$6),2)*(IF($G$6="YES",$E$6,0)+IF($K$6="YES",$I$6,0)),2)</f>
        <v/>
      </c>
      <c r="F372" s="41">
        <f>ROUND((IF(8&lt;=15,$AD$314,$AD$314+(8-15)*$AE$314))*(1+$C$6),2)+ROUND(ROUND((IF(8&lt;=15,$AD$314,$AD$314+(8-15)*$AE$314))*(1+$C$6),2)*(IF($G$6="YES",$E$6,0)+IF($K$6="YES",$I$6,0)),2)</f>
        <v/>
      </c>
      <c r="G372" s="41">
        <f>ROUND((IF(8&lt;=5,$AD$315,IF(8&lt;=35,$AD$315+(8-5)*$AE$315,$AG$315+(8-35)*$AF$315)))*(1+$C$6),2)+ROUND(ROUND((IF(8&lt;=5,$AD$315,IF(8&lt;=35,$AD$315+(8-5)*$AE$315,$AG$315+(8-35)*$AF$315)))*(1+$C$6),2)*(IF($G$6="YES",$E$6,0)+IF($K$6="YES",$I$6,0)),2)</f>
        <v/>
      </c>
      <c r="H372" s="41">
        <f>ROUND((IF(8&lt;=5,$AD$316,IF(8&lt;=35,$AD$316+(8-5)*$AE$316,$AG$316+(8-35)*$AF$316)))*(1+$C$6),2)+ROUND(ROUND((IF(8&lt;=5,$AD$316,IF(8&lt;=35,$AD$316+(8-5)*$AE$316,$AG$316+(8-35)*$AF$316)))*(1+$C$6),2)*(IF($G$6="YES",$E$6,0)+IF($K$6="YES",$I$6,0)),2)</f>
        <v/>
      </c>
      <c r="I372" s="41">
        <f>ROUND((IF(8&lt;=2,$AD$317,$AD$317+(8-2)*$AE$317))*(1+$C$6),2)+ROUND(ROUND((IF(8&lt;=2,$AD$317,$AD$317+(8-2)*$AE$317))*(1+$C$6),2)*(IF($G$6="YES",$E$6,0)+IF($K$6="YES",$I$6,0)),2)+(8*$E$8*IF($C$8="YES",1,0))</f>
        <v/>
      </c>
      <c r="J372" s="42">
        <f>ROUND((IF(8&lt;=2,$AD$318,$AD$318+(8-2)*$AE$318))*(1+$C$6),2)+ROUND(ROUND((IF(8&lt;=2,$AD$318,$AD$318+(8-2)*$AE$318))*(1+$C$6),2)*(IF($G$6="YES",$E$6,0)+IF($K$6="YES",$I$6,0)),2)</f>
        <v/>
      </c>
    </row>
    <row r="373">
      <c r="B373" s="40" t="n">
        <v>9</v>
      </c>
      <c r="C373" s="41">
        <f>ROUND((IF(9&lt;=5,$AD$311,$AD$311+(9-5)*$AE$311))*(1+$C$6),2)+ROUND(ROUND((IF(9&lt;=5,$AD$311,$AD$311+(9-5)*$AE$311))*(1+$C$6),2)*(IF($G$6="YES",$E$6,0)+IF($K$6="YES",$I$6,0)),2)</f>
        <v/>
      </c>
      <c r="D373" s="41">
        <f>ROUND((IF(9&lt;=5,$AD$312,$AD$312+(9-5)*$AE$312))*(1+$C$6),2)+ROUND(ROUND((IF(9&lt;=5,$AD$312,$AD$312+(9-5)*$AE$312))*(1+$C$6),2)*(IF($G$6="YES",$E$6,0)+IF($K$6="YES",$I$6,0)),2)</f>
        <v/>
      </c>
      <c r="E373" s="41">
        <f>ROUND((IF(9&lt;=15,$AD$313,$AD$313+(9-15)*$AE$313))*(1+$C$6),2)+ROUND(ROUND((IF(9&lt;=15,$AD$313,$AD$313+(9-15)*$AE$313))*(1+$C$6),2)*(IF($G$6="YES",$E$6,0)+IF($K$6="YES",$I$6,0)),2)</f>
        <v/>
      </c>
      <c r="F373" s="41">
        <f>ROUND((IF(9&lt;=15,$AD$314,$AD$314+(9-15)*$AE$314))*(1+$C$6),2)+ROUND(ROUND((IF(9&lt;=15,$AD$314,$AD$314+(9-15)*$AE$314))*(1+$C$6),2)*(IF($G$6="YES",$E$6,0)+IF($K$6="YES",$I$6,0)),2)</f>
        <v/>
      </c>
      <c r="G373" s="41">
        <f>ROUND((IF(9&lt;=5,$AD$315,IF(9&lt;=35,$AD$315+(9-5)*$AE$315,$AG$315+(9-35)*$AF$315)))*(1+$C$6),2)+ROUND(ROUND((IF(9&lt;=5,$AD$315,IF(9&lt;=35,$AD$315+(9-5)*$AE$315,$AG$315+(9-35)*$AF$315)))*(1+$C$6),2)*(IF($G$6="YES",$E$6,0)+IF($K$6="YES",$I$6,0)),2)</f>
        <v/>
      </c>
      <c r="H373" s="41">
        <f>ROUND((IF(9&lt;=5,$AD$316,IF(9&lt;=35,$AD$316+(9-5)*$AE$316,$AG$316+(9-35)*$AF$316)))*(1+$C$6),2)+ROUND(ROUND((IF(9&lt;=5,$AD$316,IF(9&lt;=35,$AD$316+(9-5)*$AE$316,$AG$316+(9-35)*$AF$316)))*(1+$C$6),2)*(IF($G$6="YES",$E$6,0)+IF($K$6="YES",$I$6,0)),2)</f>
        <v/>
      </c>
      <c r="I373" s="41">
        <f>ROUND((IF(9&lt;=2,$AD$317,$AD$317+(9-2)*$AE$317))*(1+$C$6),2)+ROUND(ROUND((IF(9&lt;=2,$AD$317,$AD$317+(9-2)*$AE$317))*(1+$C$6),2)*(IF($G$6="YES",$E$6,0)+IF($K$6="YES",$I$6,0)),2)+(9*$E$8*IF($C$8="YES",1,0))</f>
        <v/>
      </c>
      <c r="J373" s="42">
        <f>ROUND((IF(9&lt;=2,$AD$318,$AD$318+(9-2)*$AE$318))*(1+$C$6),2)+ROUND(ROUND((IF(9&lt;=2,$AD$318,$AD$318+(9-2)*$AE$318))*(1+$C$6),2)*(IF($G$6="YES",$E$6,0)+IF($K$6="YES",$I$6,0)),2)</f>
        <v/>
      </c>
    </row>
    <row r="374">
      <c r="B374" s="40" t="n">
        <v>10</v>
      </c>
      <c r="C374" s="41">
        <f>ROUND((IF(10&lt;=5,$AD$311,$AD$311+(10-5)*$AE$311))*(1+$C$6),2)+ROUND(ROUND((IF(10&lt;=5,$AD$311,$AD$311+(10-5)*$AE$311))*(1+$C$6),2)*(IF($G$6="YES",$E$6,0)+IF($K$6="YES",$I$6,0)),2)</f>
        <v/>
      </c>
      <c r="D374" s="41">
        <f>ROUND((IF(10&lt;=5,$AD$312,$AD$312+(10-5)*$AE$312))*(1+$C$6),2)+ROUND(ROUND((IF(10&lt;=5,$AD$312,$AD$312+(10-5)*$AE$312))*(1+$C$6),2)*(IF($G$6="YES",$E$6,0)+IF($K$6="YES",$I$6,0)),2)</f>
        <v/>
      </c>
      <c r="E374" s="41">
        <f>ROUND((IF(10&lt;=15,$AD$313,$AD$313+(10-15)*$AE$313))*(1+$C$6),2)+ROUND(ROUND((IF(10&lt;=15,$AD$313,$AD$313+(10-15)*$AE$313))*(1+$C$6),2)*(IF($G$6="YES",$E$6,0)+IF($K$6="YES",$I$6,0)),2)</f>
        <v/>
      </c>
      <c r="F374" s="41">
        <f>ROUND((IF(10&lt;=15,$AD$314,$AD$314+(10-15)*$AE$314))*(1+$C$6),2)+ROUND(ROUND((IF(10&lt;=15,$AD$314,$AD$314+(10-15)*$AE$314))*(1+$C$6),2)*(IF($G$6="YES",$E$6,0)+IF($K$6="YES",$I$6,0)),2)</f>
        <v/>
      </c>
      <c r="G374" s="41">
        <f>ROUND((IF(10&lt;=5,$AD$315,IF(10&lt;=35,$AD$315+(10-5)*$AE$315,$AG$315+(10-35)*$AF$315)))*(1+$C$6),2)+ROUND(ROUND((IF(10&lt;=5,$AD$315,IF(10&lt;=35,$AD$315+(10-5)*$AE$315,$AG$315+(10-35)*$AF$315)))*(1+$C$6),2)*(IF($G$6="YES",$E$6,0)+IF($K$6="YES",$I$6,0)),2)</f>
        <v/>
      </c>
      <c r="H374" s="41">
        <f>ROUND((IF(10&lt;=5,$AD$316,IF(10&lt;=35,$AD$316+(10-5)*$AE$316,$AG$316+(10-35)*$AF$316)))*(1+$C$6),2)+ROUND(ROUND((IF(10&lt;=5,$AD$316,IF(10&lt;=35,$AD$316+(10-5)*$AE$316,$AG$316+(10-35)*$AF$316)))*(1+$C$6),2)*(IF($G$6="YES",$E$6,0)+IF($K$6="YES",$I$6,0)),2)</f>
        <v/>
      </c>
      <c r="I374" s="41">
        <f>ROUND((IF(10&lt;=2,$AD$317,$AD$317+(10-2)*$AE$317))*(1+$C$6),2)+ROUND(ROUND((IF(10&lt;=2,$AD$317,$AD$317+(10-2)*$AE$317))*(1+$C$6),2)*(IF($G$6="YES",$E$6,0)+IF($K$6="YES",$I$6,0)),2)+(10*$E$8*IF($C$8="YES",1,0))</f>
        <v/>
      </c>
      <c r="J374" s="42">
        <f>ROUND((IF(10&lt;=2,$AD$318,$AD$318+(10-2)*$AE$318))*(1+$C$6),2)+ROUND(ROUND((IF(10&lt;=2,$AD$318,$AD$318+(10-2)*$AE$318))*(1+$C$6),2)*(IF($G$6="YES",$E$6,0)+IF($K$6="YES",$I$6,0)),2)</f>
        <v/>
      </c>
    </row>
    <row r="375">
      <c r="B375" s="37" t="n">
        <v>11</v>
      </c>
      <c r="C375" s="38">
        <f>ROUND((IF(11&lt;=5,$AD$311,$AD$311+(11-5)*$AE$311))*(1+$C$6),2)+ROUND(ROUND((IF(11&lt;=5,$AD$311,$AD$311+(11-5)*$AE$311))*(1+$C$6),2)*(IF($G$6="YES",$E$6,0)+IF($K$6="YES",$I$6,0)),2)</f>
        <v/>
      </c>
      <c r="D375" s="38">
        <f>ROUND((IF(11&lt;=5,$AD$312,$AD$312+(11-5)*$AE$312))*(1+$C$6),2)+ROUND(ROUND((IF(11&lt;=5,$AD$312,$AD$312+(11-5)*$AE$312))*(1+$C$6),2)*(IF($G$6="YES",$E$6,0)+IF($K$6="YES",$I$6,0)),2)</f>
        <v/>
      </c>
      <c r="E375" s="38">
        <f>ROUND((IF(11&lt;=15,$AD$313,$AD$313+(11-15)*$AE$313))*(1+$C$6),2)+ROUND(ROUND((IF(11&lt;=15,$AD$313,$AD$313+(11-15)*$AE$313))*(1+$C$6),2)*(IF($G$6="YES",$E$6,0)+IF($K$6="YES",$I$6,0)),2)</f>
        <v/>
      </c>
      <c r="F375" s="38">
        <f>ROUND((IF(11&lt;=15,$AD$314,$AD$314+(11-15)*$AE$314))*(1+$C$6),2)+ROUND(ROUND((IF(11&lt;=15,$AD$314,$AD$314+(11-15)*$AE$314))*(1+$C$6),2)*(IF($G$6="YES",$E$6,0)+IF($K$6="YES",$I$6,0)),2)</f>
        <v/>
      </c>
      <c r="G375" s="38">
        <f>ROUND((IF(11&lt;=5,$AD$315,IF(11&lt;=35,$AD$315+(11-5)*$AE$315,$AG$315+(11-35)*$AF$315)))*(1+$C$6),2)+ROUND(ROUND((IF(11&lt;=5,$AD$315,IF(11&lt;=35,$AD$315+(11-5)*$AE$315,$AG$315+(11-35)*$AF$315)))*(1+$C$6),2)*(IF($G$6="YES",$E$6,0)+IF($K$6="YES",$I$6,0)),2)</f>
        <v/>
      </c>
      <c r="H375" s="38">
        <f>ROUND((IF(11&lt;=5,$AD$316,IF(11&lt;=35,$AD$316+(11-5)*$AE$316,$AG$316+(11-35)*$AF$316)))*(1+$C$6),2)+ROUND(ROUND((IF(11&lt;=5,$AD$316,IF(11&lt;=35,$AD$316+(11-5)*$AE$316,$AG$316+(11-35)*$AF$316)))*(1+$C$6),2)*(IF($G$6="YES",$E$6,0)+IF($K$6="YES",$I$6,0)),2)</f>
        <v/>
      </c>
      <c r="I375" s="38">
        <f>ROUND((IF(11&lt;=2,$AD$317,$AD$317+(11-2)*$AE$317))*(1+$C$6),2)+ROUND(ROUND((IF(11&lt;=2,$AD$317,$AD$317+(11-2)*$AE$317))*(1+$C$6),2)*(IF($G$6="YES",$E$6,0)+IF($K$6="YES",$I$6,0)),2)+(11*$E$8*IF($C$8="YES",1,0))</f>
        <v/>
      </c>
      <c r="J375" s="39">
        <f>ROUND((IF(11&lt;=2,$AD$318,$AD$318+(11-2)*$AE$318))*(1+$C$6),2)+ROUND(ROUND((IF(11&lt;=2,$AD$318,$AD$318+(11-2)*$AE$318))*(1+$C$6),2)*(IF($G$6="YES",$E$6,0)+IF($K$6="YES",$I$6,0)),2)</f>
        <v/>
      </c>
    </row>
    <row r="376">
      <c r="B376" s="37" t="n">
        <v>12</v>
      </c>
      <c r="C376" s="38">
        <f>ROUND((IF(12&lt;=5,$AD$311,$AD$311+(12-5)*$AE$311))*(1+$C$6),2)+ROUND(ROUND((IF(12&lt;=5,$AD$311,$AD$311+(12-5)*$AE$311))*(1+$C$6),2)*(IF($G$6="YES",$E$6,0)+IF($K$6="YES",$I$6,0)),2)</f>
        <v/>
      </c>
      <c r="D376" s="38">
        <f>ROUND((IF(12&lt;=5,$AD$312,$AD$312+(12-5)*$AE$312))*(1+$C$6),2)+ROUND(ROUND((IF(12&lt;=5,$AD$312,$AD$312+(12-5)*$AE$312))*(1+$C$6),2)*(IF($G$6="YES",$E$6,0)+IF($K$6="YES",$I$6,0)),2)</f>
        <v/>
      </c>
      <c r="E376" s="38">
        <f>ROUND((IF(12&lt;=15,$AD$313,$AD$313+(12-15)*$AE$313))*(1+$C$6),2)+ROUND(ROUND((IF(12&lt;=15,$AD$313,$AD$313+(12-15)*$AE$313))*(1+$C$6),2)*(IF($G$6="YES",$E$6,0)+IF($K$6="YES",$I$6,0)),2)</f>
        <v/>
      </c>
      <c r="F376" s="38">
        <f>ROUND((IF(12&lt;=15,$AD$314,$AD$314+(12-15)*$AE$314))*(1+$C$6),2)+ROUND(ROUND((IF(12&lt;=15,$AD$314,$AD$314+(12-15)*$AE$314))*(1+$C$6),2)*(IF($G$6="YES",$E$6,0)+IF($K$6="YES",$I$6,0)),2)</f>
        <v/>
      </c>
      <c r="G376" s="38">
        <f>ROUND((IF(12&lt;=5,$AD$315,IF(12&lt;=35,$AD$315+(12-5)*$AE$315,$AG$315+(12-35)*$AF$315)))*(1+$C$6),2)+ROUND(ROUND((IF(12&lt;=5,$AD$315,IF(12&lt;=35,$AD$315+(12-5)*$AE$315,$AG$315+(12-35)*$AF$315)))*(1+$C$6),2)*(IF($G$6="YES",$E$6,0)+IF($K$6="YES",$I$6,0)),2)</f>
        <v/>
      </c>
      <c r="H376" s="38">
        <f>ROUND((IF(12&lt;=5,$AD$316,IF(12&lt;=35,$AD$316+(12-5)*$AE$316,$AG$316+(12-35)*$AF$316)))*(1+$C$6),2)+ROUND(ROUND((IF(12&lt;=5,$AD$316,IF(12&lt;=35,$AD$316+(12-5)*$AE$316,$AG$316+(12-35)*$AF$316)))*(1+$C$6),2)*(IF($G$6="YES",$E$6,0)+IF($K$6="YES",$I$6,0)),2)</f>
        <v/>
      </c>
      <c r="I376" s="38">
        <f>ROUND((IF(12&lt;=2,$AD$317,$AD$317+(12-2)*$AE$317))*(1+$C$6),2)+ROUND(ROUND((IF(12&lt;=2,$AD$317,$AD$317+(12-2)*$AE$317))*(1+$C$6),2)*(IF($G$6="YES",$E$6,0)+IF($K$6="YES",$I$6,0)),2)+(12*$E$8*IF($C$8="YES",1,0))</f>
        <v/>
      </c>
      <c r="J376" s="39">
        <f>ROUND((IF(12&lt;=2,$AD$318,$AD$318+(12-2)*$AE$318))*(1+$C$6),2)+ROUND(ROUND((IF(12&lt;=2,$AD$318,$AD$318+(12-2)*$AE$318))*(1+$C$6),2)*(IF($G$6="YES",$E$6,0)+IF($K$6="YES",$I$6,0)),2)</f>
        <v/>
      </c>
    </row>
    <row r="377">
      <c r="B377" s="37" t="n">
        <v>13</v>
      </c>
      <c r="C377" s="38">
        <f>ROUND((IF(13&lt;=5,$AD$311,$AD$311+(13-5)*$AE$311))*(1+$C$6),2)+ROUND(ROUND((IF(13&lt;=5,$AD$311,$AD$311+(13-5)*$AE$311))*(1+$C$6),2)*(IF($G$6="YES",$E$6,0)+IF($K$6="YES",$I$6,0)),2)</f>
        <v/>
      </c>
      <c r="D377" s="38">
        <f>ROUND((IF(13&lt;=5,$AD$312,$AD$312+(13-5)*$AE$312))*(1+$C$6),2)+ROUND(ROUND((IF(13&lt;=5,$AD$312,$AD$312+(13-5)*$AE$312))*(1+$C$6),2)*(IF($G$6="YES",$E$6,0)+IF($K$6="YES",$I$6,0)),2)</f>
        <v/>
      </c>
      <c r="E377" s="38">
        <f>ROUND((IF(13&lt;=15,$AD$313,$AD$313+(13-15)*$AE$313))*(1+$C$6),2)+ROUND(ROUND((IF(13&lt;=15,$AD$313,$AD$313+(13-15)*$AE$313))*(1+$C$6),2)*(IF($G$6="YES",$E$6,0)+IF($K$6="YES",$I$6,0)),2)</f>
        <v/>
      </c>
      <c r="F377" s="38">
        <f>ROUND((IF(13&lt;=15,$AD$314,$AD$314+(13-15)*$AE$314))*(1+$C$6),2)+ROUND(ROUND((IF(13&lt;=15,$AD$314,$AD$314+(13-15)*$AE$314))*(1+$C$6),2)*(IF($G$6="YES",$E$6,0)+IF($K$6="YES",$I$6,0)),2)</f>
        <v/>
      </c>
      <c r="G377" s="38">
        <f>ROUND((IF(13&lt;=5,$AD$315,IF(13&lt;=35,$AD$315+(13-5)*$AE$315,$AG$315+(13-35)*$AF$315)))*(1+$C$6),2)+ROUND(ROUND((IF(13&lt;=5,$AD$315,IF(13&lt;=35,$AD$315+(13-5)*$AE$315,$AG$315+(13-35)*$AF$315)))*(1+$C$6),2)*(IF($G$6="YES",$E$6,0)+IF($K$6="YES",$I$6,0)),2)</f>
        <v/>
      </c>
      <c r="H377" s="38">
        <f>ROUND((IF(13&lt;=5,$AD$316,IF(13&lt;=35,$AD$316+(13-5)*$AE$316,$AG$316+(13-35)*$AF$316)))*(1+$C$6),2)+ROUND(ROUND((IF(13&lt;=5,$AD$316,IF(13&lt;=35,$AD$316+(13-5)*$AE$316,$AG$316+(13-35)*$AF$316)))*(1+$C$6),2)*(IF($G$6="YES",$E$6,0)+IF($K$6="YES",$I$6,0)),2)</f>
        <v/>
      </c>
      <c r="I377" s="38">
        <f>ROUND((IF(13&lt;=2,$AD$317,$AD$317+(13-2)*$AE$317))*(1+$C$6),2)+ROUND(ROUND((IF(13&lt;=2,$AD$317,$AD$317+(13-2)*$AE$317))*(1+$C$6),2)*(IF($G$6="YES",$E$6,0)+IF($K$6="YES",$I$6,0)),2)+(13*$E$8*IF($C$8="YES",1,0))</f>
        <v/>
      </c>
      <c r="J377" s="39">
        <f>ROUND((IF(13&lt;=2,$AD$318,$AD$318+(13-2)*$AE$318))*(1+$C$6),2)+ROUND(ROUND((IF(13&lt;=2,$AD$318,$AD$318+(13-2)*$AE$318))*(1+$C$6),2)*(IF($G$6="YES",$E$6,0)+IF($K$6="YES",$I$6,0)),2)</f>
        <v/>
      </c>
    </row>
    <row r="378">
      <c r="B378" s="37" t="n">
        <v>14</v>
      </c>
      <c r="C378" s="38">
        <f>ROUND((IF(14&lt;=5,$AD$311,$AD$311+(14-5)*$AE$311))*(1+$C$6),2)+ROUND(ROUND((IF(14&lt;=5,$AD$311,$AD$311+(14-5)*$AE$311))*(1+$C$6),2)*(IF($G$6="YES",$E$6,0)+IF($K$6="YES",$I$6,0)),2)</f>
        <v/>
      </c>
      <c r="D378" s="38">
        <f>ROUND((IF(14&lt;=5,$AD$312,$AD$312+(14-5)*$AE$312))*(1+$C$6),2)+ROUND(ROUND((IF(14&lt;=5,$AD$312,$AD$312+(14-5)*$AE$312))*(1+$C$6),2)*(IF($G$6="YES",$E$6,0)+IF($K$6="YES",$I$6,0)),2)</f>
        <v/>
      </c>
      <c r="E378" s="38">
        <f>ROUND((IF(14&lt;=15,$AD$313,$AD$313+(14-15)*$AE$313))*(1+$C$6),2)+ROUND(ROUND((IF(14&lt;=15,$AD$313,$AD$313+(14-15)*$AE$313))*(1+$C$6),2)*(IF($G$6="YES",$E$6,0)+IF($K$6="YES",$I$6,0)),2)</f>
        <v/>
      </c>
      <c r="F378" s="38">
        <f>ROUND((IF(14&lt;=15,$AD$314,$AD$314+(14-15)*$AE$314))*(1+$C$6),2)+ROUND(ROUND((IF(14&lt;=15,$AD$314,$AD$314+(14-15)*$AE$314))*(1+$C$6),2)*(IF($G$6="YES",$E$6,0)+IF($K$6="YES",$I$6,0)),2)</f>
        <v/>
      </c>
      <c r="G378" s="38">
        <f>ROUND((IF(14&lt;=5,$AD$315,IF(14&lt;=35,$AD$315+(14-5)*$AE$315,$AG$315+(14-35)*$AF$315)))*(1+$C$6),2)+ROUND(ROUND((IF(14&lt;=5,$AD$315,IF(14&lt;=35,$AD$315+(14-5)*$AE$315,$AG$315+(14-35)*$AF$315)))*(1+$C$6),2)*(IF($G$6="YES",$E$6,0)+IF($K$6="YES",$I$6,0)),2)</f>
        <v/>
      </c>
      <c r="H378" s="38">
        <f>ROUND((IF(14&lt;=5,$AD$316,IF(14&lt;=35,$AD$316+(14-5)*$AE$316,$AG$316+(14-35)*$AF$316)))*(1+$C$6),2)+ROUND(ROUND((IF(14&lt;=5,$AD$316,IF(14&lt;=35,$AD$316+(14-5)*$AE$316,$AG$316+(14-35)*$AF$316)))*(1+$C$6),2)*(IF($G$6="YES",$E$6,0)+IF($K$6="YES",$I$6,0)),2)</f>
        <v/>
      </c>
      <c r="I378" s="38">
        <f>ROUND((IF(14&lt;=2,$AD$317,$AD$317+(14-2)*$AE$317))*(1+$C$6),2)+ROUND(ROUND((IF(14&lt;=2,$AD$317,$AD$317+(14-2)*$AE$317))*(1+$C$6),2)*(IF($G$6="YES",$E$6,0)+IF($K$6="YES",$I$6,0)),2)+(14*$E$8*IF($C$8="YES",1,0))</f>
        <v/>
      </c>
      <c r="J378" s="39">
        <f>ROUND((IF(14&lt;=2,$AD$318,$AD$318+(14-2)*$AE$318))*(1+$C$6),2)+ROUND(ROUND((IF(14&lt;=2,$AD$318,$AD$318+(14-2)*$AE$318))*(1+$C$6),2)*(IF($G$6="YES",$E$6,0)+IF($K$6="YES",$I$6,0)),2)</f>
        <v/>
      </c>
    </row>
    <row r="379">
      <c r="B379" s="37" t="n">
        <v>15</v>
      </c>
      <c r="C379" s="38">
        <f>ROUND((IF(15&lt;=5,$AD$311,$AD$311+(15-5)*$AE$311))*(1+$C$6),2)+ROUND(ROUND((IF(15&lt;=5,$AD$311,$AD$311+(15-5)*$AE$311))*(1+$C$6),2)*(IF($G$6="YES",$E$6,0)+IF($K$6="YES",$I$6,0)),2)</f>
        <v/>
      </c>
      <c r="D379" s="38">
        <f>ROUND((IF(15&lt;=5,$AD$312,$AD$312+(15-5)*$AE$312))*(1+$C$6),2)+ROUND(ROUND((IF(15&lt;=5,$AD$312,$AD$312+(15-5)*$AE$312))*(1+$C$6),2)*(IF($G$6="YES",$E$6,0)+IF($K$6="YES",$I$6,0)),2)</f>
        <v/>
      </c>
      <c r="E379" s="38">
        <f>ROUND((IF(15&lt;=15,$AD$313,$AD$313+(15-15)*$AE$313))*(1+$C$6),2)+ROUND(ROUND((IF(15&lt;=15,$AD$313,$AD$313+(15-15)*$AE$313))*(1+$C$6),2)*(IF($G$6="YES",$E$6,0)+IF($K$6="YES",$I$6,0)),2)</f>
        <v/>
      </c>
      <c r="F379" s="38">
        <f>ROUND((IF(15&lt;=15,$AD$314,$AD$314+(15-15)*$AE$314))*(1+$C$6),2)+ROUND(ROUND((IF(15&lt;=15,$AD$314,$AD$314+(15-15)*$AE$314))*(1+$C$6),2)*(IF($G$6="YES",$E$6,0)+IF($K$6="YES",$I$6,0)),2)</f>
        <v/>
      </c>
      <c r="G379" s="38">
        <f>ROUND((IF(15&lt;=5,$AD$315,IF(15&lt;=35,$AD$315+(15-5)*$AE$315,$AG$315+(15-35)*$AF$315)))*(1+$C$6),2)+ROUND(ROUND((IF(15&lt;=5,$AD$315,IF(15&lt;=35,$AD$315+(15-5)*$AE$315,$AG$315+(15-35)*$AF$315)))*(1+$C$6),2)*(IF($G$6="YES",$E$6,0)+IF($K$6="YES",$I$6,0)),2)</f>
        <v/>
      </c>
      <c r="H379" s="38">
        <f>ROUND((IF(15&lt;=5,$AD$316,IF(15&lt;=35,$AD$316+(15-5)*$AE$316,$AG$316+(15-35)*$AF$316)))*(1+$C$6),2)+ROUND(ROUND((IF(15&lt;=5,$AD$316,IF(15&lt;=35,$AD$316+(15-5)*$AE$316,$AG$316+(15-35)*$AF$316)))*(1+$C$6),2)*(IF($G$6="YES",$E$6,0)+IF($K$6="YES",$I$6,0)),2)</f>
        <v/>
      </c>
      <c r="I379" s="38">
        <f>ROUND((IF(15&lt;=2,$AD$317,$AD$317+(15-2)*$AE$317))*(1+$C$6),2)+ROUND(ROUND((IF(15&lt;=2,$AD$317,$AD$317+(15-2)*$AE$317))*(1+$C$6),2)*(IF($G$6="YES",$E$6,0)+IF($K$6="YES",$I$6,0)),2)+(15*$E$8*IF($C$8="YES",1,0))</f>
        <v/>
      </c>
      <c r="J379" s="39">
        <f>ROUND((IF(15&lt;=2,$AD$318,$AD$318+(15-2)*$AE$318))*(1+$C$6),2)+ROUND(ROUND((IF(15&lt;=2,$AD$318,$AD$318+(15-2)*$AE$318))*(1+$C$6),2)*(IF($G$6="YES",$E$6,0)+IF($K$6="YES",$I$6,0)),2)</f>
        <v/>
      </c>
    </row>
    <row r="380">
      <c r="B380" s="40" t="n">
        <v>16</v>
      </c>
      <c r="C380" s="41">
        <f>ROUND((IF(16&lt;=5,$AD$311,$AD$311+(16-5)*$AE$311))*(1+$C$6),2)+ROUND(ROUND((IF(16&lt;=5,$AD$311,$AD$311+(16-5)*$AE$311))*(1+$C$6),2)*(IF($G$6="YES",$E$6,0)+IF($K$6="YES",$I$6,0)),2)</f>
        <v/>
      </c>
      <c r="D380" s="41">
        <f>ROUND((IF(16&lt;=5,$AD$312,$AD$312+(16-5)*$AE$312))*(1+$C$6),2)+ROUND(ROUND((IF(16&lt;=5,$AD$312,$AD$312+(16-5)*$AE$312))*(1+$C$6),2)*(IF($G$6="YES",$E$6,0)+IF($K$6="YES",$I$6,0)),2)</f>
        <v/>
      </c>
      <c r="E380" s="41">
        <f>ROUND((IF(16&lt;=15,$AD$313,$AD$313+(16-15)*$AE$313))*(1+$C$6),2)+ROUND(ROUND((IF(16&lt;=15,$AD$313,$AD$313+(16-15)*$AE$313))*(1+$C$6),2)*(IF($G$6="YES",$E$6,0)+IF($K$6="YES",$I$6,0)),2)</f>
        <v/>
      </c>
      <c r="F380" s="41">
        <f>ROUND((IF(16&lt;=15,$AD$314,$AD$314+(16-15)*$AE$314))*(1+$C$6),2)+ROUND(ROUND((IF(16&lt;=15,$AD$314,$AD$314+(16-15)*$AE$314))*(1+$C$6),2)*(IF($G$6="YES",$E$6,0)+IF($K$6="YES",$I$6,0)),2)</f>
        <v/>
      </c>
      <c r="G380" s="41">
        <f>ROUND((IF(16&lt;=5,$AD$315,IF(16&lt;=35,$AD$315+(16-5)*$AE$315,$AG$315+(16-35)*$AF$315)))*(1+$C$6),2)+ROUND(ROUND((IF(16&lt;=5,$AD$315,IF(16&lt;=35,$AD$315+(16-5)*$AE$315,$AG$315+(16-35)*$AF$315)))*(1+$C$6),2)*(IF($G$6="YES",$E$6,0)+IF($K$6="YES",$I$6,0)),2)</f>
        <v/>
      </c>
      <c r="H380" s="41">
        <f>ROUND((IF(16&lt;=5,$AD$316,IF(16&lt;=35,$AD$316+(16-5)*$AE$316,$AG$316+(16-35)*$AF$316)))*(1+$C$6),2)+ROUND(ROUND((IF(16&lt;=5,$AD$316,IF(16&lt;=35,$AD$316+(16-5)*$AE$316,$AG$316+(16-35)*$AF$316)))*(1+$C$6),2)*(IF($G$6="YES",$E$6,0)+IF($K$6="YES",$I$6,0)),2)</f>
        <v/>
      </c>
      <c r="I380" s="41">
        <f>ROUND((IF(16&lt;=2,$AD$317,$AD$317+(16-2)*$AE$317))*(1+$C$6),2)+ROUND(ROUND((IF(16&lt;=2,$AD$317,$AD$317+(16-2)*$AE$317))*(1+$C$6),2)*(IF($G$6="YES",$E$6,0)+IF($K$6="YES",$I$6,0)),2)+(16*$E$8*IF($C$8="YES",1,0))</f>
        <v/>
      </c>
      <c r="J380" s="42">
        <f>ROUND((IF(16&lt;=2,$AD$318,$AD$318+(16-2)*$AE$318))*(1+$C$6),2)+ROUND(ROUND((IF(16&lt;=2,$AD$318,$AD$318+(16-2)*$AE$318))*(1+$C$6),2)*(IF($G$6="YES",$E$6,0)+IF($K$6="YES",$I$6,0)),2)</f>
        <v/>
      </c>
    </row>
    <row r="381">
      <c r="B381" s="40" t="n">
        <v>17</v>
      </c>
      <c r="C381" s="41">
        <f>ROUND((IF(17&lt;=5,$AD$311,$AD$311+(17-5)*$AE$311))*(1+$C$6),2)+ROUND(ROUND((IF(17&lt;=5,$AD$311,$AD$311+(17-5)*$AE$311))*(1+$C$6),2)*(IF($G$6="YES",$E$6,0)+IF($K$6="YES",$I$6,0)),2)</f>
        <v/>
      </c>
      <c r="D381" s="41">
        <f>ROUND((IF(17&lt;=5,$AD$312,$AD$312+(17-5)*$AE$312))*(1+$C$6),2)+ROUND(ROUND((IF(17&lt;=5,$AD$312,$AD$312+(17-5)*$AE$312))*(1+$C$6),2)*(IF($G$6="YES",$E$6,0)+IF($K$6="YES",$I$6,0)),2)</f>
        <v/>
      </c>
      <c r="E381" s="41">
        <f>ROUND((IF(17&lt;=15,$AD$313,$AD$313+(17-15)*$AE$313))*(1+$C$6),2)+ROUND(ROUND((IF(17&lt;=15,$AD$313,$AD$313+(17-15)*$AE$313))*(1+$C$6),2)*(IF($G$6="YES",$E$6,0)+IF($K$6="YES",$I$6,0)),2)</f>
        <v/>
      </c>
      <c r="F381" s="41">
        <f>ROUND((IF(17&lt;=15,$AD$314,$AD$314+(17-15)*$AE$314))*(1+$C$6),2)+ROUND(ROUND((IF(17&lt;=15,$AD$314,$AD$314+(17-15)*$AE$314))*(1+$C$6),2)*(IF($G$6="YES",$E$6,0)+IF($K$6="YES",$I$6,0)),2)</f>
        <v/>
      </c>
      <c r="G381" s="41">
        <f>ROUND((IF(17&lt;=5,$AD$315,IF(17&lt;=35,$AD$315+(17-5)*$AE$315,$AG$315+(17-35)*$AF$315)))*(1+$C$6),2)+ROUND(ROUND((IF(17&lt;=5,$AD$315,IF(17&lt;=35,$AD$315+(17-5)*$AE$315,$AG$315+(17-35)*$AF$315)))*(1+$C$6),2)*(IF($G$6="YES",$E$6,0)+IF($K$6="YES",$I$6,0)),2)</f>
        <v/>
      </c>
      <c r="H381" s="41">
        <f>ROUND((IF(17&lt;=5,$AD$316,IF(17&lt;=35,$AD$316+(17-5)*$AE$316,$AG$316+(17-35)*$AF$316)))*(1+$C$6),2)+ROUND(ROUND((IF(17&lt;=5,$AD$316,IF(17&lt;=35,$AD$316+(17-5)*$AE$316,$AG$316+(17-35)*$AF$316)))*(1+$C$6),2)*(IF($G$6="YES",$E$6,0)+IF($K$6="YES",$I$6,0)),2)</f>
        <v/>
      </c>
      <c r="I381" s="41">
        <f>ROUND((IF(17&lt;=2,$AD$317,$AD$317+(17-2)*$AE$317))*(1+$C$6),2)+ROUND(ROUND((IF(17&lt;=2,$AD$317,$AD$317+(17-2)*$AE$317))*(1+$C$6),2)*(IF($G$6="YES",$E$6,0)+IF($K$6="YES",$I$6,0)),2)+(17*$E$8*IF($C$8="YES",1,0))</f>
        <v/>
      </c>
      <c r="J381" s="42">
        <f>ROUND((IF(17&lt;=2,$AD$318,$AD$318+(17-2)*$AE$318))*(1+$C$6),2)+ROUND(ROUND((IF(17&lt;=2,$AD$318,$AD$318+(17-2)*$AE$318))*(1+$C$6),2)*(IF($G$6="YES",$E$6,0)+IF($K$6="YES",$I$6,0)),2)</f>
        <v/>
      </c>
    </row>
    <row r="382">
      <c r="B382" s="40" t="n">
        <v>18</v>
      </c>
      <c r="C382" s="41">
        <f>ROUND((IF(18&lt;=5,$AD$311,$AD$311+(18-5)*$AE$311))*(1+$C$6),2)+ROUND(ROUND((IF(18&lt;=5,$AD$311,$AD$311+(18-5)*$AE$311))*(1+$C$6),2)*(IF($G$6="YES",$E$6,0)+IF($K$6="YES",$I$6,0)),2)</f>
        <v/>
      </c>
      <c r="D382" s="41">
        <f>ROUND((IF(18&lt;=5,$AD$312,$AD$312+(18-5)*$AE$312))*(1+$C$6),2)+ROUND(ROUND((IF(18&lt;=5,$AD$312,$AD$312+(18-5)*$AE$312))*(1+$C$6),2)*(IF($G$6="YES",$E$6,0)+IF($K$6="YES",$I$6,0)),2)</f>
        <v/>
      </c>
      <c r="E382" s="41">
        <f>ROUND((IF(18&lt;=15,$AD$313,$AD$313+(18-15)*$AE$313))*(1+$C$6),2)+ROUND(ROUND((IF(18&lt;=15,$AD$313,$AD$313+(18-15)*$AE$313))*(1+$C$6),2)*(IF($G$6="YES",$E$6,0)+IF($K$6="YES",$I$6,0)),2)</f>
        <v/>
      </c>
      <c r="F382" s="41">
        <f>ROUND((IF(18&lt;=15,$AD$314,$AD$314+(18-15)*$AE$314))*(1+$C$6),2)+ROUND(ROUND((IF(18&lt;=15,$AD$314,$AD$314+(18-15)*$AE$314))*(1+$C$6),2)*(IF($G$6="YES",$E$6,0)+IF($K$6="YES",$I$6,0)),2)</f>
        <v/>
      </c>
      <c r="G382" s="41">
        <f>ROUND((IF(18&lt;=5,$AD$315,IF(18&lt;=35,$AD$315+(18-5)*$AE$315,$AG$315+(18-35)*$AF$315)))*(1+$C$6),2)+ROUND(ROUND((IF(18&lt;=5,$AD$315,IF(18&lt;=35,$AD$315+(18-5)*$AE$315,$AG$315+(18-35)*$AF$315)))*(1+$C$6),2)*(IF($G$6="YES",$E$6,0)+IF($K$6="YES",$I$6,0)),2)</f>
        <v/>
      </c>
      <c r="H382" s="41">
        <f>ROUND((IF(18&lt;=5,$AD$316,IF(18&lt;=35,$AD$316+(18-5)*$AE$316,$AG$316+(18-35)*$AF$316)))*(1+$C$6),2)+ROUND(ROUND((IF(18&lt;=5,$AD$316,IF(18&lt;=35,$AD$316+(18-5)*$AE$316,$AG$316+(18-35)*$AF$316)))*(1+$C$6),2)*(IF($G$6="YES",$E$6,0)+IF($K$6="YES",$I$6,0)),2)</f>
        <v/>
      </c>
      <c r="I382" s="41">
        <f>ROUND((IF(18&lt;=2,$AD$317,$AD$317+(18-2)*$AE$317))*(1+$C$6),2)+ROUND(ROUND((IF(18&lt;=2,$AD$317,$AD$317+(18-2)*$AE$317))*(1+$C$6),2)*(IF($G$6="YES",$E$6,0)+IF($K$6="YES",$I$6,0)),2)+(18*$E$8*IF($C$8="YES",1,0))</f>
        <v/>
      </c>
      <c r="J382" s="42">
        <f>ROUND((IF(18&lt;=2,$AD$318,$AD$318+(18-2)*$AE$318))*(1+$C$6),2)+ROUND(ROUND((IF(18&lt;=2,$AD$318,$AD$318+(18-2)*$AE$318))*(1+$C$6),2)*(IF($G$6="YES",$E$6,0)+IF($K$6="YES",$I$6,0)),2)</f>
        <v/>
      </c>
    </row>
    <row r="383">
      <c r="B383" s="40" t="n">
        <v>19</v>
      </c>
      <c r="C383" s="41">
        <f>ROUND((IF(19&lt;=5,$AD$311,$AD$311+(19-5)*$AE$311))*(1+$C$6),2)+ROUND(ROUND((IF(19&lt;=5,$AD$311,$AD$311+(19-5)*$AE$311))*(1+$C$6),2)*(IF($G$6="YES",$E$6,0)+IF($K$6="YES",$I$6,0)),2)</f>
        <v/>
      </c>
      <c r="D383" s="41">
        <f>ROUND((IF(19&lt;=5,$AD$312,$AD$312+(19-5)*$AE$312))*(1+$C$6),2)+ROUND(ROUND((IF(19&lt;=5,$AD$312,$AD$312+(19-5)*$AE$312))*(1+$C$6),2)*(IF($G$6="YES",$E$6,0)+IF($K$6="YES",$I$6,0)),2)</f>
        <v/>
      </c>
      <c r="E383" s="41">
        <f>ROUND((IF(19&lt;=15,$AD$313,$AD$313+(19-15)*$AE$313))*(1+$C$6),2)+ROUND(ROUND((IF(19&lt;=15,$AD$313,$AD$313+(19-15)*$AE$313))*(1+$C$6),2)*(IF($G$6="YES",$E$6,0)+IF($K$6="YES",$I$6,0)),2)</f>
        <v/>
      </c>
      <c r="F383" s="41">
        <f>ROUND((IF(19&lt;=15,$AD$314,$AD$314+(19-15)*$AE$314))*(1+$C$6),2)+ROUND(ROUND((IF(19&lt;=15,$AD$314,$AD$314+(19-15)*$AE$314))*(1+$C$6),2)*(IF($G$6="YES",$E$6,0)+IF($K$6="YES",$I$6,0)),2)</f>
        <v/>
      </c>
      <c r="G383" s="41">
        <f>ROUND((IF(19&lt;=5,$AD$315,IF(19&lt;=35,$AD$315+(19-5)*$AE$315,$AG$315+(19-35)*$AF$315)))*(1+$C$6),2)+ROUND(ROUND((IF(19&lt;=5,$AD$315,IF(19&lt;=35,$AD$315+(19-5)*$AE$315,$AG$315+(19-35)*$AF$315)))*(1+$C$6),2)*(IF($G$6="YES",$E$6,0)+IF($K$6="YES",$I$6,0)),2)</f>
        <v/>
      </c>
      <c r="H383" s="41">
        <f>ROUND((IF(19&lt;=5,$AD$316,IF(19&lt;=35,$AD$316+(19-5)*$AE$316,$AG$316+(19-35)*$AF$316)))*(1+$C$6),2)+ROUND(ROUND((IF(19&lt;=5,$AD$316,IF(19&lt;=35,$AD$316+(19-5)*$AE$316,$AG$316+(19-35)*$AF$316)))*(1+$C$6),2)*(IF($G$6="YES",$E$6,0)+IF($K$6="YES",$I$6,0)),2)</f>
        <v/>
      </c>
      <c r="I383" s="41">
        <f>ROUND((IF(19&lt;=2,$AD$317,$AD$317+(19-2)*$AE$317))*(1+$C$6),2)+ROUND(ROUND((IF(19&lt;=2,$AD$317,$AD$317+(19-2)*$AE$317))*(1+$C$6),2)*(IF($G$6="YES",$E$6,0)+IF($K$6="YES",$I$6,0)),2)+(19*$E$8*IF($C$8="YES",1,0))</f>
        <v/>
      </c>
      <c r="J383" s="42">
        <f>ROUND((IF(19&lt;=2,$AD$318,$AD$318+(19-2)*$AE$318))*(1+$C$6),2)+ROUND(ROUND((IF(19&lt;=2,$AD$318,$AD$318+(19-2)*$AE$318))*(1+$C$6),2)*(IF($G$6="YES",$E$6,0)+IF($K$6="YES",$I$6,0)),2)</f>
        <v/>
      </c>
    </row>
    <row r="384">
      <c r="B384" s="40" t="n">
        <v>20</v>
      </c>
      <c r="C384" s="41">
        <f>ROUND((IF(20&lt;=5,$AD$311,$AD$311+(20-5)*$AE$311))*(1+$C$6),2)+ROUND(ROUND((IF(20&lt;=5,$AD$311,$AD$311+(20-5)*$AE$311))*(1+$C$6),2)*(IF($G$6="YES",$E$6,0)+IF($K$6="YES",$I$6,0)),2)</f>
        <v/>
      </c>
      <c r="D384" s="41">
        <f>ROUND((IF(20&lt;=5,$AD$312,$AD$312+(20-5)*$AE$312))*(1+$C$6),2)+ROUND(ROUND((IF(20&lt;=5,$AD$312,$AD$312+(20-5)*$AE$312))*(1+$C$6),2)*(IF($G$6="YES",$E$6,0)+IF($K$6="YES",$I$6,0)),2)</f>
        <v/>
      </c>
      <c r="E384" s="41">
        <f>ROUND((IF(20&lt;=15,$AD$313,$AD$313+(20-15)*$AE$313))*(1+$C$6),2)+ROUND(ROUND((IF(20&lt;=15,$AD$313,$AD$313+(20-15)*$AE$313))*(1+$C$6),2)*(IF($G$6="YES",$E$6,0)+IF($K$6="YES",$I$6,0)),2)</f>
        <v/>
      </c>
      <c r="F384" s="41">
        <f>ROUND((IF(20&lt;=15,$AD$314,$AD$314+(20-15)*$AE$314))*(1+$C$6),2)+ROUND(ROUND((IF(20&lt;=15,$AD$314,$AD$314+(20-15)*$AE$314))*(1+$C$6),2)*(IF($G$6="YES",$E$6,0)+IF($K$6="YES",$I$6,0)),2)</f>
        <v/>
      </c>
      <c r="G384" s="41">
        <f>ROUND((IF(20&lt;=5,$AD$315,IF(20&lt;=35,$AD$315+(20-5)*$AE$315,$AG$315+(20-35)*$AF$315)))*(1+$C$6),2)+ROUND(ROUND((IF(20&lt;=5,$AD$315,IF(20&lt;=35,$AD$315+(20-5)*$AE$315,$AG$315+(20-35)*$AF$315)))*(1+$C$6),2)*(IF($G$6="YES",$E$6,0)+IF($K$6="YES",$I$6,0)),2)</f>
        <v/>
      </c>
      <c r="H384" s="41">
        <f>ROUND((IF(20&lt;=5,$AD$316,IF(20&lt;=35,$AD$316+(20-5)*$AE$316,$AG$316+(20-35)*$AF$316)))*(1+$C$6),2)+ROUND(ROUND((IF(20&lt;=5,$AD$316,IF(20&lt;=35,$AD$316+(20-5)*$AE$316,$AG$316+(20-35)*$AF$316)))*(1+$C$6),2)*(IF($G$6="YES",$E$6,0)+IF($K$6="YES",$I$6,0)),2)</f>
        <v/>
      </c>
      <c r="I384" s="41">
        <f>ROUND((IF(20&lt;=2,$AD$317,$AD$317+(20-2)*$AE$317))*(1+$C$6),2)+ROUND(ROUND((IF(20&lt;=2,$AD$317,$AD$317+(20-2)*$AE$317))*(1+$C$6),2)*(IF($G$6="YES",$E$6,0)+IF($K$6="YES",$I$6,0)),2)+(20*$E$8*IF($C$8="YES",1,0))</f>
        <v/>
      </c>
      <c r="J384" s="42">
        <f>ROUND((IF(20&lt;=2,$AD$318,$AD$318+(20-2)*$AE$318))*(1+$C$6),2)+ROUND(ROUND((IF(20&lt;=2,$AD$318,$AD$318+(20-2)*$AE$318))*(1+$C$6),2)*(IF($G$6="YES",$E$6,0)+IF($K$6="YES",$I$6,0)),2)</f>
        <v/>
      </c>
    </row>
    <row r="385">
      <c r="B385" s="37" t="n">
        <v>21</v>
      </c>
      <c r="C385" s="38">
        <f>ROUND((IF(21&lt;=5,$AD$311,$AD$311+(21-5)*$AE$311))*(1+$C$6),2)+ROUND(ROUND((IF(21&lt;=5,$AD$311,$AD$311+(21-5)*$AE$311))*(1+$C$6),2)*(IF($G$6="YES",$E$6,0)+IF($K$6="YES",$I$6,0)),2)</f>
        <v/>
      </c>
      <c r="D385" s="38">
        <f>ROUND((IF(21&lt;=5,$AD$312,$AD$312+(21-5)*$AE$312))*(1+$C$6),2)+ROUND(ROUND((IF(21&lt;=5,$AD$312,$AD$312+(21-5)*$AE$312))*(1+$C$6),2)*(IF($G$6="YES",$E$6,0)+IF($K$6="YES",$I$6,0)),2)</f>
        <v/>
      </c>
      <c r="E385" s="38">
        <f>ROUND((IF(21&lt;=15,$AD$313,$AD$313+(21-15)*$AE$313))*(1+$C$6),2)+ROUND(ROUND((IF(21&lt;=15,$AD$313,$AD$313+(21-15)*$AE$313))*(1+$C$6),2)*(IF($G$6="YES",$E$6,0)+IF($K$6="YES",$I$6,0)),2)</f>
        <v/>
      </c>
      <c r="F385" s="38">
        <f>ROUND((IF(21&lt;=15,$AD$314,$AD$314+(21-15)*$AE$314))*(1+$C$6),2)+ROUND(ROUND((IF(21&lt;=15,$AD$314,$AD$314+(21-15)*$AE$314))*(1+$C$6),2)*(IF($G$6="YES",$E$6,0)+IF($K$6="YES",$I$6,0)),2)</f>
        <v/>
      </c>
      <c r="G385" s="38">
        <f>ROUND((IF(21&lt;=5,$AD$315,IF(21&lt;=35,$AD$315+(21-5)*$AE$315,$AG$315+(21-35)*$AF$315)))*(1+$C$6),2)+ROUND(ROUND((IF(21&lt;=5,$AD$315,IF(21&lt;=35,$AD$315+(21-5)*$AE$315,$AG$315+(21-35)*$AF$315)))*(1+$C$6),2)*(IF($G$6="YES",$E$6,0)+IF($K$6="YES",$I$6,0)),2)</f>
        <v/>
      </c>
      <c r="H385" s="38">
        <f>ROUND((IF(21&lt;=5,$AD$316,IF(21&lt;=35,$AD$316+(21-5)*$AE$316,$AG$316+(21-35)*$AF$316)))*(1+$C$6),2)+ROUND(ROUND((IF(21&lt;=5,$AD$316,IF(21&lt;=35,$AD$316+(21-5)*$AE$316,$AG$316+(21-35)*$AF$316)))*(1+$C$6),2)*(IF($G$6="YES",$E$6,0)+IF($K$6="YES",$I$6,0)),2)</f>
        <v/>
      </c>
      <c r="I385" s="38">
        <f>ROUND((IF(21&lt;=2,$AD$317,$AD$317+(21-2)*$AE$317))*(1+$C$6),2)+ROUND(ROUND((IF(21&lt;=2,$AD$317,$AD$317+(21-2)*$AE$317))*(1+$C$6),2)*(IF($G$6="YES",$E$6,0)+IF($K$6="YES",$I$6,0)),2)+(21*$E$8*IF($C$8="YES",1,0))</f>
        <v/>
      </c>
      <c r="J385" s="39">
        <f>ROUND((IF(21&lt;=2,$AD$318,$AD$318+(21-2)*$AE$318))*(1+$C$6),2)+ROUND(ROUND((IF(21&lt;=2,$AD$318,$AD$318+(21-2)*$AE$318))*(1+$C$6),2)*(IF($G$6="YES",$E$6,0)+IF($K$6="YES",$I$6,0)),2)</f>
        <v/>
      </c>
    </row>
    <row r="386">
      <c r="B386" s="37" t="n">
        <v>22</v>
      </c>
      <c r="C386" s="38">
        <f>ROUND((IF(22&lt;=5,$AD$311,$AD$311+(22-5)*$AE$311))*(1+$C$6),2)+ROUND(ROUND((IF(22&lt;=5,$AD$311,$AD$311+(22-5)*$AE$311))*(1+$C$6),2)*(IF($G$6="YES",$E$6,0)+IF($K$6="YES",$I$6,0)),2)</f>
        <v/>
      </c>
      <c r="D386" s="38">
        <f>ROUND((IF(22&lt;=5,$AD$312,$AD$312+(22-5)*$AE$312))*(1+$C$6),2)+ROUND(ROUND((IF(22&lt;=5,$AD$312,$AD$312+(22-5)*$AE$312))*(1+$C$6),2)*(IF($G$6="YES",$E$6,0)+IF($K$6="YES",$I$6,0)),2)</f>
        <v/>
      </c>
      <c r="E386" s="38">
        <f>ROUND((IF(22&lt;=15,$AD$313,$AD$313+(22-15)*$AE$313))*(1+$C$6),2)+ROUND(ROUND((IF(22&lt;=15,$AD$313,$AD$313+(22-15)*$AE$313))*(1+$C$6),2)*(IF($G$6="YES",$E$6,0)+IF($K$6="YES",$I$6,0)),2)</f>
        <v/>
      </c>
      <c r="F386" s="38">
        <f>ROUND((IF(22&lt;=15,$AD$314,$AD$314+(22-15)*$AE$314))*(1+$C$6),2)+ROUND(ROUND((IF(22&lt;=15,$AD$314,$AD$314+(22-15)*$AE$314))*(1+$C$6),2)*(IF($G$6="YES",$E$6,0)+IF($K$6="YES",$I$6,0)),2)</f>
        <v/>
      </c>
      <c r="G386" s="38">
        <f>ROUND((IF(22&lt;=5,$AD$315,IF(22&lt;=35,$AD$315+(22-5)*$AE$315,$AG$315+(22-35)*$AF$315)))*(1+$C$6),2)+ROUND(ROUND((IF(22&lt;=5,$AD$315,IF(22&lt;=35,$AD$315+(22-5)*$AE$315,$AG$315+(22-35)*$AF$315)))*(1+$C$6),2)*(IF($G$6="YES",$E$6,0)+IF($K$6="YES",$I$6,0)),2)</f>
        <v/>
      </c>
      <c r="H386" s="38">
        <f>ROUND((IF(22&lt;=5,$AD$316,IF(22&lt;=35,$AD$316+(22-5)*$AE$316,$AG$316+(22-35)*$AF$316)))*(1+$C$6),2)+ROUND(ROUND((IF(22&lt;=5,$AD$316,IF(22&lt;=35,$AD$316+(22-5)*$AE$316,$AG$316+(22-35)*$AF$316)))*(1+$C$6),2)*(IF($G$6="YES",$E$6,0)+IF($K$6="YES",$I$6,0)),2)</f>
        <v/>
      </c>
      <c r="I386" s="38">
        <f>ROUND((IF(22&lt;=2,$AD$317,$AD$317+(22-2)*$AE$317))*(1+$C$6),2)+ROUND(ROUND((IF(22&lt;=2,$AD$317,$AD$317+(22-2)*$AE$317))*(1+$C$6),2)*(IF($G$6="YES",$E$6,0)+IF($K$6="YES",$I$6,0)),2)+(22*$E$8*IF($C$8="YES",1,0))</f>
        <v/>
      </c>
      <c r="J386" s="39">
        <f>ROUND((IF(22&lt;=2,$AD$318,$AD$318+(22-2)*$AE$318))*(1+$C$6),2)+ROUND(ROUND((IF(22&lt;=2,$AD$318,$AD$318+(22-2)*$AE$318))*(1+$C$6),2)*(IF($G$6="YES",$E$6,0)+IF($K$6="YES",$I$6,0)),2)</f>
        <v/>
      </c>
    </row>
    <row r="387">
      <c r="B387" s="37" t="n">
        <v>23</v>
      </c>
      <c r="C387" s="38">
        <f>ROUND((IF(23&lt;=5,$AD$311,$AD$311+(23-5)*$AE$311))*(1+$C$6),2)+ROUND(ROUND((IF(23&lt;=5,$AD$311,$AD$311+(23-5)*$AE$311))*(1+$C$6),2)*(IF($G$6="YES",$E$6,0)+IF($K$6="YES",$I$6,0)),2)</f>
        <v/>
      </c>
      <c r="D387" s="38">
        <f>ROUND((IF(23&lt;=5,$AD$312,$AD$312+(23-5)*$AE$312))*(1+$C$6),2)+ROUND(ROUND((IF(23&lt;=5,$AD$312,$AD$312+(23-5)*$AE$312))*(1+$C$6),2)*(IF($G$6="YES",$E$6,0)+IF($K$6="YES",$I$6,0)),2)</f>
        <v/>
      </c>
      <c r="E387" s="38">
        <f>ROUND((IF(23&lt;=15,$AD$313,$AD$313+(23-15)*$AE$313))*(1+$C$6),2)+ROUND(ROUND((IF(23&lt;=15,$AD$313,$AD$313+(23-15)*$AE$313))*(1+$C$6),2)*(IF($G$6="YES",$E$6,0)+IF($K$6="YES",$I$6,0)),2)</f>
        <v/>
      </c>
      <c r="F387" s="38">
        <f>ROUND((IF(23&lt;=15,$AD$314,$AD$314+(23-15)*$AE$314))*(1+$C$6),2)+ROUND(ROUND((IF(23&lt;=15,$AD$314,$AD$314+(23-15)*$AE$314))*(1+$C$6),2)*(IF($G$6="YES",$E$6,0)+IF($K$6="YES",$I$6,0)),2)</f>
        <v/>
      </c>
      <c r="G387" s="38">
        <f>ROUND((IF(23&lt;=5,$AD$315,IF(23&lt;=35,$AD$315+(23-5)*$AE$315,$AG$315+(23-35)*$AF$315)))*(1+$C$6),2)+ROUND(ROUND((IF(23&lt;=5,$AD$315,IF(23&lt;=35,$AD$315+(23-5)*$AE$315,$AG$315+(23-35)*$AF$315)))*(1+$C$6),2)*(IF($G$6="YES",$E$6,0)+IF($K$6="YES",$I$6,0)),2)</f>
        <v/>
      </c>
      <c r="H387" s="38">
        <f>ROUND((IF(23&lt;=5,$AD$316,IF(23&lt;=35,$AD$316+(23-5)*$AE$316,$AG$316+(23-35)*$AF$316)))*(1+$C$6),2)+ROUND(ROUND((IF(23&lt;=5,$AD$316,IF(23&lt;=35,$AD$316+(23-5)*$AE$316,$AG$316+(23-35)*$AF$316)))*(1+$C$6),2)*(IF($G$6="YES",$E$6,0)+IF($K$6="YES",$I$6,0)),2)</f>
        <v/>
      </c>
      <c r="I387" s="38">
        <f>ROUND((IF(23&lt;=2,$AD$317,$AD$317+(23-2)*$AE$317))*(1+$C$6),2)+ROUND(ROUND((IF(23&lt;=2,$AD$317,$AD$317+(23-2)*$AE$317))*(1+$C$6),2)*(IF($G$6="YES",$E$6,0)+IF($K$6="YES",$I$6,0)),2)+(23*$E$8*IF($C$8="YES",1,0))</f>
        <v/>
      </c>
      <c r="J387" s="39">
        <f>ROUND((IF(23&lt;=2,$AD$318,$AD$318+(23-2)*$AE$318))*(1+$C$6),2)+ROUND(ROUND((IF(23&lt;=2,$AD$318,$AD$318+(23-2)*$AE$318))*(1+$C$6),2)*(IF($G$6="YES",$E$6,0)+IF($K$6="YES",$I$6,0)),2)</f>
        <v/>
      </c>
    </row>
    <row r="388">
      <c r="B388" s="37" t="n">
        <v>24</v>
      </c>
      <c r="C388" s="38">
        <f>ROUND((IF(24&lt;=5,$AD$311,$AD$311+(24-5)*$AE$311))*(1+$C$6),2)+ROUND(ROUND((IF(24&lt;=5,$AD$311,$AD$311+(24-5)*$AE$311))*(1+$C$6),2)*(IF($G$6="YES",$E$6,0)+IF($K$6="YES",$I$6,0)),2)</f>
        <v/>
      </c>
      <c r="D388" s="38">
        <f>ROUND((IF(24&lt;=5,$AD$312,$AD$312+(24-5)*$AE$312))*(1+$C$6),2)+ROUND(ROUND((IF(24&lt;=5,$AD$312,$AD$312+(24-5)*$AE$312))*(1+$C$6),2)*(IF($G$6="YES",$E$6,0)+IF($K$6="YES",$I$6,0)),2)</f>
        <v/>
      </c>
      <c r="E388" s="38">
        <f>ROUND((IF(24&lt;=15,$AD$313,$AD$313+(24-15)*$AE$313))*(1+$C$6),2)+ROUND(ROUND((IF(24&lt;=15,$AD$313,$AD$313+(24-15)*$AE$313))*(1+$C$6),2)*(IF($G$6="YES",$E$6,0)+IF($K$6="YES",$I$6,0)),2)</f>
        <v/>
      </c>
      <c r="F388" s="38">
        <f>ROUND((IF(24&lt;=15,$AD$314,$AD$314+(24-15)*$AE$314))*(1+$C$6),2)+ROUND(ROUND((IF(24&lt;=15,$AD$314,$AD$314+(24-15)*$AE$314))*(1+$C$6),2)*(IF($G$6="YES",$E$6,0)+IF($K$6="YES",$I$6,0)),2)</f>
        <v/>
      </c>
      <c r="G388" s="38">
        <f>ROUND((IF(24&lt;=5,$AD$315,IF(24&lt;=35,$AD$315+(24-5)*$AE$315,$AG$315+(24-35)*$AF$315)))*(1+$C$6),2)+ROUND(ROUND((IF(24&lt;=5,$AD$315,IF(24&lt;=35,$AD$315+(24-5)*$AE$315,$AG$315+(24-35)*$AF$315)))*(1+$C$6),2)*(IF($G$6="YES",$E$6,0)+IF($K$6="YES",$I$6,0)),2)</f>
        <v/>
      </c>
      <c r="H388" s="38">
        <f>ROUND((IF(24&lt;=5,$AD$316,IF(24&lt;=35,$AD$316+(24-5)*$AE$316,$AG$316+(24-35)*$AF$316)))*(1+$C$6),2)+ROUND(ROUND((IF(24&lt;=5,$AD$316,IF(24&lt;=35,$AD$316+(24-5)*$AE$316,$AG$316+(24-35)*$AF$316)))*(1+$C$6),2)*(IF($G$6="YES",$E$6,0)+IF($K$6="YES",$I$6,0)),2)</f>
        <v/>
      </c>
      <c r="I388" s="38">
        <f>ROUND((IF(24&lt;=2,$AD$317,$AD$317+(24-2)*$AE$317))*(1+$C$6),2)+ROUND(ROUND((IF(24&lt;=2,$AD$317,$AD$317+(24-2)*$AE$317))*(1+$C$6),2)*(IF($G$6="YES",$E$6,0)+IF($K$6="YES",$I$6,0)),2)+(24*$E$8*IF($C$8="YES",1,0))</f>
        <v/>
      </c>
      <c r="J388" s="39">
        <f>ROUND((IF(24&lt;=2,$AD$318,$AD$318+(24-2)*$AE$318))*(1+$C$6),2)+ROUND(ROUND((IF(24&lt;=2,$AD$318,$AD$318+(24-2)*$AE$318))*(1+$C$6),2)*(IF($G$6="YES",$E$6,0)+IF($K$6="YES",$I$6,0)),2)</f>
        <v/>
      </c>
    </row>
    <row r="389">
      <c r="B389" s="37" t="n">
        <v>25</v>
      </c>
      <c r="C389" s="38">
        <f>ROUND((IF(25&lt;=5,$AD$311,$AD$311+(25-5)*$AE$311))*(1+$C$6),2)+ROUND(ROUND((IF(25&lt;=5,$AD$311,$AD$311+(25-5)*$AE$311))*(1+$C$6),2)*(IF($G$6="YES",$E$6,0)+IF($K$6="YES",$I$6,0)),2)</f>
        <v/>
      </c>
      <c r="D389" s="38">
        <f>ROUND((IF(25&lt;=5,$AD$312,$AD$312+(25-5)*$AE$312))*(1+$C$6),2)+ROUND(ROUND((IF(25&lt;=5,$AD$312,$AD$312+(25-5)*$AE$312))*(1+$C$6),2)*(IF($G$6="YES",$E$6,0)+IF($K$6="YES",$I$6,0)),2)</f>
        <v/>
      </c>
      <c r="E389" s="38">
        <f>ROUND((IF(25&lt;=15,$AD$313,$AD$313+(25-15)*$AE$313))*(1+$C$6),2)+ROUND(ROUND((IF(25&lt;=15,$AD$313,$AD$313+(25-15)*$AE$313))*(1+$C$6),2)*(IF($G$6="YES",$E$6,0)+IF($K$6="YES",$I$6,0)),2)</f>
        <v/>
      </c>
      <c r="F389" s="38">
        <f>ROUND((IF(25&lt;=15,$AD$314,$AD$314+(25-15)*$AE$314))*(1+$C$6),2)+ROUND(ROUND((IF(25&lt;=15,$AD$314,$AD$314+(25-15)*$AE$314))*(1+$C$6),2)*(IF($G$6="YES",$E$6,0)+IF($K$6="YES",$I$6,0)),2)</f>
        <v/>
      </c>
      <c r="G389" s="38">
        <f>ROUND((IF(25&lt;=5,$AD$315,IF(25&lt;=35,$AD$315+(25-5)*$AE$315,$AG$315+(25-35)*$AF$315)))*(1+$C$6),2)+ROUND(ROUND((IF(25&lt;=5,$AD$315,IF(25&lt;=35,$AD$315+(25-5)*$AE$315,$AG$315+(25-35)*$AF$315)))*(1+$C$6),2)*(IF($G$6="YES",$E$6,0)+IF($K$6="YES",$I$6,0)),2)</f>
        <v/>
      </c>
      <c r="H389" s="38">
        <f>ROUND((IF(25&lt;=5,$AD$316,IF(25&lt;=35,$AD$316+(25-5)*$AE$316,$AG$316+(25-35)*$AF$316)))*(1+$C$6),2)+ROUND(ROUND((IF(25&lt;=5,$AD$316,IF(25&lt;=35,$AD$316+(25-5)*$AE$316,$AG$316+(25-35)*$AF$316)))*(1+$C$6),2)*(IF($G$6="YES",$E$6,0)+IF($K$6="YES",$I$6,0)),2)</f>
        <v/>
      </c>
      <c r="I389" s="38">
        <f>ROUND((IF(25&lt;=2,$AD$317,$AD$317+(25-2)*$AE$317))*(1+$C$6),2)+ROUND(ROUND((IF(25&lt;=2,$AD$317,$AD$317+(25-2)*$AE$317))*(1+$C$6),2)*(IF($G$6="YES",$E$6,0)+IF($K$6="YES",$I$6,0)),2)+(25*$E$8*IF($C$8="YES",1,0))</f>
        <v/>
      </c>
      <c r="J389" s="39">
        <f>ROUND((IF(25&lt;=2,$AD$318,$AD$318+(25-2)*$AE$318))*(1+$C$6),2)+ROUND(ROUND((IF(25&lt;=2,$AD$318,$AD$318+(25-2)*$AE$318))*(1+$C$6),2)*(IF($G$6="YES",$E$6,0)+IF($K$6="YES",$I$6,0)),2)</f>
        <v/>
      </c>
    </row>
    <row r="390">
      <c r="B390" s="40" t="n">
        <v>26</v>
      </c>
      <c r="C390" s="41">
        <f>ROUND((IF(26&lt;=5,$AD$311,$AD$311+(26-5)*$AE$311))*(1+$C$6),2)+ROUND(ROUND((IF(26&lt;=5,$AD$311,$AD$311+(26-5)*$AE$311))*(1+$C$6),2)*(IF($G$6="YES",$E$6,0)+IF($K$6="YES",$I$6,0)),2)</f>
        <v/>
      </c>
      <c r="D390" s="41">
        <f>ROUND((IF(26&lt;=5,$AD$312,$AD$312+(26-5)*$AE$312))*(1+$C$6),2)+ROUND(ROUND((IF(26&lt;=5,$AD$312,$AD$312+(26-5)*$AE$312))*(1+$C$6),2)*(IF($G$6="YES",$E$6,0)+IF($K$6="YES",$I$6,0)),2)</f>
        <v/>
      </c>
      <c r="E390" s="41">
        <f>ROUND((IF(26&lt;=15,$AD$313,$AD$313+(26-15)*$AE$313))*(1+$C$6),2)+ROUND(ROUND((IF(26&lt;=15,$AD$313,$AD$313+(26-15)*$AE$313))*(1+$C$6),2)*(IF($G$6="YES",$E$6,0)+IF($K$6="YES",$I$6,0)),2)</f>
        <v/>
      </c>
      <c r="F390" s="41">
        <f>ROUND((IF(26&lt;=15,$AD$314,$AD$314+(26-15)*$AE$314))*(1+$C$6),2)+ROUND(ROUND((IF(26&lt;=15,$AD$314,$AD$314+(26-15)*$AE$314))*(1+$C$6),2)*(IF($G$6="YES",$E$6,0)+IF($K$6="YES",$I$6,0)),2)</f>
        <v/>
      </c>
      <c r="G390" s="41">
        <f>ROUND((IF(26&lt;=5,$AD$315,IF(26&lt;=35,$AD$315+(26-5)*$AE$315,$AG$315+(26-35)*$AF$315)))*(1+$C$6),2)+ROUND(ROUND((IF(26&lt;=5,$AD$315,IF(26&lt;=35,$AD$315+(26-5)*$AE$315,$AG$315+(26-35)*$AF$315)))*(1+$C$6),2)*(IF($G$6="YES",$E$6,0)+IF($K$6="YES",$I$6,0)),2)</f>
        <v/>
      </c>
      <c r="H390" s="41">
        <f>ROUND((IF(26&lt;=5,$AD$316,IF(26&lt;=35,$AD$316+(26-5)*$AE$316,$AG$316+(26-35)*$AF$316)))*(1+$C$6),2)+ROUND(ROUND((IF(26&lt;=5,$AD$316,IF(26&lt;=35,$AD$316+(26-5)*$AE$316,$AG$316+(26-35)*$AF$316)))*(1+$C$6),2)*(IF($G$6="YES",$E$6,0)+IF($K$6="YES",$I$6,0)),2)</f>
        <v/>
      </c>
      <c r="I390" s="41">
        <f>ROUND((IF(26&lt;=2,$AD$317,$AD$317+(26-2)*$AE$317))*(1+$C$6),2)+ROUND(ROUND((IF(26&lt;=2,$AD$317,$AD$317+(26-2)*$AE$317))*(1+$C$6),2)*(IF($G$6="YES",$E$6,0)+IF($K$6="YES",$I$6,0)),2)+(26*$E$8*IF($C$8="YES",1,0))</f>
        <v/>
      </c>
      <c r="J390" s="42">
        <f>ROUND((IF(26&lt;=2,$AD$318,$AD$318+(26-2)*$AE$318))*(1+$C$6),2)+ROUND(ROUND((IF(26&lt;=2,$AD$318,$AD$318+(26-2)*$AE$318))*(1+$C$6),2)*(IF($G$6="YES",$E$6,0)+IF($K$6="YES",$I$6,0)),2)</f>
        <v/>
      </c>
    </row>
    <row r="391">
      <c r="B391" s="40" t="n">
        <v>27</v>
      </c>
      <c r="C391" s="41">
        <f>ROUND((IF(27&lt;=5,$AD$311,$AD$311+(27-5)*$AE$311))*(1+$C$6),2)+ROUND(ROUND((IF(27&lt;=5,$AD$311,$AD$311+(27-5)*$AE$311))*(1+$C$6),2)*(IF($G$6="YES",$E$6,0)+IF($K$6="YES",$I$6,0)),2)</f>
        <v/>
      </c>
      <c r="D391" s="41">
        <f>ROUND((IF(27&lt;=5,$AD$312,$AD$312+(27-5)*$AE$312))*(1+$C$6),2)+ROUND(ROUND((IF(27&lt;=5,$AD$312,$AD$312+(27-5)*$AE$312))*(1+$C$6),2)*(IF($G$6="YES",$E$6,0)+IF($K$6="YES",$I$6,0)),2)</f>
        <v/>
      </c>
      <c r="E391" s="41">
        <f>ROUND((IF(27&lt;=15,$AD$313,$AD$313+(27-15)*$AE$313))*(1+$C$6),2)+ROUND(ROUND((IF(27&lt;=15,$AD$313,$AD$313+(27-15)*$AE$313))*(1+$C$6),2)*(IF($G$6="YES",$E$6,0)+IF($K$6="YES",$I$6,0)),2)</f>
        <v/>
      </c>
      <c r="F391" s="41">
        <f>ROUND((IF(27&lt;=15,$AD$314,$AD$314+(27-15)*$AE$314))*(1+$C$6),2)+ROUND(ROUND((IF(27&lt;=15,$AD$314,$AD$314+(27-15)*$AE$314))*(1+$C$6),2)*(IF($G$6="YES",$E$6,0)+IF($K$6="YES",$I$6,0)),2)</f>
        <v/>
      </c>
      <c r="G391" s="41">
        <f>ROUND((IF(27&lt;=5,$AD$315,IF(27&lt;=35,$AD$315+(27-5)*$AE$315,$AG$315+(27-35)*$AF$315)))*(1+$C$6),2)+ROUND(ROUND((IF(27&lt;=5,$AD$315,IF(27&lt;=35,$AD$315+(27-5)*$AE$315,$AG$315+(27-35)*$AF$315)))*(1+$C$6),2)*(IF($G$6="YES",$E$6,0)+IF($K$6="YES",$I$6,0)),2)</f>
        <v/>
      </c>
      <c r="H391" s="41">
        <f>ROUND((IF(27&lt;=5,$AD$316,IF(27&lt;=35,$AD$316+(27-5)*$AE$316,$AG$316+(27-35)*$AF$316)))*(1+$C$6),2)+ROUND(ROUND((IF(27&lt;=5,$AD$316,IF(27&lt;=35,$AD$316+(27-5)*$AE$316,$AG$316+(27-35)*$AF$316)))*(1+$C$6),2)*(IF($G$6="YES",$E$6,0)+IF($K$6="YES",$I$6,0)),2)</f>
        <v/>
      </c>
      <c r="I391" s="41">
        <f>ROUND((IF(27&lt;=2,$AD$317,$AD$317+(27-2)*$AE$317))*(1+$C$6),2)+ROUND(ROUND((IF(27&lt;=2,$AD$317,$AD$317+(27-2)*$AE$317))*(1+$C$6),2)*(IF($G$6="YES",$E$6,0)+IF($K$6="YES",$I$6,0)),2)+(27*$E$8*IF($C$8="YES",1,0))</f>
        <v/>
      </c>
      <c r="J391" s="42">
        <f>ROUND((IF(27&lt;=2,$AD$318,$AD$318+(27-2)*$AE$318))*(1+$C$6),2)+ROUND(ROUND((IF(27&lt;=2,$AD$318,$AD$318+(27-2)*$AE$318))*(1+$C$6),2)*(IF($G$6="YES",$E$6,0)+IF($K$6="YES",$I$6,0)),2)</f>
        <v/>
      </c>
    </row>
    <row r="392">
      <c r="B392" s="40" t="n">
        <v>28</v>
      </c>
      <c r="C392" s="41">
        <f>ROUND((IF(28&lt;=5,$AD$311,$AD$311+(28-5)*$AE$311))*(1+$C$6),2)+ROUND(ROUND((IF(28&lt;=5,$AD$311,$AD$311+(28-5)*$AE$311))*(1+$C$6),2)*(IF($G$6="YES",$E$6,0)+IF($K$6="YES",$I$6,0)),2)</f>
        <v/>
      </c>
      <c r="D392" s="41">
        <f>ROUND((IF(28&lt;=5,$AD$312,$AD$312+(28-5)*$AE$312))*(1+$C$6),2)+ROUND(ROUND((IF(28&lt;=5,$AD$312,$AD$312+(28-5)*$AE$312))*(1+$C$6),2)*(IF($G$6="YES",$E$6,0)+IF($K$6="YES",$I$6,0)),2)</f>
        <v/>
      </c>
      <c r="E392" s="41">
        <f>ROUND((IF(28&lt;=15,$AD$313,$AD$313+(28-15)*$AE$313))*(1+$C$6),2)+ROUND(ROUND((IF(28&lt;=15,$AD$313,$AD$313+(28-15)*$AE$313))*(1+$C$6),2)*(IF($G$6="YES",$E$6,0)+IF($K$6="YES",$I$6,0)),2)</f>
        <v/>
      </c>
      <c r="F392" s="41">
        <f>ROUND((IF(28&lt;=15,$AD$314,$AD$314+(28-15)*$AE$314))*(1+$C$6),2)+ROUND(ROUND((IF(28&lt;=15,$AD$314,$AD$314+(28-15)*$AE$314))*(1+$C$6),2)*(IF($G$6="YES",$E$6,0)+IF($K$6="YES",$I$6,0)),2)</f>
        <v/>
      </c>
      <c r="G392" s="41">
        <f>ROUND((IF(28&lt;=5,$AD$315,IF(28&lt;=35,$AD$315+(28-5)*$AE$315,$AG$315+(28-35)*$AF$315)))*(1+$C$6),2)+ROUND(ROUND((IF(28&lt;=5,$AD$315,IF(28&lt;=35,$AD$315+(28-5)*$AE$315,$AG$315+(28-35)*$AF$315)))*(1+$C$6),2)*(IF($G$6="YES",$E$6,0)+IF($K$6="YES",$I$6,0)),2)</f>
        <v/>
      </c>
      <c r="H392" s="41">
        <f>ROUND((IF(28&lt;=5,$AD$316,IF(28&lt;=35,$AD$316+(28-5)*$AE$316,$AG$316+(28-35)*$AF$316)))*(1+$C$6),2)+ROUND(ROUND((IF(28&lt;=5,$AD$316,IF(28&lt;=35,$AD$316+(28-5)*$AE$316,$AG$316+(28-35)*$AF$316)))*(1+$C$6),2)*(IF($G$6="YES",$E$6,0)+IF($K$6="YES",$I$6,0)),2)</f>
        <v/>
      </c>
      <c r="I392" s="41">
        <f>ROUND((IF(28&lt;=2,$AD$317,$AD$317+(28-2)*$AE$317))*(1+$C$6),2)+ROUND(ROUND((IF(28&lt;=2,$AD$317,$AD$317+(28-2)*$AE$317))*(1+$C$6),2)*(IF($G$6="YES",$E$6,0)+IF($K$6="YES",$I$6,0)),2)+(28*$E$8*IF($C$8="YES",1,0))</f>
        <v/>
      </c>
      <c r="J392" s="42">
        <f>ROUND((IF(28&lt;=2,$AD$318,$AD$318+(28-2)*$AE$318))*(1+$C$6),2)+ROUND(ROUND((IF(28&lt;=2,$AD$318,$AD$318+(28-2)*$AE$318))*(1+$C$6),2)*(IF($G$6="YES",$E$6,0)+IF($K$6="YES",$I$6,0)),2)</f>
        <v/>
      </c>
    </row>
    <row r="393">
      <c r="B393" s="40" t="n">
        <v>29</v>
      </c>
      <c r="C393" s="41">
        <f>ROUND((IF(29&lt;=5,$AD$311,$AD$311+(29-5)*$AE$311))*(1+$C$6),2)+ROUND(ROUND((IF(29&lt;=5,$AD$311,$AD$311+(29-5)*$AE$311))*(1+$C$6),2)*(IF($G$6="YES",$E$6,0)+IF($K$6="YES",$I$6,0)),2)</f>
        <v/>
      </c>
      <c r="D393" s="41">
        <f>ROUND((IF(29&lt;=5,$AD$312,$AD$312+(29-5)*$AE$312))*(1+$C$6),2)+ROUND(ROUND((IF(29&lt;=5,$AD$312,$AD$312+(29-5)*$AE$312))*(1+$C$6),2)*(IF($G$6="YES",$E$6,0)+IF($K$6="YES",$I$6,0)),2)</f>
        <v/>
      </c>
      <c r="E393" s="41">
        <f>ROUND((IF(29&lt;=15,$AD$313,$AD$313+(29-15)*$AE$313))*(1+$C$6),2)+ROUND(ROUND((IF(29&lt;=15,$AD$313,$AD$313+(29-15)*$AE$313))*(1+$C$6),2)*(IF($G$6="YES",$E$6,0)+IF($K$6="YES",$I$6,0)),2)</f>
        <v/>
      </c>
      <c r="F393" s="41">
        <f>ROUND((IF(29&lt;=15,$AD$314,$AD$314+(29-15)*$AE$314))*(1+$C$6),2)+ROUND(ROUND((IF(29&lt;=15,$AD$314,$AD$314+(29-15)*$AE$314))*(1+$C$6),2)*(IF($G$6="YES",$E$6,0)+IF($K$6="YES",$I$6,0)),2)</f>
        <v/>
      </c>
      <c r="G393" s="41">
        <f>ROUND((IF(29&lt;=5,$AD$315,IF(29&lt;=35,$AD$315+(29-5)*$AE$315,$AG$315+(29-35)*$AF$315)))*(1+$C$6),2)+ROUND(ROUND((IF(29&lt;=5,$AD$315,IF(29&lt;=35,$AD$315+(29-5)*$AE$315,$AG$315+(29-35)*$AF$315)))*(1+$C$6),2)*(IF($G$6="YES",$E$6,0)+IF($K$6="YES",$I$6,0)),2)</f>
        <v/>
      </c>
      <c r="H393" s="41">
        <f>ROUND((IF(29&lt;=5,$AD$316,IF(29&lt;=35,$AD$316+(29-5)*$AE$316,$AG$316+(29-35)*$AF$316)))*(1+$C$6),2)+ROUND(ROUND((IF(29&lt;=5,$AD$316,IF(29&lt;=35,$AD$316+(29-5)*$AE$316,$AG$316+(29-35)*$AF$316)))*(1+$C$6),2)*(IF($G$6="YES",$E$6,0)+IF($K$6="YES",$I$6,0)),2)</f>
        <v/>
      </c>
      <c r="I393" s="41">
        <f>ROUND((IF(29&lt;=2,$AD$317,$AD$317+(29-2)*$AE$317))*(1+$C$6),2)+ROUND(ROUND((IF(29&lt;=2,$AD$317,$AD$317+(29-2)*$AE$317))*(1+$C$6),2)*(IF($G$6="YES",$E$6,0)+IF($K$6="YES",$I$6,0)),2)+(29*$E$8*IF($C$8="YES",1,0))</f>
        <v/>
      </c>
      <c r="J393" s="42">
        <f>ROUND((IF(29&lt;=2,$AD$318,$AD$318+(29-2)*$AE$318))*(1+$C$6),2)+ROUND(ROUND((IF(29&lt;=2,$AD$318,$AD$318+(29-2)*$AE$318))*(1+$C$6),2)*(IF($G$6="YES",$E$6,0)+IF($K$6="YES",$I$6,0)),2)</f>
        <v/>
      </c>
    </row>
    <row r="394">
      <c r="B394" s="40" t="n">
        <v>30</v>
      </c>
      <c r="C394" s="41">
        <f>ROUND((IF(30&lt;=5,$AD$311,$AD$311+(30-5)*$AE$311))*(1+$C$6),2)+ROUND(ROUND((IF(30&lt;=5,$AD$311,$AD$311+(30-5)*$AE$311))*(1+$C$6),2)*(IF($G$6="YES",$E$6,0)+IF($K$6="YES",$I$6,0)),2)</f>
        <v/>
      </c>
      <c r="D394" s="41">
        <f>ROUND((IF(30&lt;=5,$AD$312,$AD$312+(30-5)*$AE$312))*(1+$C$6),2)+ROUND(ROUND((IF(30&lt;=5,$AD$312,$AD$312+(30-5)*$AE$312))*(1+$C$6),2)*(IF($G$6="YES",$E$6,0)+IF($K$6="YES",$I$6,0)),2)</f>
        <v/>
      </c>
      <c r="E394" s="41">
        <f>ROUND((IF(30&lt;=15,$AD$313,$AD$313+(30-15)*$AE$313))*(1+$C$6),2)+ROUND(ROUND((IF(30&lt;=15,$AD$313,$AD$313+(30-15)*$AE$313))*(1+$C$6),2)*(IF($G$6="YES",$E$6,0)+IF($K$6="YES",$I$6,0)),2)</f>
        <v/>
      </c>
      <c r="F394" s="41">
        <f>ROUND((IF(30&lt;=15,$AD$314,$AD$314+(30-15)*$AE$314))*(1+$C$6),2)+ROUND(ROUND((IF(30&lt;=15,$AD$314,$AD$314+(30-15)*$AE$314))*(1+$C$6),2)*(IF($G$6="YES",$E$6,0)+IF($K$6="YES",$I$6,0)),2)</f>
        <v/>
      </c>
      <c r="G394" s="41">
        <f>ROUND((IF(30&lt;=5,$AD$315,IF(30&lt;=35,$AD$315+(30-5)*$AE$315,$AG$315+(30-35)*$AF$315)))*(1+$C$6),2)+ROUND(ROUND((IF(30&lt;=5,$AD$315,IF(30&lt;=35,$AD$315+(30-5)*$AE$315,$AG$315+(30-35)*$AF$315)))*(1+$C$6),2)*(IF($G$6="YES",$E$6,0)+IF($K$6="YES",$I$6,0)),2)</f>
        <v/>
      </c>
      <c r="H394" s="41">
        <f>ROUND((IF(30&lt;=5,$AD$316,IF(30&lt;=35,$AD$316+(30-5)*$AE$316,$AG$316+(30-35)*$AF$316)))*(1+$C$6),2)+ROUND(ROUND((IF(30&lt;=5,$AD$316,IF(30&lt;=35,$AD$316+(30-5)*$AE$316,$AG$316+(30-35)*$AF$316)))*(1+$C$6),2)*(IF($G$6="YES",$E$6,0)+IF($K$6="YES",$I$6,0)),2)</f>
        <v/>
      </c>
      <c r="I394" s="41">
        <f>ROUND((IF(30&lt;=2,$AD$317,$AD$317+(30-2)*$AE$317))*(1+$C$6),2)+ROUND(ROUND((IF(30&lt;=2,$AD$317,$AD$317+(30-2)*$AE$317))*(1+$C$6),2)*(IF($G$6="YES",$E$6,0)+IF($K$6="YES",$I$6,0)),2)+(30*$E$8*IF($C$8="YES",1,0))</f>
        <v/>
      </c>
      <c r="J394" s="42">
        <f>ROUND((IF(30&lt;=2,$AD$318,$AD$318+(30-2)*$AE$318))*(1+$C$6),2)+ROUND(ROUND((IF(30&lt;=2,$AD$318,$AD$318+(30-2)*$AE$318))*(1+$C$6),2)*(IF($G$6="YES",$E$6,0)+IF($K$6="YES",$I$6,0)),2)</f>
        <v/>
      </c>
    </row>
    <row r="395">
      <c r="B395" s="37" t="n">
        <v>31</v>
      </c>
      <c r="C395" s="38">
        <f>ROUND((IF(31&lt;=5,$AD$311,$AD$311+(31-5)*$AE$311))*(1+$C$6),2)+ROUND(ROUND((IF(31&lt;=5,$AD$311,$AD$311+(31-5)*$AE$311))*(1+$C$6),2)*(IF($G$6="YES",$E$6,0)+IF($K$6="YES",$I$6,0)),2)</f>
        <v/>
      </c>
      <c r="D395" s="38">
        <f>ROUND((IF(31&lt;=5,$AD$312,$AD$312+(31-5)*$AE$312))*(1+$C$6),2)+ROUND(ROUND((IF(31&lt;=5,$AD$312,$AD$312+(31-5)*$AE$312))*(1+$C$6),2)*(IF($G$6="YES",$E$6,0)+IF($K$6="YES",$I$6,0)),2)</f>
        <v/>
      </c>
      <c r="E395" s="38">
        <f>ROUND((IF(31&lt;=15,$AD$313,$AD$313+(31-15)*$AE$313))*(1+$C$6),2)+ROUND(ROUND((IF(31&lt;=15,$AD$313,$AD$313+(31-15)*$AE$313))*(1+$C$6),2)*(IF($G$6="YES",$E$6,0)+IF($K$6="YES",$I$6,0)),2)</f>
        <v/>
      </c>
      <c r="F395" s="38">
        <f>ROUND((IF(31&lt;=15,$AD$314,$AD$314+(31-15)*$AE$314))*(1+$C$6),2)+ROUND(ROUND((IF(31&lt;=15,$AD$314,$AD$314+(31-15)*$AE$314))*(1+$C$6),2)*(IF($G$6="YES",$E$6,0)+IF($K$6="YES",$I$6,0)),2)</f>
        <v/>
      </c>
      <c r="G395" s="38">
        <f>ROUND((IF(31&lt;=5,$AD$315,IF(31&lt;=35,$AD$315+(31-5)*$AE$315,$AG$315+(31-35)*$AF$315)))*(1+$C$6),2)+ROUND(ROUND((IF(31&lt;=5,$AD$315,IF(31&lt;=35,$AD$315+(31-5)*$AE$315,$AG$315+(31-35)*$AF$315)))*(1+$C$6),2)*(IF($G$6="YES",$E$6,0)+IF($K$6="YES",$I$6,0)),2)</f>
        <v/>
      </c>
      <c r="H395" s="38">
        <f>ROUND((IF(31&lt;=5,$AD$316,IF(31&lt;=35,$AD$316+(31-5)*$AE$316,$AG$316+(31-35)*$AF$316)))*(1+$C$6),2)+ROUND(ROUND((IF(31&lt;=5,$AD$316,IF(31&lt;=35,$AD$316+(31-5)*$AE$316,$AG$316+(31-35)*$AF$316)))*(1+$C$6),2)*(IF($G$6="YES",$E$6,0)+IF($K$6="YES",$I$6,0)),2)</f>
        <v/>
      </c>
      <c r="I395" s="38">
        <f>ROUND((IF(31&lt;=2,$AD$317,$AD$317+(31-2)*$AE$317))*(1+$C$6),2)+ROUND(ROUND((IF(31&lt;=2,$AD$317,$AD$317+(31-2)*$AE$317))*(1+$C$6),2)*(IF($G$6="YES",$E$6,0)+IF($K$6="YES",$I$6,0)),2)+(31*$E$8*IF($C$8="YES",1,0))</f>
        <v/>
      </c>
      <c r="J395" s="39">
        <f>ROUND((IF(31&lt;=2,$AD$318,$AD$318+(31-2)*$AE$318))*(1+$C$6),2)+ROUND(ROUND((IF(31&lt;=2,$AD$318,$AD$318+(31-2)*$AE$318))*(1+$C$6),2)*(IF($G$6="YES",$E$6,0)+IF($K$6="YES",$I$6,0)),2)</f>
        <v/>
      </c>
    </row>
    <row r="396">
      <c r="B396" s="37" t="n">
        <v>32</v>
      </c>
      <c r="C396" s="38">
        <f>ROUND((IF(32&lt;=5,$AD$311,$AD$311+(32-5)*$AE$311))*(1+$C$6),2)+ROUND(ROUND((IF(32&lt;=5,$AD$311,$AD$311+(32-5)*$AE$311))*(1+$C$6),2)*(IF($G$6="YES",$E$6,0)+IF($K$6="YES",$I$6,0)),2)</f>
        <v/>
      </c>
      <c r="D396" s="38">
        <f>ROUND((IF(32&lt;=5,$AD$312,$AD$312+(32-5)*$AE$312))*(1+$C$6),2)+ROUND(ROUND((IF(32&lt;=5,$AD$312,$AD$312+(32-5)*$AE$312))*(1+$C$6),2)*(IF($G$6="YES",$E$6,0)+IF($K$6="YES",$I$6,0)),2)</f>
        <v/>
      </c>
      <c r="E396" s="38">
        <f>ROUND((IF(32&lt;=15,$AD$313,$AD$313+(32-15)*$AE$313))*(1+$C$6),2)+ROUND(ROUND((IF(32&lt;=15,$AD$313,$AD$313+(32-15)*$AE$313))*(1+$C$6),2)*(IF($G$6="YES",$E$6,0)+IF($K$6="YES",$I$6,0)),2)</f>
        <v/>
      </c>
      <c r="F396" s="38">
        <f>ROUND((IF(32&lt;=15,$AD$314,$AD$314+(32-15)*$AE$314))*(1+$C$6),2)+ROUND(ROUND((IF(32&lt;=15,$AD$314,$AD$314+(32-15)*$AE$314))*(1+$C$6),2)*(IF($G$6="YES",$E$6,0)+IF($K$6="YES",$I$6,0)),2)</f>
        <v/>
      </c>
      <c r="G396" s="38">
        <f>ROUND((IF(32&lt;=5,$AD$315,IF(32&lt;=35,$AD$315+(32-5)*$AE$315,$AG$315+(32-35)*$AF$315)))*(1+$C$6),2)+ROUND(ROUND((IF(32&lt;=5,$AD$315,IF(32&lt;=35,$AD$315+(32-5)*$AE$315,$AG$315+(32-35)*$AF$315)))*(1+$C$6),2)*(IF($G$6="YES",$E$6,0)+IF($K$6="YES",$I$6,0)),2)</f>
        <v/>
      </c>
      <c r="H396" s="38">
        <f>ROUND((IF(32&lt;=5,$AD$316,IF(32&lt;=35,$AD$316+(32-5)*$AE$316,$AG$316+(32-35)*$AF$316)))*(1+$C$6),2)+ROUND(ROUND((IF(32&lt;=5,$AD$316,IF(32&lt;=35,$AD$316+(32-5)*$AE$316,$AG$316+(32-35)*$AF$316)))*(1+$C$6),2)*(IF($G$6="YES",$E$6,0)+IF($K$6="YES",$I$6,0)),2)</f>
        <v/>
      </c>
      <c r="I396" s="38">
        <f>ROUND((IF(32&lt;=2,$AD$317,$AD$317+(32-2)*$AE$317))*(1+$C$6),2)+ROUND(ROUND((IF(32&lt;=2,$AD$317,$AD$317+(32-2)*$AE$317))*(1+$C$6),2)*(IF($G$6="YES",$E$6,0)+IF($K$6="YES",$I$6,0)),2)+(32*$E$8*IF($C$8="YES",1,0))</f>
        <v/>
      </c>
      <c r="J396" s="39">
        <f>ROUND((IF(32&lt;=2,$AD$318,$AD$318+(32-2)*$AE$318))*(1+$C$6),2)+ROUND(ROUND((IF(32&lt;=2,$AD$318,$AD$318+(32-2)*$AE$318))*(1+$C$6),2)*(IF($G$6="YES",$E$6,0)+IF($K$6="YES",$I$6,0)),2)</f>
        <v/>
      </c>
    </row>
    <row r="397">
      <c r="B397" s="37" t="n">
        <v>33</v>
      </c>
      <c r="C397" s="38">
        <f>ROUND((IF(33&lt;=5,$AD$311,$AD$311+(33-5)*$AE$311))*(1+$C$6),2)+ROUND(ROUND((IF(33&lt;=5,$AD$311,$AD$311+(33-5)*$AE$311))*(1+$C$6),2)*(IF($G$6="YES",$E$6,0)+IF($K$6="YES",$I$6,0)),2)</f>
        <v/>
      </c>
      <c r="D397" s="38">
        <f>ROUND((IF(33&lt;=5,$AD$312,$AD$312+(33-5)*$AE$312))*(1+$C$6),2)+ROUND(ROUND((IF(33&lt;=5,$AD$312,$AD$312+(33-5)*$AE$312))*(1+$C$6),2)*(IF($G$6="YES",$E$6,0)+IF($K$6="YES",$I$6,0)),2)</f>
        <v/>
      </c>
      <c r="E397" s="38">
        <f>ROUND((IF(33&lt;=15,$AD$313,$AD$313+(33-15)*$AE$313))*(1+$C$6),2)+ROUND(ROUND((IF(33&lt;=15,$AD$313,$AD$313+(33-15)*$AE$313))*(1+$C$6),2)*(IF($G$6="YES",$E$6,0)+IF($K$6="YES",$I$6,0)),2)</f>
        <v/>
      </c>
      <c r="F397" s="38">
        <f>ROUND((IF(33&lt;=15,$AD$314,$AD$314+(33-15)*$AE$314))*(1+$C$6),2)+ROUND(ROUND((IF(33&lt;=15,$AD$314,$AD$314+(33-15)*$AE$314))*(1+$C$6),2)*(IF($G$6="YES",$E$6,0)+IF($K$6="YES",$I$6,0)),2)</f>
        <v/>
      </c>
      <c r="G397" s="38">
        <f>ROUND((IF(33&lt;=5,$AD$315,IF(33&lt;=35,$AD$315+(33-5)*$AE$315,$AG$315+(33-35)*$AF$315)))*(1+$C$6),2)+ROUND(ROUND((IF(33&lt;=5,$AD$315,IF(33&lt;=35,$AD$315+(33-5)*$AE$315,$AG$315+(33-35)*$AF$315)))*(1+$C$6),2)*(IF($G$6="YES",$E$6,0)+IF($K$6="YES",$I$6,0)),2)</f>
        <v/>
      </c>
      <c r="H397" s="38">
        <f>ROUND((IF(33&lt;=5,$AD$316,IF(33&lt;=35,$AD$316+(33-5)*$AE$316,$AG$316+(33-35)*$AF$316)))*(1+$C$6),2)+ROUND(ROUND((IF(33&lt;=5,$AD$316,IF(33&lt;=35,$AD$316+(33-5)*$AE$316,$AG$316+(33-35)*$AF$316)))*(1+$C$6),2)*(IF($G$6="YES",$E$6,0)+IF($K$6="YES",$I$6,0)),2)</f>
        <v/>
      </c>
      <c r="I397" s="38">
        <f>ROUND((IF(33&lt;=2,$AD$317,$AD$317+(33-2)*$AE$317))*(1+$C$6),2)+ROUND(ROUND((IF(33&lt;=2,$AD$317,$AD$317+(33-2)*$AE$317))*(1+$C$6),2)*(IF($G$6="YES",$E$6,0)+IF($K$6="YES",$I$6,0)),2)+(33*$E$8*IF($C$8="YES",1,0))</f>
        <v/>
      </c>
      <c r="J397" s="39">
        <f>ROUND((IF(33&lt;=2,$AD$318,$AD$318+(33-2)*$AE$318))*(1+$C$6),2)+ROUND(ROUND((IF(33&lt;=2,$AD$318,$AD$318+(33-2)*$AE$318))*(1+$C$6),2)*(IF($G$6="YES",$E$6,0)+IF($K$6="YES",$I$6,0)),2)</f>
        <v/>
      </c>
    </row>
    <row r="398">
      <c r="B398" s="37" t="n">
        <v>34</v>
      </c>
      <c r="C398" s="38">
        <f>ROUND((IF(34&lt;=5,$AD$311,$AD$311+(34-5)*$AE$311))*(1+$C$6),2)+ROUND(ROUND((IF(34&lt;=5,$AD$311,$AD$311+(34-5)*$AE$311))*(1+$C$6),2)*(IF($G$6="YES",$E$6,0)+IF($K$6="YES",$I$6,0)),2)</f>
        <v/>
      </c>
      <c r="D398" s="38">
        <f>ROUND((IF(34&lt;=5,$AD$312,$AD$312+(34-5)*$AE$312))*(1+$C$6),2)+ROUND(ROUND((IF(34&lt;=5,$AD$312,$AD$312+(34-5)*$AE$312))*(1+$C$6),2)*(IF($G$6="YES",$E$6,0)+IF($K$6="YES",$I$6,0)),2)</f>
        <v/>
      </c>
      <c r="E398" s="38">
        <f>ROUND((IF(34&lt;=15,$AD$313,$AD$313+(34-15)*$AE$313))*(1+$C$6),2)+ROUND(ROUND((IF(34&lt;=15,$AD$313,$AD$313+(34-15)*$AE$313))*(1+$C$6),2)*(IF($G$6="YES",$E$6,0)+IF($K$6="YES",$I$6,0)),2)</f>
        <v/>
      </c>
      <c r="F398" s="38">
        <f>ROUND((IF(34&lt;=15,$AD$314,$AD$314+(34-15)*$AE$314))*(1+$C$6),2)+ROUND(ROUND((IF(34&lt;=15,$AD$314,$AD$314+(34-15)*$AE$314))*(1+$C$6),2)*(IF($G$6="YES",$E$6,0)+IF($K$6="YES",$I$6,0)),2)</f>
        <v/>
      </c>
      <c r="G398" s="38">
        <f>ROUND((IF(34&lt;=5,$AD$315,IF(34&lt;=35,$AD$315+(34-5)*$AE$315,$AG$315+(34-35)*$AF$315)))*(1+$C$6),2)+ROUND(ROUND((IF(34&lt;=5,$AD$315,IF(34&lt;=35,$AD$315+(34-5)*$AE$315,$AG$315+(34-35)*$AF$315)))*(1+$C$6),2)*(IF($G$6="YES",$E$6,0)+IF($K$6="YES",$I$6,0)),2)</f>
        <v/>
      </c>
      <c r="H398" s="38">
        <f>ROUND((IF(34&lt;=5,$AD$316,IF(34&lt;=35,$AD$316+(34-5)*$AE$316,$AG$316+(34-35)*$AF$316)))*(1+$C$6),2)+ROUND(ROUND((IF(34&lt;=5,$AD$316,IF(34&lt;=35,$AD$316+(34-5)*$AE$316,$AG$316+(34-35)*$AF$316)))*(1+$C$6),2)*(IF($G$6="YES",$E$6,0)+IF($K$6="YES",$I$6,0)),2)</f>
        <v/>
      </c>
      <c r="I398" s="38">
        <f>ROUND((IF(34&lt;=2,$AD$317,$AD$317+(34-2)*$AE$317))*(1+$C$6),2)+ROUND(ROUND((IF(34&lt;=2,$AD$317,$AD$317+(34-2)*$AE$317))*(1+$C$6),2)*(IF($G$6="YES",$E$6,0)+IF($K$6="YES",$I$6,0)),2)+(34*$E$8*IF($C$8="YES",1,0))</f>
        <v/>
      </c>
      <c r="J398" s="39">
        <f>ROUND((IF(34&lt;=2,$AD$318,$AD$318+(34-2)*$AE$318))*(1+$C$6),2)+ROUND(ROUND((IF(34&lt;=2,$AD$318,$AD$318+(34-2)*$AE$318))*(1+$C$6),2)*(IF($G$6="YES",$E$6,0)+IF($K$6="YES",$I$6,0)),2)</f>
        <v/>
      </c>
    </row>
    <row r="399">
      <c r="B399" s="37" t="n">
        <v>35</v>
      </c>
      <c r="C399" s="38">
        <f>ROUND((IF(35&lt;=5,$AD$311,$AD$311+(35-5)*$AE$311))*(1+$C$6),2)+ROUND(ROUND((IF(35&lt;=5,$AD$311,$AD$311+(35-5)*$AE$311))*(1+$C$6),2)*(IF($G$6="YES",$E$6,0)+IF($K$6="YES",$I$6,0)),2)</f>
        <v/>
      </c>
      <c r="D399" s="38">
        <f>ROUND((IF(35&lt;=5,$AD$312,$AD$312+(35-5)*$AE$312))*(1+$C$6),2)+ROUND(ROUND((IF(35&lt;=5,$AD$312,$AD$312+(35-5)*$AE$312))*(1+$C$6),2)*(IF($G$6="YES",$E$6,0)+IF($K$6="YES",$I$6,0)),2)</f>
        <v/>
      </c>
      <c r="E399" s="38">
        <f>ROUND((IF(35&lt;=15,$AD$313,$AD$313+(35-15)*$AE$313))*(1+$C$6),2)+ROUND(ROUND((IF(35&lt;=15,$AD$313,$AD$313+(35-15)*$AE$313))*(1+$C$6),2)*(IF($G$6="YES",$E$6,0)+IF($K$6="YES",$I$6,0)),2)</f>
        <v/>
      </c>
      <c r="F399" s="38">
        <f>ROUND((IF(35&lt;=15,$AD$314,$AD$314+(35-15)*$AE$314))*(1+$C$6),2)+ROUND(ROUND((IF(35&lt;=15,$AD$314,$AD$314+(35-15)*$AE$314))*(1+$C$6),2)*(IF($G$6="YES",$E$6,0)+IF($K$6="YES",$I$6,0)),2)</f>
        <v/>
      </c>
      <c r="G399" s="38">
        <f>ROUND((IF(35&lt;=5,$AD$315,IF(35&lt;=35,$AD$315+(35-5)*$AE$315,$AG$315+(35-35)*$AF$315)))*(1+$C$6),2)+ROUND(ROUND((IF(35&lt;=5,$AD$315,IF(35&lt;=35,$AD$315+(35-5)*$AE$315,$AG$315+(35-35)*$AF$315)))*(1+$C$6),2)*(IF($G$6="YES",$E$6,0)+IF($K$6="YES",$I$6,0)),2)</f>
        <v/>
      </c>
      <c r="H399" s="38">
        <f>ROUND((IF(35&lt;=5,$AD$316,IF(35&lt;=35,$AD$316+(35-5)*$AE$316,$AG$316+(35-35)*$AF$316)))*(1+$C$6),2)+ROUND(ROUND((IF(35&lt;=5,$AD$316,IF(35&lt;=35,$AD$316+(35-5)*$AE$316,$AG$316+(35-35)*$AF$316)))*(1+$C$6),2)*(IF($G$6="YES",$E$6,0)+IF($K$6="YES",$I$6,0)),2)</f>
        <v/>
      </c>
      <c r="I399" s="38">
        <f>ROUND((IF(35&lt;=2,$AD$317,$AD$317+(35-2)*$AE$317))*(1+$C$6),2)+ROUND(ROUND((IF(35&lt;=2,$AD$317,$AD$317+(35-2)*$AE$317))*(1+$C$6),2)*(IF($G$6="YES",$E$6,0)+IF($K$6="YES",$I$6,0)),2)+(35*$E$8*IF($C$8="YES",1,0))</f>
        <v/>
      </c>
      <c r="J399" s="39">
        <f>ROUND((IF(35&lt;=2,$AD$318,$AD$318+(35-2)*$AE$318))*(1+$C$6),2)+ROUND(ROUND((IF(35&lt;=2,$AD$318,$AD$318+(35-2)*$AE$318))*(1+$C$6),2)*(IF($G$6="YES",$E$6,0)+IF($K$6="YES",$I$6,0)),2)</f>
        <v/>
      </c>
    </row>
    <row r="400">
      <c r="B400" s="40" t="n">
        <v>36</v>
      </c>
      <c r="C400" s="43" t="inlineStr">
        <is>
          <t>see ECO/R</t>
        </is>
      </c>
      <c r="D400" s="43" t="inlineStr">
        <is>
          <t>see ECO/R</t>
        </is>
      </c>
      <c r="E400" s="43" t="inlineStr">
        <is>
          <t>see ECO/R</t>
        </is>
      </c>
      <c r="F400" s="43" t="inlineStr">
        <is>
          <t>see ECO/R</t>
        </is>
      </c>
      <c r="G400" s="41">
        <f>ROUND((IF(36&lt;=5,$AD$315,IF(36&lt;=35,$AD$315+(36-5)*$AE$315,$AG$315+(36-35)*$AF$315)))*(1+$C$6),2)+ROUND(ROUND((IF(36&lt;=5,$AD$315,IF(36&lt;=35,$AD$315+(36-5)*$AE$315,$AG$315+(36-35)*$AF$315)))*(1+$C$6),2)*(IF($G$6="YES",$E$6,0)+IF($K$6="YES",$I$6,0)),2)</f>
        <v/>
      </c>
      <c r="H400" s="41">
        <f>ROUND((IF(36&lt;=5,$AD$316,IF(36&lt;=35,$AD$316+(36-5)*$AE$316,$AG$316+(36-35)*$AF$316)))*(1+$C$6),2)+ROUND(ROUND((IF(36&lt;=5,$AD$316,IF(36&lt;=35,$AD$316+(36-5)*$AE$316,$AG$316+(36-35)*$AF$316)))*(1+$C$6),2)*(IF($G$6="YES",$E$6,0)+IF($K$6="YES",$I$6,0)),2)</f>
        <v/>
      </c>
      <c r="I400" s="41">
        <f>ROUND((IF(36&lt;=2,$AD$317,$AD$317+(36-2)*$AE$317))*(1+$C$6),2)+ROUND(ROUND((IF(36&lt;=2,$AD$317,$AD$317+(36-2)*$AE$317))*(1+$C$6),2)*(IF($G$6="YES",$E$6,0)+IF($K$6="YES",$I$6,0)),2)+(36*$E$8*IF($C$8="YES",1,0))</f>
        <v/>
      </c>
      <c r="J400" s="42">
        <f>ROUND((IF(36&lt;=2,$AD$318,$AD$318+(36-2)*$AE$318))*(1+$C$6),2)+ROUND(ROUND((IF(36&lt;=2,$AD$318,$AD$318+(36-2)*$AE$318))*(1+$C$6),2)*(IF($G$6="YES",$E$6,0)+IF($K$6="YES",$I$6,0)),2)</f>
        <v/>
      </c>
    </row>
    <row r="401">
      <c r="B401" s="40" t="n">
        <v>37</v>
      </c>
      <c r="C401" s="43" t="inlineStr">
        <is>
          <t>see ECO/R</t>
        </is>
      </c>
      <c r="D401" s="43" t="inlineStr">
        <is>
          <t>see ECO/R</t>
        </is>
      </c>
      <c r="E401" s="43" t="inlineStr">
        <is>
          <t>see ECO/R</t>
        </is>
      </c>
      <c r="F401" s="43" t="inlineStr">
        <is>
          <t>see ECO/R</t>
        </is>
      </c>
      <c r="G401" s="41">
        <f>ROUND((IF(37&lt;=5,$AD$315,IF(37&lt;=35,$AD$315+(37-5)*$AE$315,$AG$315+(37-35)*$AF$315)))*(1+$C$6),2)+ROUND(ROUND((IF(37&lt;=5,$AD$315,IF(37&lt;=35,$AD$315+(37-5)*$AE$315,$AG$315+(37-35)*$AF$315)))*(1+$C$6),2)*(IF($G$6="YES",$E$6,0)+IF($K$6="YES",$I$6,0)),2)</f>
        <v/>
      </c>
      <c r="H401" s="41">
        <f>ROUND((IF(37&lt;=5,$AD$316,IF(37&lt;=35,$AD$316+(37-5)*$AE$316,$AG$316+(37-35)*$AF$316)))*(1+$C$6),2)+ROUND(ROUND((IF(37&lt;=5,$AD$316,IF(37&lt;=35,$AD$316+(37-5)*$AE$316,$AG$316+(37-35)*$AF$316)))*(1+$C$6),2)*(IF($G$6="YES",$E$6,0)+IF($K$6="YES",$I$6,0)),2)</f>
        <v/>
      </c>
      <c r="I401" s="41">
        <f>ROUND((IF(37&lt;=2,$AD$317,$AD$317+(37-2)*$AE$317))*(1+$C$6),2)+ROUND(ROUND((IF(37&lt;=2,$AD$317,$AD$317+(37-2)*$AE$317))*(1+$C$6),2)*(IF($G$6="YES",$E$6,0)+IF($K$6="YES",$I$6,0)),2)+(37*$E$8*IF($C$8="YES",1,0))</f>
        <v/>
      </c>
      <c r="J401" s="42">
        <f>ROUND((IF(37&lt;=2,$AD$318,$AD$318+(37-2)*$AE$318))*(1+$C$6),2)+ROUND(ROUND((IF(37&lt;=2,$AD$318,$AD$318+(37-2)*$AE$318))*(1+$C$6),2)*(IF($G$6="YES",$E$6,0)+IF($K$6="YES",$I$6,0)),2)</f>
        <v/>
      </c>
    </row>
    <row r="402">
      <c r="B402" s="40" t="n">
        <v>38</v>
      </c>
      <c r="C402" s="43" t="inlineStr">
        <is>
          <t>see ECO/R</t>
        </is>
      </c>
      <c r="D402" s="43" t="inlineStr">
        <is>
          <t>see ECO/R</t>
        </is>
      </c>
      <c r="E402" s="43" t="inlineStr">
        <is>
          <t>see ECO/R</t>
        </is>
      </c>
      <c r="F402" s="43" t="inlineStr">
        <is>
          <t>see ECO/R</t>
        </is>
      </c>
      <c r="G402" s="41">
        <f>ROUND((IF(38&lt;=5,$AD$315,IF(38&lt;=35,$AD$315+(38-5)*$AE$315,$AG$315+(38-35)*$AF$315)))*(1+$C$6),2)+ROUND(ROUND((IF(38&lt;=5,$AD$315,IF(38&lt;=35,$AD$315+(38-5)*$AE$315,$AG$315+(38-35)*$AF$315)))*(1+$C$6),2)*(IF($G$6="YES",$E$6,0)+IF($K$6="YES",$I$6,0)),2)</f>
        <v/>
      </c>
      <c r="H402" s="41">
        <f>ROUND((IF(38&lt;=5,$AD$316,IF(38&lt;=35,$AD$316+(38-5)*$AE$316,$AG$316+(38-35)*$AF$316)))*(1+$C$6),2)+ROUND(ROUND((IF(38&lt;=5,$AD$316,IF(38&lt;=35,$AD$316+(38-5)*$AE$316,$AG$316+(38-35)*$AF$316)))*(1+$C$6),2)*(IF($G$6="YES",$E$6,0)+IF($K$6="YES",$I$6,0)),2)</f>
        <v/>
      </c>
      <c r="I402" s="41">
        <f>ROUND((IF(38&lt;=2,$AD$317,$AD$317+(38-2)*$AE$317))*(1+$C$6),2)+ROUND(ROUND((IF(38&lt;=2,$AD$317,$AD$317+(38-2)*$AE$317))*(1+$C$6),2)*(IF($G$6="YES",$E$6,0)+IF($K$6="YES",$I$6,0)),2)+(38*$E$8*IF($C$8="YES",1,0))</f>
        <v/>
      </c>
      <c r="J402" s="42">
        <f>ROUND((IF(38&lt;=2,$AD$318,$AD$318+(38-2)*$AE$318))*(1+$C$6),2)+ROUND(ROUND((IF(38&lt;=2,$AD$318,$AD$318+(38-2)*$AE$318))*(1+$C$6),2)*(IF($G$6="YES",$E$6,0)+IF($K$6="YES",$I$6,0)),2)</f>
        <v/>
      </c>
    </row>
    <row r="403">
      <c r="B403" s="40" t="n">
        <v>39</v>
      </c>
      <c r="C403" s="43" t="inlineStr">
        <is>
          <t>see ECO/R</t>
        </is>
      </c>
      <c r="D403" s="43" t="inlineStr">
        <is>
          <t>see ECO/R</t>
        </is>
      </c>
      <c r="E403" s="43" t="inlineStr">
        <is>
          <t>see ECO/R</t>
        </is>
      </c>
      <c r="F403" s="43" t="inlineStr">
        <is>
          <t>see ECO/R</t>
        </is>
      </c>
      <c r="G403" s="41">
        <f>ROUND((IF(39&lt;=5,$AD$315,IF(39&lt;=35,$AD$315+(39-5)*$AE$315,$AG$315+(39-35)*$AF$315)))*(1+$C$6),2)+ROUND(ROUND((IF(39&lt;=5,$AD$315,IF(39&lt;=35,$AD$315+(39-5)*$AE$315,$AG$315+(39-35)*$AF$315)))*(1+$C$6),2)*(IF($G$6="YES",$E$6,0)+IF($K$6="YES",$I$6,0)),2)</f>
        <v/>
      </c>
      <c r="H403" s="41">
        <f>ROUND((IF(39&lt;=5,$AD$316,IF(39&lt;=35,$AD$316+(39-5)*$AE$316,$AG$316+(39-35)*$AF$316)))*(1+$C$6),2)+ROUND(ROUND((IF(39&lt;=5,$AD$316,IF(39&lt;=35,$AD$316+(39-5)*$AE$316,$AG$316+(39-35)*$AF$316)))*(1+$C$6),2)*(IF($G$6="YES",$E$6,0)+IF($K$6="YES",$I$6,0)),2)</f>
        <v/>
      </c>
      <c r="I403" s="41">
        <f>ROUND((IF(39&lt;=2,$AD$317,$AD$317+(39-2)*$AE$317))*(1+$C$6),2)+ROUND(ROUND((IF(39&lt;=2,$AD$317,$AD$317+(39-2)*$AE$317))*(1+$C$6),2)*(IF($G$6="YES",$E$6,0)+IF($K$6="YES",$I$6,0)),2)+(39*$E$8*IF($C$8="YES",1,0))</f>
        <v/>
      </c>
      <c r="J403" s="42">
        <f>ROUND((IF(39&lt;=2,$AD$318,$AD$318+(39-2)*$AE$318))*(1+$C$6),2)+ROUND(ROUND((IF(39&lt;=2,$AD$318,$AD$318+(39-2)*$AE$318))*(1+$C$6),2)*(IF($G$6="YES",$E$6,0)+IF($K$6="YES",$I$6,0)),2)</f>
        <v/>
      </c>
    </row>
    <row r="404">
      <c r="B404" s="44" t="n">
        <v>40</v>
      </c>
      <c r="C404" s="45" t="inlineStr">
        <is>
          <t>see ECO/R</t>
        </is>
      </c>
      <c r="D404" s="45" t="inlineStr">
        <is>
          <t>see ECO/R</t>
        </is>
      </c>
      <c r="E404" s="45" t="inlineStr">
        <is>
          <t>see ECO/R</t>
        </is>
      </c>
      <c r="F404" s="45" t="inlineStr">
        <is>
          <t>see ECO/R</t>
        </is>
      </c>
      <c r="G404" s="46">
        <f>ROUND((IF(40&lt;=5,$AD$315,IF(40&lt;=35,$AD$315+(40-5)*$AE$315,$AG$315+(40-35)*$AF$315)))*(1+$C$6),2)+ROUND(ROUND((IF(40&lt;=5,$AD$315,IF(40&lt;=35,$AD$315+(40-5)*$AE$315,$AG$315+(40-35)*$AF$315)))*(1+$C$6),2)*(IF($G$6="YES",$E$6,0)+IF($K$6="YES",$I$6,0)),2)</f>
        <v/>
      </c>
      <c r="H404" s="46">
        <f>ROUND((IF(40&lt;=5,$AD$316,IF(40&lt;=35,$AD$316+(40-5)*$AE$316,$AG$316+(40-35)*$AF$316)))*(1+$C$6),2)+ROUND(ROUND((IF(40&lt;=5,$AD$316,IF(40&lt;=35,$AD$316+(40-5)*$AE$316,$AG$316+(40-35)*$AF$316)))*(1+$C$6),2)*(IF($G$6="YES",$E$6,0)+IF($K$6="YES",$I$6,0)),2)</f>
        <v/>
      </c>
      <c r="I404" s="46">
        <f>ROUND((IF(40&lt;=2,$AD$317,$AD$317+(40-2)*$AE$317))*(1+$C$6),2)+ROUND(ROUND((IF(40&lt;=2,$AD$317,$AD$317+(40-2)*$AE$317))*(1+$C$6),2)*(IF($G$6="YES",$E$6,0)+IF($K$6="YES",$I$6,0)),2)+(40*$E$8*IF($C$8="YES",1,0))</f>
        <v/>
      </c>
      <c r="J404" s="47">
        <f>ROUND((IF(40&lt;=2,$AD$318,$AD$318+(40-2)*$AE$318))*(1+$C$6),2)+ROUND(ROUND((IF(40&lt;=2,$AD$318,$AD$318+(40-2)*$AE$318))*(1+$C$6),2)*(IF($G$6="YES",$E$6,0)+IF($K$6="YES",$I$6,0)),2)</f>
        <v/>
      </c>
    </row>
    <row r="405"/>
    <row r="406"/>
    <row r="407" ht="21.95" customHeight="1" s="98">
      <c r="B407" s="99" t="inlineStr">
        <is>
          <t>5.  Prepaid Rate  —  Prepaid card</t>
        </is>
      </c>
    </row>
    <row r="408" ht="30" customHeight="1" s="98">
      <c r="B408" s="18" t="inlineStr">
        <is>
          <t>Service</t>
        </is>
      </c>
      <c r="C408" s="19" t="inlineStr">
        <is>
          <t>Description</t>
        </is>
      </c>
      <c r="D408" s="19" t="inlineStr">
        <is>
          <t>Min charge
(excl VAT)</t>
        </is>
      </c>
      <c r="E408" s="19" t="inlineStr">
        <is>
          <t>Up to (kg)</t>
        </is>
      </c>
      <c r="F408" s="19" t="inlineStr">
        <is>
          <t>Rate/kg
thereafter (excl)</t>
        </is>
      </c>
      <c r="G408" s="19" t="inlineStr">
        <is>
          <t>Min charge
(incl VAT)</t>
        </is>
      </c>
      <c r="H408" s="19" t="inlineStr">
        <is>
          <t>Rate/kg
thereafter (incl)</t>
        </is>
      </c>
      <c r="I408" s="20" t="inlineStr">
        <is>
          <t>Notes</t>
        </is>
      </c>
    </row>
    <row r="409" ht="25.5" customHeight="1" s="98">
      <c r="B409" s="21" t="inlineStr">
        <is>
          <t>LPP-SC</t>
        </is>
      </c>
      <c r="C409" s="22" t="inlineStr">
        <is>
          <t>Local Priority Parcel — Same-City</t>
        </is>
      </c>
      <c r="D409" s="23">
        <f>$AD$409</f>
        <v/>
      </c>
      <c r="E409" s="24" t="n">
        <v>15</v>
      </c>
      <c r="F409" s="23">
        <f>$AE$409</f>
        <v/>
      </c>
      <c r="G409" s="23">
        <f>ROUND($AD$409*(1+$C$6),2)+ROUND(ROUND($AD$409*(1+$C$6),2)*(IF($G$6="YES",$E$6,0)+IF($K$6="YES",$I$6,0)),2)</f>
        <v/>
      </c>
      <c r="H409" s="23">
        <f>ROUND($AE$409*(1+$C$6),2)+ROUND(ROUND($AE$409*(1+$C$6),2)*(IF($G$6="YES",$E$6,0)+IF($K$6="YES",$I$6,0)),2)</f>
        <v/>
      </c>
      <c r="I409" s="25" t="inlineStr">
        <is>
          <t>Local service — beyond 35kg, priced at the ECO/R rate above.</t>
        </is>
      </c>
      <c r="AD409" s="26" t="n">
        <v>114.1</v>
      </c>
      <c r="AE409" s="26" t="n">
        <v>13.04</v>
      </c>
    </row>
    <row r="410" ht="25.5" customHeight="1" s="98">
      <c r="B410" s="27" t="inlineStr">
        <is>
          <t>LPP-R</t>
        </is>
      </c>
      <c r="C410" s="28" t="inlineStr">
        <is>
          <t>Local Priority Parcel — Regional</t>
        </is>
      </c>
      <c r="D410" s="29">
        <f>$AD$410</f>
        <v/>
      </c>
      <c r="E410" s="30" t="n">
        <v>15</v>
      </c>
      <c r="F410" s="29">
        <f>$AE$410</f>
        <v/>
      </c>
      <c r="G410" s="29">
        <f>ROUND($AD$410*(1+$C$6),2)+ROUND(ROUND($AD$410*(1+$C$6),2)*(IF($G$6="YES",$E$6,0)+IF($K$6="YES",$I$6,0)),2)</f>
        <v/>
      </c>
      <c r="H410" s="29">
        <f>ROUND($AE$410*(1+$C$6),2)+ROUND(ROUND($AE$410*(1+$C$6),2)*(IF($G$6="YES",$E$6,0)+IF($K$6="YES",$I$6,0)),2)</f>
        <v/>
      </c>
      <c r="I410" s="31" t="inlineStr">
        <is>
          <t>Local service — beyond 35kg, priced at the ECO/R rate above.</t>
        </is>
      </c>
      <c r="AD410" s="26" t="n">
        <v>124.86</v>
      </c>
      <c r="AE410" s="26" t="n">
        <v>13.04</v>
      </c>
    </row>
    <row r="411" ht="36" customHeight="1" s="98">
      <c r="B411" s="21" t="inlineStr">
        <is>
          <t>ECO</t>
        </is>
      </c>
      <c r="C411" s="22" t="inlineStr">
        <is>
          <t>Economy Road — National</t>
        </is>
      </c>
      <c r="D411" s="23">
        <f>$AD$411</f>
        <v/>
      </c>
      <c r="E411" s="24" t="n">
        <v>15</v>
      </c>
      <c r="F411" s="23">
        <f>$AE$411</f>
        <v/>
      </c>
      <c r="G411" s="23">
        <f>ROUND($AD$411*(1+$C$6),2)+ROUND(ROUND($AD$411*(1+$C$6),2)*(IF($G$6="YES",$E$6,0)+IF($K$6="YES",$I$6,0)),2)</f>
        <v/>
      </c>
      <c r="H411" s="23">
        <f>ROUND($AE$411*(1+$C$6),2)+ROUND(ROUND($AE$411*(1+$C$6),2)*(IF($G$6="YES",$E$6,0)+IF($K$6="YES",$I$6,0)),2)</f>
        <v/>
      </c>
      <c r="I411" s="25" t="inlineStr">
        <is>
          <t>Card doesn't print a &gt;35kg rate; carried over the 17.39/kg used on the other 4 cards.</t>
        </is>
      </c>
      <c r="AD411" s="26" t="n">
        <v>161.46</v>
      </c>
      <c r="AE411" s="26" t="n">
        <v>13.04</v>
      </c>
      <c r="AF411" s="26" t="n">
        <v>17.39</v>
      </c>
      <c r="AG411" s="26" t="n">
        <v>422.26</v>
      </c>
    </row>
    <row r="412" ht="36" customHeight="1" s="98">
      <c r="B412" s="27" t="inlineStr">
        <is>
          <t>ECOR</t>
        </is>
      </c>
      <c r="C412" s="28" t="inlineStr">
        <is>
          <t>Economy Road — Regional</t>
        </is>
      </c>
      <c r="D412" s="29">
        <f>$AD$412</f>
        <v/>
      </c>
      <c r="E412" s="30" t="n">
        <v>15</v>
      </c>
      <c r="F412" s="29">
        <f>$AE$412</f>
        <v/>
      </c>
      <c r="G412" s="29">
        <f>ROUND($AD$412*(1+$C$6),2)+ROUND(ROUND($AD$412*(1+$C$6),2)*(IF($G$6="YES",$E$6,0)+IF($K$6="YES",$I$6,0)),2)</f>
        <v/>
      </c>
      <c r="H412" s="29">
        <f>ROUND($AE$412*(1+$C$6),2)+ROUND(ROUND($AE$412*(1+$C$6),2)*(IF($G$6="YES",$E$6,0)+IF($K$6="YES",$I$6,0)),2)</f>
        <v/>
      </c>
      <c r="I412" s="31" t="inlineStr">
        <is>
          <t>Card doesn't print a &gt;35kg rate; carried over the 21.39/kg used on the other 4 cards.</t>
        </is>
      </c>
      <c r="AD412" s="26" t="n">
        <v>241.46</v>
      </c>
      <c r="AE412" s="26" t="n">
        <v>17.04</v>
      </c>
      <c r="AF412" s="26" t="n">
        <v>21.39</v>
      </c>
      <c r="AG412" s="26" t="n">
        <v>582.26</v>
      </c>
    </row>
    <row r="413">
      <c r="B413" s="21" t="inlineStr">
        <is>
          <t>PRI</t>
        </is>
      </c>
      <c r="C413" s="22" t="inlineStr">
        <is>
          <t>Priority Courier — National</t>
        </is>
      </c>
      <c r="D413" s="23">
        <f>$AD$413</f>
        <v/>
      </c>
      <c r="E413" s="24" t="n">
        <v>2</v>
      </c>
      <c r="F413" s="23">
        <f>$AE$413</f>
        <v/>
      </c>
      <c r="G413" s="23">
        <f>ROUND($AD$413*(1+$C$6),2)+ROUND(ROUND($AD$413*(1+$C$6),2)*(IF($G$6="YES",$E$6,0)+IF($K$6="YES",$I$6,0)),2)</f>
        <v/>
      </c>
      <c r="H413" s="23">
        <f>ROUND($AE$413*(1+$C$6),2)+ROUND(ROUND($AE$413*(1+$C$6),2)*(IF($G$6="YES",$E$6,0)+IF($K$6="YES",$I$6,0)),2)</f>
        <v/>
      </c>
      <c r="I413" s="25" t="inlineStr">
        <is>
          <t>May carry an additional R/kg airfreight surcharge on certain inter-zone routes - see Global Settings above.</t>
        </is>
      </c>
      <c r="AD413" s="26" t="n">
        <v>178.68</v>
      </c>
      <c r="AE413" s="26" t="n">
        <v>48</v>
      </c>
    </row>
    <row r="414">
      <c r="B414" s="48" t="inlineStr">
        <is>
          <t>PRIR</t>
        </is>
      </c>
      <c r="C414" s="49" t="inlineStr">
        <is>
          <t>Priority Courier — Regional</t>
        </is>
      </c>
      <c r="D414" s="50">
        <f>$AD$414</f>
        <v/>
      </c>
      <c r="E414" s="51" t="n">
        <v>2</v>
      </c>
      <c r="F414" s="50">
        <f>$AE$414</f>
        <v/>
      </c>
      <c r="G414" s="50">
        <f>ROUND($AD$414*(1+$C$6),2)+ROUND(ROUND($AD$414*(1+$C$6),2)*(IF($G$6="YES",$E$6,0)+IF($K$6="YES",$I$6,0)),2)</f>
        <v/>
      </c>
      <c r="H414" s="50">
        <f>ROUND($AE$414*(1+$C$6),2)+ROUND(ROUND($AE$414*(1+$C$6),2)*(IF($G$6="YES",$E$6,0)+IF($K$6="YES",$I$6,0)),2)</f>
        <v/>
      </c>
      <c r="I414" s="52" t="inlineStr">
        <is>
          <t>May carry an additional R/kg airfreight surcharge on certain inter-zone routes - see Global Settings above.</t>
        </is>
      </c>
      <c r="AD414" s="26" t="n">
        <v>263.68</v>
      </c>
      <c r="AE414" s="26" t="n">
        <v>52</v>
      </c>
    </row>
    <row r="415"/>
    <row r="416">
      <c r="B416" s="36" t="inlineStr">
        <is>
          <t>Weight-based price  —  VAT &amp; fuel levy EXCLUDED</t>
        </is>
      </c>
    </row>
    <row r="417" ht="18" customHeight="1" s="98">
      <c r="B417" s="18" t="inlineStr">
        <is>
          <t>Kg</t>
        </is>
      </c>
      <c r="C417" s="19" t="inlineStr">
        <is>
          <t>LPP-SC</t>
        </is>
      </c>
      <c r="D417" s="19" t="inlineStr">
        <is>
          <t>LPP-R</t>
        </is>
      </c>
      <c r="E417" s="19" t="inlineStr">
        <is>
          <t>ECO</t>
        </is>
      </c>
      <c r="F417" s="19" t="inlineStr">
        <is>
          <t>ECOR</t>
        </is>
      </c>
      <c r="G417" s="19" t="inlineStr">
        <is>
          <t>PRI</t>
        </is>
      </c>
      <c r="H417" s="20" t="inlineStr">
        <is>
          <t>PRIR</t>
        </is>
      </c>
    </row>
    <row r="418">
      <c r="B418" s="37" t="n">
        <v>1</v>
      </c>
      <c r="C418" s="38">
        <f>IF(1&lt;=15,$AD$409,$AD$409+(1-15)*$AE$409)</f>
        <v/>
      </c>
      <c r="D418" s="38">
        <f>IF(1&lt;=15,$AD$410,$AD$410+(1-15)*$AE$410)</f>
        <v/>
      </c>
      <c r="E418" s="38">
        <f>IF(1&lt;=15,$AD$411,IF(1&lt;=35,$AD$411+(1-15)*$AE$411,$AG$411+(1-35)*$AF$411))</f>
        <v/>
      </c>
      <c r="F418" s="38">
        <f>IF(1&lt;=15,$AD$412,IF(1&lt;=35,$AD$412+(1-15)*$AE$412,$AG$412+(1-35)*$AF$412))</f>
        <v/>
      </c>
      <c r="G418" s="38">
        <f>IF(1&lt;=2,$AD$413,$AD$413+(1-2)*$AE$413)</f>
        <v/>
      </c>
      <c r="H418" s="39">
        <f>IF(1&lt;=2,$AD$414,$AD$414+(1-2)*$AE$414)</f>
        <v/>
      </c>
    </row>
    <row r="419">
      <c r="B419" s="37" t="n">
        <v>2</v>
      </c>
      <c r="C419" s="38">
        <f>IF(2&lt;=15,$AD$409,$AD$409+(2-15)*$AE$409)</f>
        <v/>
      </c>
      <c r="D419" s="38">
        <f>IF(2&lt;=15,$AD$410,$AD$410+(2-15)*$AE$410)</f>
        <v/>
      </c>
      <c r="E419" s="38">
        <f>IF(2&lt;=15,$AD$411,IF(2&lt;=35,$AD$411+(2-15)*$AE$411,$AG$411+(2-35)*$AF$411))</f>
        <v/>
      </c>
      <c r="F419" s="38">
        <f>IF(2&lt;=15,$AD$412,IF(2&lt;=35,$AD$412+(2-15)*$AE$412,$AG$412+(2-35)*$AF$412))</f>
        <v/>
      </c>
      <c r="G419" s="38">
        <f>IF(2&lt;=2,$AD$413,$AD$413+(2-2)*$AE$413)</f>
        <v/>
      </c>
      <c r="H419" s="39">
        <f>IF(2&lt;=2,$AD$414,$AD$414+(2-2)*$AE$414)</f>
        <v/>
      </c>
    </row>
    <row r="420">
      <c r="B420" s="37" t="n">
        <v>3</v>
      </c>
      <c r="C420" s="38">
        <f>IF(3&lt;=15,$AD$409,$AD$409+(3-15)*$AE$409)</f>
        <v/>
      </c>
      <c r="D420" s="38">
        <f>IF(3&lt;=15,$AD$410,$AD$410+(3-15)*$AE$410)</f>
        <v/>
      </c>
      <c r="E420" s="38">
        <f>IF(3&lt;=15,$AD$411,IF(3&lt;=35,$AD$411+(3-15)*$AE$411,$AG$411+(3-35)*$AF$411))</f>
        <v/>
      </c>
      <c r="F420" s="38">
        <f>IF(3&lt;=15,$AD$412,IF(3&lt;=35,$AD$412+(3-15)*$AE$412,$AG$412+(3-35)*$AF$412))</f>
        <v/>
      </c>
      <c r="G420" s="38">
        <f>IF(3&lt;=2,$AD$413,$AD$413+(3-2)*$AE$413)</f>
        <v/>
      </c>
      <c r="H420" s="39">
        <f>IF(3&lt;=2,$AD$414,$AD$414+(3-2)*$AE$414)</f>
        <v/>
      </c>
    </row>
    <row r="421">
      <c r="B421" s="37" t="n">
        <v>4</v>
      </c>
      <c r="C421" s="38">
        <f>IF(4&lt;=15,$AD$409,$AD$409+(4-15)*$AE$409)</f>
        <v/>
      </c>
      <c r="D421" s="38">
        <f>IF(4&lt;=15,$AD$410,$AD$410+(4-15)*$AE$410)</f>
        <v/>
      </c>
      <c r="E421" s="38">
        <f>IF(4&lt;=15,$AD$411,IF(4&lt;=35,$AD$411+(4-15)*$AE$411,$AG$411+(4-35)*$AF$411))</f>
        <v/>
      </c>
      <c r="F421" s="38">
        <f>IF(4&lt;=15,$AD$412,IF(4&lt;=35,$AD$412+(4-15)*$AE$412,$AG$412+(4-35)*$AF$412))</f>
        <v/>
      </c>
      <c r="G421" s="38">
        <f>IF(4&lt;=2,$AD$413,$AD$413+(4-2)*$AE$413)</f>
        <v/>
      </c>
      <c r="H421" s="39">
        <f>IF(4&lt;=2,$AD$414,$AD$414+(4-2)*$AE$414)</f>
        <v/>
      </c>
    </row>
    <row r="422">
      <c r="B422" s="37" t="n">
        <v>5</v>
      </c>
      <c r="C422" s="38">
        <f>IF(5&lt;=15,$AD$409,$AD$409+(5-15)*$AE$409)</f>
        <v/>
      </c>
      <c r="D422" s="38">
        <f>IF(5&lt;=15,$AD$410,$AD$410+(5-15)*$AE$410)</f>
        <v/>
      </c>
      <c r="E422" s="38">
        <f>IF(5&lt;=15,$AD$411,IF(5&lt;=35,$AD$411+(5-15)*$AE$411,$AG$411+(5-35)*$AF$411))</f>
        <v/>
      </c>
      <c r="F422" s="38">
        <f>IF(5&lt;=15,$AD$412,IF(5&lt;=35,$AD$412+(5-15)*$AE$412,$AG$412+(5-35)*$AF$412))</f>
        <v/>
      </c>
      <c r="G422" s="38">
        <f>IF(5&lt;=2,$AD$413,$AD$413+(5-2)*$AE$413)</f>
        <v/>
      </c>
      <c r="H422" s="39">
        <f>IF(5&lt;=2,$AD$414,$AD$414+(5-2)*$AE$414)</f>
        <v/>
      </c>
    </row>
    <row r="423">
      <c r="B423" s="40" t="n">
        <v>6</v>
      </c>
      <c r="C423" s="41">
        <f>IF(6&lt;=15,$AD$409,$AD$409+(6-15)*$AE$409)</f>
        <v/>
      </c>
      <c r="D423" s="41">
        <f>IF(6&lt;=15,$AD$410,$AD$410+(6-15)*$AE$410)</f>
        <v/>
      </c>
      <c r="E423" s="41">
        <f>IF(6&lt;=15,$AD$411,IF(6&lt;=35,$AD$411+(6-15)*$AE$411,$AG$411+(6-35)*$AF$411))</f>
        <v/>
      </c>
      <c r="F423" s="41">
        <f>IF(6&lt;=15,$AD$412,IF(6&lt;=35,$AD$412+(6-15)*$AE$412,$AG$412+(6-35)*$AF$412))</f>
        <v/>
      </c>
      <c r="G423" s="41">
        <f>IF(6&lt;=2,$AD$413,$AD$413+(6-2)*$AE$413)</f>
        <v/>
      </c>
      <c r="H423" s="42">
        <f>IF(6&lt;=2,$AD$414,$AD$414+(6-2)*$AE$414)</f>
        <v/>
      </c>
    </row>
    <row r="424">
      <c r="B424" s="40" t="n">
        <v>7</v>
      </c>
      <c r="C424" s="41">
        <f>IF(7&lt;=15,$AD$409,$AD$409+(7-15)*$AE$409)</f>
        <v/>
      </c>
      <c r="D424" s="41">
        <f>IF(7&lt;=15,$AD$410,$AD$410+(7-15)*$AE$410)</f>
        <v/>
      </c>
      <c r="E424" s="41">
        <f>IF(7&lt;=15,$AD$411,IF(7&lt;=35,$AD$411+(7-15)*$AE$411,$AG$411+(7-35)*$AF$411))</f>
        <v/>
      </c>
      <c r="F424" s="41">
        <f>IF(7&lt;=15,$AD$412,IF(7&lt;=35,$AD$412+(7-15)*$AE$412,$AG$412+(7-35)*$AF$412))</f>
        <v/>
      </c>
      <c r="G424" s="41">
        <f>IF(7&lt;=2,$AD$413,$AD$413+(7-2)*$AE$413)</f>
        <v/>
      </c>
      <c r="H424" s="42">
        <f>IF(7&lt;=2,$AD$414,$AD$414+(7-2)*$AE$414)</f>
        <v/>
      </c>
    </row>
    <row r="425">
      <c r="B425" s="40" t="n">
        <v>8</v>
      </c>
      <c r="C425" s="41">
        <f>IF(8&lt;=15,$AD$409,$AD$409+(8-15)*$AE$409)</f>
        <v/>
      </c>
      <c r="D425" s="41">
        <f>IF(8&lt;=15,$AD$410,$AD$410+(8-15)*$AE$410)</f>
        <v/>
      </c>
      <c r="E425" s="41">
        <f>IF(8&lt;=15,$AD$411,IF(8&lt;=35,$AD$411+(8-15)*$AE$411,$AG$411+(8-35)*$AF$411))</f>
        <v/>
      </c>
      <c r="F425" s="41">
        <f>IF(8&lt;=15,$AD$412,IF(8&lt;=35,$AD$412+(8-15)*$AE$412,$AG$412+(8-35)*$AF$412))</f>
        <v/>
      </c>
      <c r="G425" s="41">
        <f>IF(8&lt;=2,$AD$413,$AD$413+(8-2)*$AE$413)</f>
        <v/>
      </c>
      <c r="H425" s="42">
        <f>IF(8&lt;=2,$AD$414,$AD$414+(8-2)*$AE$414)</f>
        <v/>
      </c>
    </row>
    <row r="426">
      <c r="B426" s="40" t="n">
        <v>9</v>
      </c>
      <c r="C426" s="41">
        <f>IF(9&lt;=15,$AD$409,$AD$409+(9-15)*$AE$409)</f>
        <v/>
      </c>
      <c r="D426" s="41">
        <f>IF(9&lt;=15,$AD$410,$AD$410+(9-15)*$AE$410)</f>
        <v/>
      </c>
      <c r="E426" s="41">
        <f>IF(9&lt;=15,$AD$411,IF(9&lt;=35,$AD$411+(9-15)*$AE$411,$AG$411+(9-35)*$AF$411))</f>
        <v/>
      </c>
      <c r="F426" s="41">
        <f>IF(9&lt;=15,$AD$412,IF(9&lt;=35,$AD$412+(9-15)*$AE$412,$AG$412+(9-35)*$AF$412))</f>
        <v/>
      </c>
      <c r="G426" s="41">
        <f>IF(9&lt;=2,$AD$413,$AD$413+(9-2)*$AE$413)</f>
        <v/>
      </c>
      <c r="H426" s="42">
        <f>IF(9&lt;=2,$AD$414,$AD$414+(9-2)*$AE$414)</f>
        <v/>
      </c>
    </row>
    <row r="427">
      <c r="B427" s="40" t="n">
        <v>10</v>
      </c>
      <c r="C427" s="41">
        <f>IF(10&lt;=15,$AD$409,$AD$409+(10-15)*$AE$409)</f>
        <v/>
      </c>
      <c r="D427" s="41">
        <f>IF(10&lt;=15,$AD$410,$AD$410+(10-15)*$AE$410)</f>
        <v/>
      </c>
      <c r="E427" s="41">
        <f>IF(10&lt;=15,$AD$411,IF(10&lt;=35,$AD$411+(10-15)*$AE$411,$AG$411+(10-35)*$AF$411))</f>
        <v/>
      </c>
      <c r="F427" s="41">
        <f>IF(10&lt;=15,$AD$412,IF(10&lt;=35,$AD$412+(10-15)*$AE$412,$AG$412+(10-35)*$AF$412))</f>
        <v/>
      </c>
      <c r="G427" s="41">
        <f>IF(10&lt;=2,$AD$413,$AD$413+(10-2)*$AE$413)</f>
        <v/>
      </c>
      <c r="H427" s="42">
        <f>IF(10&lt;=2,$AD$414,$AD$414+(10-2)*$AE$414)</f>
        <v/>
      </c>
    </row>
    <row r="428">
      <c r="B428" s="37" t="n">
        <v>11</v>
      </c>
      <c r="C428" s="38">
        <f>IF(11&lt;=15,$AD$409,$AD$409+(11-15)*$AE$409)</f>
        <v/>
      </c>
      <c r="D428" s="38">
        <f>IF(11&lt;=15,$AD$410,$AD$410+(11-15)*$AE$410)</f>
        <v/>
      </c>
      <c r="E428" s="38">
        <f>IF(11&lt;=15,$AD$411,IF(11&lt;=35,$AD$411+(11-15)*$AE$411,$AG$411+(11-35)*$AF$411))</f>
        <v/>
      </c>
      <c r="F428" s="38">
        <f>IF(11&lt;=15,$AD$412,IF(11&lt;=35,$AD$412+(11-15)*$AE$412,$AG$412+(11-35)*$AF$412))</f>
        <v/>
      </c>
      <c r="G428" s="38">
        <f>IF(11&lt;=2,$AD$413,$AD$413+(11-2)*$AE$413)</f>
        <v/>
      </c>
      <c r="H428" s="39">
        <f>IF(11&lt;=2,$AD$414,$AD$414+(11-2)*$AE$414)</f>
        <v/>
      </c>
    </row>
    <row r="429">
      <c r="B429" s="37" t="n">
        <v>12</v>
      </c>
      <c r="C429" s="38">
        <f>IF(12&lt;=15,$AD$409,$AD$409+(12-15)*$AE$409)</f>
        <v/>
      </c>
      <c r="D429" s="38">
        <f>IF(12&lt;=15,$AD$410,$AD$410+(12-15)*$AE$410)</f>
        <v/>
      </c>
      <c r="E429" s="38">
        <f>IF(12&lt;=15,$AD$411,IF(12&lt;=35,$AD$411+(12-15)*$AE$411,$AG$411+(12-35)*$AF$411))</f>
        <v/>
      </c>
      <c r="F429" s="38">
        <f>IF(12&lt;=15,$AD$412,IF(12&lt;=35,$AD$412+(12-15)*$AE$412,$AG$412+(12-35)*$AF$412))</f>
        <v/>
      </c>
      <c r="G429" s="38">
        <f>IF(12&lt;=2,$AD$413,$AD$413+(12-2)*$AE$413)</f>
        <v/>
      </c>
      <c r="H429" s="39">
        <f>IF(12&lt;=2,$AD$414,$AD$414+(12-2)*$AE$414)</f>
        <v/>
      </c>
    </row>
    <row r="430">
      <c r="B430" s="37" t="n">
        <v>13</v>
      </c>
      <c r="C430" s="38">
        <f>IF(13&lt;=15,$AD$409,$AD$409+(13-15)*$AE$409)</f>
        <v/>
      </c>
      <c r="D430" s="38">
        <f>IF(13&lt;=15,$AD$410,$AD$410+(13-15)*$AE$410)</f>
        <v/>
      </c>
      <c r="E430" s="38">
        <f>IF(13&lt;=15,$AD$411,IF(13&lt;=35,$AD$411+(13-15)*$AE$411,$AG$411+(13-35)*$AF$411))</f>
        <v/>
      </c>
      <c r="F430" s="38">
        <f>IF(13&lt;=15,$AD$412,IF(13&lt;=35,$AD$412+(13-15)*$AE$412,$AG$412+(13-35)*$AF$412))</f>
        <v/>
      </c>
      <c r="G430" s="38">
        <f>IF(13&lt;=2,$AD$413,$AD$413+(13-2)*$AE$413)</f>
        <v/>
      </c>
      <c r="H430" s="39">
        <f>IF(13&lt;=2,$AD$414,$AD$414+(13-2)*$AE$414)</f>
        <v/>
      </c>
    </row>
    <row r="431">
      <c r="B431" s="37" t="n">
        <v>14</v>
      </c>
      <c r="C431" s="38">
        <f>IF(14&lt;=15,$AD$409,$AD$409+(14-15)*$AE$409)</f>
        <v/>
      </c>
      <c r="D431" s="38">
        <f>IF(14&lt;=15,$AD$410,$AD$410+(14-15)*$AE$410)</f>
        <v/>
      </c>
      <c r="E431" s="38">
        <f>IF(14&lt;=15,$AD$411,IF(14&lt;=35,$AD$411+(14-15)*$AE$411,$AG$411+(14-35)*$AF$411))</f>
        <v/>
      </c>
      <c r="F431" s="38">
        <f>IF(14&lt;=15,$AD$412,IF(14&lt;=35,$AD$412+(14-15)*$AE$412,$AG$412+(14-35)*$AF$412))</f>
        <v/>
      </c>
      <c r="G431" s="38">
        <f>IF(14&lt;=2,$AD$413,$AD$413+(14-2)*$AE$413)</f>
        <v/>
      </c>
      <c r="H431" s="39">
        <f>IF(14&lt;=2,$AD$414,$AD$414+(14-2)*$AE$414)</f>
        <v/>
      </c>
    </row>
    <row r="432">
      <c r="B432" s="37" t="n">
        <v>15</v>
      </c>
      <c r="C432" s="38">
        <f>IF(15&lt;=15,$AD$409,$AD$409+(15-15)*$AE$409)</f>
        <v/>
      </c>
      <c r="D432" s="38">
        <f>IF(15&lt;=15,$AD$410,$AD$410+(15-15)*$AE$410)</f>
        <v/>
      </c>
      <c r="E432" s="38">
        <f>IF(15&lt;=15,$AD$411,IF(15&lt;=35,$AD$411+(15-15)*$AE$411,$AG$411+(15-35)*$AF$411))</f>
        <v/>
      </c>
      <c r="F432" s="38">
        <f>IF(15&lt;=15,$AD$412,IF(15&lt;=35,$AD$412+(15-15)*$AE$412,$AG$412+(15-35)*$AF$412))</f>
        <v/>
      </c>
      <c r="G432" s="38">
        <f>IF(15&lt;=2,$AD$413,$AD$413+(15-2)*$AE$413)</f>
        <v/>
      </c>
      <c r="H432" s="39">
        <f>IF(15&lt;=2,$AD$414,$AD$414+(15-2)*$AE$414)</f>
        <v/>
      </c>
    </row>
    <row r="433">
      <c r="B433" s="40" t="n">
        <v>16</v>
      </c>
      <c r="C433" s="41">
        <f>IF(16&lt;=15,$AD$409,$AD$409+(16-15)*$AE$409)</f>
        <v/>
      </c>
      <c r="D433" s="41">
        <f>IF(16&lt;=15,$AD$410,$AD$410+(16-15)*$AE$410)</f>
        <v/>
      </c>
      <c r="E433" s="41">
        <f>IF(16&lt;=15,$AD$411,IF(16&lt;=35,$AD$411+(16-15)*$AE$411,$AG$411+(16-35)*$AF$411))</f>
        <v/>
      </c>
      <c r="F433" s="41">
        <f>IF(16&lt;=15,$AD$412,IF(16&lt;=35,$AD$412+(16-15)*$AE$412,$AG$412+(16-35)*$AF$412))</f>
        <v/>
      </c>
      <c r="G433" s="41">
        <f>IF(16&lt;=2,$AD$413,$AD$413+(16-2)*$AE$413)</f>
        <v/>
      </c>
      <c r="H433" s="42">
        <f>IF(16&lt;=2,$AD$414,$AD$414+(16-2)*$AE$414)</f>
        <v/>
      </c>
    </row>
    <row r="434">
      <c r="B434" s="40" t="n">
        <v>17</v>
      </c>
      <c r="C434" s="41">
        <f>IF(17&lt;=15,$AD$409,$AD$409+(17-15)*$AE$409)</f>
        <v/>
      </c>
      <c r="D434" s="41">
        <f>IF(17&lt;=15,$AD$410,$AD$410+(17-15)*$AE$410)</f>
        <v/>
      </c>
      <c r="E434" s="41">
        <f>IF(17&lt;=15,$AD$411,IF(17&lt;=35,$AD$411+(17-15)*$AE$411,$AG$411+(17-35)*$AF$411))</f>
        <v/>
      </c>
      <c r="F434" s="41">
        <f>IF(17&lt;=15,$AD$412,IF(17&lt;=35,$AD$412+(17-15)*$AE$412,$AG$412+(17-35)*$AF$412))</f>
        <v/>
      </c>
      <c r="G434" s="41">
        <f>IF(17&lt;=2,$AD$413,$AD$413+(17-2)*$AE$413)</f>
        <v/>
      </c>
      <c r="H434" s="42">
        <f>IF(17&lt;=2,$AD$414,$AD$414+(17-2)*$AE$414)</f>
        <v/>
      </c>
    </row>
    <row r="435">
      <c r="B435" s="40" t="n">
        <v>18</v>
      </c>
      <c r="C435" s="41">
        <f>IF(18&lt;=15,$AD$409,$AD$409+(18-15)*$AE$409)</f>
        <v/>
      </c>
      <c r="D435" s="41">
        <f>IF(18&lt;=15,$AD$410,$AD$410+(18-15)*$AE$410)</f>
        <v/>
      </c>
      <c r="E435" s="41">
        <f>IF(18&lt;=15,$AD$411,IF(18&lt;=35,$AD$411+(18-15)*$AE$411,$AG$411+(18-35)*$AF$411))</f>
        <v/>
      </c>
      <c r="F435" s="41">
        <f>IF(18&lt;=15,$AD$412,IF(18&lt;=35,$AD$412+(18-15)*$AE$412,$AG$412+(18-35)*$AF$412))</f>
        <v/>
      </c>
      <c r="G435" s="41">
        <f>IF(18&lt;=2,$AD$413,$AD$413+(18-2)*$AE$413)</f>
        <v/>
      </c>
      <c r="H435" s="42">
        <f>IF(18&lt;=2,$AD$414,$AD$414+(18-2)*$AE$414)</f>
        <v/>
      </c>
    </row>
    <row r="436">
      <c r="B436" s="40" t="n">
        <v>19</v>
      </c>
      <c r="C436" s="41">
        <f>IF(19&lt;=15,$AD$409,$AD$409+(19-15)*$AE$409)</f>
        <v/>
      </c>
      <c r="D436" s="41">
        <f>IF(19&lt;=15,$AD$410,$AD$410+(19-15)*$AE$410)</f>
        <v/>
      </c>
      <c r="E436" s="41">
        <f>IF(19&lt;=15,$AD$411,IF(19&lt;=35,$AD$411+(19-15)*$AE$411,$AG$411+(19-35)*$AF$411))</f>
        <v/>
      </c>
      <c r="F436" s="41">
        <f>IF(19&lt;=15,$AD$412,IF(19&lt;=35,$AD$412+(19-15)*$AE$412,$AG$412+(19-35)*$AF$412))</f>
        <v/>
      </c>
      <c r="G436" s="41">
        <f>IF(19&lt;=2,$AD$413,$AD$413+(19-2)*$AE$413)</f>
        <v/>
      </c>
      <c r="H436" s="42">
        <f>IF(19&lt;=2,$AD$414,$AD$414+(19-2)*$AE$414)</f>
        <v/>
      </c>
    </row>
    <row r="437">
      <c r="B437" s="40" t="n">
        <v>20</v>
      </c>
      <c r="C437" s="41">
        <f>IF(20&lt;=15,$AD$409,$AD$409+(20-15)*$AE$409)</f>
        <v/>
      </c>
      <c r="D437" s="41">
        <f>IF(20&lt;=15,$AD$410,$AD$410+(20-15)*$AE$410)</f>
        <v/>
      </c>
      <c r="E437" s="41">
        <f>IF(20&lt;=15,$AD$411,IF(20&lt;=35,$AD$411+(20-15)*$AE$411,$AG$411+(20-35)*$AF$411))</f>
        <v/>
      </c>
      <c r="F437" s="41">
        <f>IF(20&lt;=15,$AD$412,IF(20&lt;=35,$AD$412+(20-15)*$AE$412,$AG$412+(20-35)*$AF$412))</f>
        <v/>
      </c>
      <c r="G437" s="41">
        <f>IF(20&lt;=2,$AD$413,$AD$413+(20-2)*$AE$413)</f>
        <v/>
      </c>
      <c r="H437" s="42">
        <f>IF(20&lt;=2,$AD$414,$AD$414+(20-2)*$AE$414)</f>
        <v/>
      </c>
    </row>
    <row r="438">
      <c r="B438" s="37" t="n">
        <v>21</v>
      </c>
      <c r="C438" s="38">
        <f>IF(21&lt;=15,$AD$409,$AD$409+(21-15)*$AE$409)</f>
        <v/>
      </c>
      <c r="D438" s="38">
        <f>IF(21&lt;=15,$AD$410,$AD$410+(21-15)*$AE$410)</f>
        <v/>
      </c>
      <c r="E438" s="38">
        <f>IF(21&lt;=15,$AD$411,IF(21&lt;=35,$AD$411+(21-15)*$AE$411,$AG$411+(21-35)*$AF$411))</f>
        <v/>
      </c>
      <c r="F438" s="38">
        <f>IF(21&lt;=15,$AD$412,IF(21&lt;=35,$AD$412+(21-15)*$AE$412,$AG$412+(21-35)*$AF$412))</f>
        <v/>
      </c>
      <c r="G438" s="38">
        <f>IF(21&lt;=2,$AD$413,$AD$413+(21-2)*$AE$413)</f>
        <v/>
      </c>
      <c r="H438" s="39">
        <f>IF(21&lt;=2,$AD$414,$AD$414+(21-2)*$AE$414)</f>
        <v/>
      </c>
    </row>
    <row r="439">
      <c r="B439" s="37" t="n">
        <v>22</v>
      </c>
      <c r="C439" s="38">
        <f>IF(22&lt;=15,$AD$409,$AD$409+(22-15)*$AE$409)</f>
        <v/>
      </c>
      <c r="D439" s="38">
        <f>IF(22&lt;=15,$AD$410,$AD$410+(22-15)*$AE$410)</f>
        <v/>
      </c>
      <c r="E439" s="38">
        <f>IF(22&lt;=15,$AD$411,IF(22&lt;=35,$AD$411+(22-15)*$AE$411,$AG$411+(22-35)*$AF$411))</f>
        <v/>
      </c>
      <c r="F439" s="38">
        <f>IF(22&lt;=15,$AD$412,IF(22&lt;=35,$AD$412+(22-15)*$AE$412,$AG$412+(22-35)*$AF$412))</f>
        <v/>
      </c>
      <c r="G439" s="38">
        <f>IF(22&lt;=2,$AD$413,$AD$413+(22-2)*$AE$413)</f>
        <v/>
      </c>
      <c r="H439" s="39">
        <f>IF(22&lt;=2,$AD$414,$AD$414+(22-2)*$AE$414)</f>
        <v/>
      </c>
    </row>
    <row r="440">
      <c r="B440" s="37" t="n">
        <v>23</v>
      </c>
      <c r="C440" s="38">
        <f>IF(23&lt;=15,$AD$409,$AD$409+(23-15)*$AE$409)</f>
        <v/>
      </c>
      <c r="D440" s="38">
        <f>IF(23&lt;=15,$AD$410,$AD$410+(23-15)*$AE$410)</f>
        <v/>
      </c>
      <c r="E440" s="38">
        <f>IF(23&lt;=15,$AD$411,IF(23&lt;=35,$AD$411+(23-15)*$AE$411,$AG$411+(23-35)*$AF$411))</f>
        <v/>
      </c>
      <c r="F440" s="38">
        <f>IF(23&lt;=15,$AD$412,IF(23&lt;=35,$AD$412+(23-15)*$AE$412,$AG$412+(23-35)*$AF$412))</f>
        <v/>
      </c>
      <c r="G440" s="38">
        <f>IF(23&lt;=2,$AD$413,$AD$413+(23-2)*$AE$413)</f>
        <v/>
      </c>
      <c r="H440" s="39">
        <f>IF(23&lt;=2,$AD$414,$AD$414+(23-2)*$AE$414)</f>
        <v/>
      </c>
    </row>
    <row r="441">
      <c r="B441" s="37" t="n">
        <v>24</v>
      </c>
      <c r="C441" s="38">
        <f>IF(24&lt;=15,$AD$409,$AD$409+(24-15)*$AE$409)</f>
        <v/>
      </c>
      <c r="D441" s="38">
        <f>IF(24&lt;=15,$AD$410,$AD$410+(24-15)*$AE$410)</f>
        <v/>
      </c>
      <c r="E441" s="38">
        <f>IF(24&lt;=15,$AD$411,IF(24&lt;=35,$AD$411+(24-15)*$AE$411,$AG$411+(24-35)*$AF$411))</f>
        <v/>
      </c>
      <c r="F441" s="38">
        <f>IF(24&lt;=15,$AD$412,IF(24&lt;=35,$AD$412+(24-15)*$AE$412,$AG$412+(24-35)*$AF$412))</f>
        <v/>
      </c>
      <c r="G441" s="38">
        <f>IF(24&lt;=2,$AD$413,$AD$413+(24-2)*$AE$413)</f>
        <v/>
      </c>
      <c r="H441" s="39">
        <f>IF(24&lt;=2,$AD$414,$AD$414+(24-2)*$AE$414)</f>
        <v/>
      </c>
    </row>
    <row r="442">
      <c r="B442" s="37" t="n">
        <v>25</v>
      </c>
      <c r="C442" s="38">
        <f>IF(25&lt;=15,$AD$409,$AD$409+(25-15)*$AE$409)</f>
        <v/>
      </c>
      <c r="D442" s="38">
        <f>IF(25&lt;=15,$AD$410,$AD$410+(25-15)*$AE$410)</f>
        <v/>
      </c>
      <c r="E442" s="38">
        <f>IF(25&lt;=15,$AD$411,IF(25&lt;=35,$AD$411+(25-15)*$AE$411,$AG$411+(25-35)*$AF$411))</f>
        <v/>
      </c>
      <c r="F442" s="38">
        <f>IF(25&lt;=15,$AD$412,IF(25&lt;=35,$AD$412+(25-15)*$AE$412,$AG$412+(25-35)*$AF$412))</f>
        <v/>
      </c>
      <c r="G442" s="38">
        <f>IF(25&lt;=2,$AD$413,$AD$413+(25-2)*$AE$413)</f>
        <v/>
      </c>
      <c r="H442" s="39">
        <f>IF(25&lt;=2,$AD$414,$AD$414+(25-2)*$AE$414)</f>
        <v/>
      </c>
    </row>
    <row r="443">
      <c r="B443" s="40" t="n">
        <v>26</v>
      </c>
      <c r="C443" s="41">
        <f>IF(26&lt;=15,$AD$409,$AD$409+(26-15)*$AE$409)</f>
        <v/>
      </c>
      <c r="D443" s="41">
        <f>IF(26&lt;=15,$AD$410,$AD$410+(26-15)*$AE$410)</f>
        <v/>
      </c>
      <c r="E443" s="41">
        <f>IF(26&lt;=15,$AD$411,IF(26&lt;=35,$AD$411+(26-15)*$AE$411,$AG$411+(26-35)*$AF$411))</f>
        <v/>
      </c>
      <c r="F443" s="41">
        <f>IF(26&lt;=15,$AD$412,IF(26&lt;=35,$AD$412+(26-15)*$AE$412,$AG$412+(26-35)*$AF$412))</f>
        <v/>
      </c>
      <c r="G443" s="41">
        <f>IF(26&lt;=2,$AD$413,$AD$413+(26-2)*$AE$413)</f>
        <v/>
      </c>
      <c r="H443" s="42">
        <f>IF(26&lt;=2,$AD$414,$AD$414+(26-2)*$AE$414)</f>
        <v/>
      </c>
    </row>
    <row r="444">
      <c r="B444" s="40" t="n">
        <v>27</v>
      </c>
      <c r="C444" s="41">
        <f>IF(27&lt;=15,$AD$409,$AD$409+(27-15)*$AE$409)</f>
        <v/>
      </c>
      <c r="D444" s="41">
        <f>IF(27&lt;=15,$AD$410,$AD$410+(27-15)*$AE$410)</f>
        <v/>
      </c>
      <c r="E444" s="41">
        <f>IF(27&lt;=15,$AD$411,IF(27&lt;=35,$AD$411+(27-15)*$AE$411,$AG$411+(27-35)*$AF$411))</f>
        <v/>
      </c>
      <c r="F444" s="41">
        <f>IF(27&lt;=15,$AD$412,IF(27&lt;=35,$AD$412+(27-15)*$AE$412,$AG$412+(27-35)*$AF$412))</f>
        <v/>
      </c>
      <c r="G444" s="41">
        <f>IF(27&lt;=2,$AD$413,$AD$413+(27-2)*$AE$413)</f>
        <v/>
      </c>
      <c r="H444" s="42">
        <f>IF(27&lt;=2,$AD$414,$AD$414+(27-2)*$AE$414)</f>
        <v/>
      </c>
    </row>
    <row r="445">
      <c r="B445" s="40" t="n">
        <v>28</v>
      </c>
      <c r="C445" s="41">
        <f>IF(28&lt;=15,$AD$409,$AD$409+(28-15)*$AE$409)</f>
        <v/>
      </c>
      <c r="D445" s="41">
        <f>IF(28&lt;=15,$AD$410,$AD$410+(28-15)*$AE$410)</f>
        <v/>
      </c>
      <c r="E445" s="41">
        <f>IF(28&lt;=15,$AD$411,IF(28&lt;=35,$AD$411+(28-15)*$AE$411,$AG$411+(28-35)*$AF$411))</f>
        <v/>
      </c>
      <c r="F445" s="41">
        <f>IF(28&lt;=15,$AD$412,IF(28&lt;=35,$AD$412+(28-15)*$AE$412,$AG$412+(28-35)*$AF$412))</f>
        <v/>
      </c>
      <c r="G445" s="41">
        <f>IF(28&lt;=2,$AD$413,$AD$413+(28-2)*$AE$413)</f>
        <v/>
      </c>
      <c r="H445" s="42">
        <f>IF(28&lt;=2,$AD$414,$AD$414+(28-2)*$AE$414)</f>
        <v/>
      </c>
    </row>
    <row r="446">
      <c r="B446" s="40" t="n">
        <v>29</v>
      </c>
      <c r="C446" s="41">
        <f>IF(29&lt;=15,$AD$409,$AD$409+(29-15)*$AE$409)</f>
        <v/>
      </c>
      <c r="D446" s="41">
        <f>IF(29&lt;=15,$AD$410,$AD$410+(29-15)*$AE$410)</f>
        <v/>
      </c>
      <c r="E446" s="41">
        <f>IF(29&lt;=15,$AD$411,IF(29&lt;=35,$AD$411+(29-15)*$AE$411,$AG$411+(29-35)*$AF$411))</f>
        <v/>
      </c>
      <c r="F446" s="41">
        <f>IF(29&lt;=15,$AD$412,IF(29&lt;=35,$AD$412+(29-15)*$AE$412,$AG$412+(29-35)*$AF$412))</f>
        <v/>
      </c>
      <c r="G446" s="41">
        <f>IF(29&lt;=2,$AD$413,$AD$413+(29-2)*$AE$413)</f>
        <v/>
      </c>
      <c r="H446" s="42">
        <f>IF(29&lt;=2,$AD$414,$AD$414+(29-2)*$AE$414)</f>
        <v/>
      </c>
    </row>
    <row r="447">
      <c r="B447" s="40" t="n">
        <v>30</v>
      </c>
      <c r="C447" s="41">
        <f>IF(30&lt;=15,$AD$409,$AD$409+(30-15)*$AE$409)</f>
        <v/>
      </c>
      <c r="D447" s="41">
        <f>IF(30&lt;=15,$AD$410,$AD$410+(30-15)*$AE$410)</f>
        <v/>
      </c>
      <c r="E447" s="41">
        <f>IF(30&lt;=15,$AD$411,IF(30&lt;=35,$AD$411+(30-15)*$AE$411,$AG$411+(30-35)*$AF$411))</f>
        <v/>
      </c>
      <c r="F447" s="41">
        <f>IF(30&lt;=15,$AD$412,IF(30&lt;=35,$AD$412+(30-15)*$AE$412,$AG$412+(30-35)*$AF$412))</f>
        <v/>
      </c>
      <c r="G447" s="41">
        <f>IF(30&lt;=2,$AD$413,$AD$413+(30-2)*$AE$413)</f>
        <v/>
      </c>
      <c r="H447" s="42">
        <f>IF(30&lt;=2,$AD$414,$AD$414+(30-2)*$AE$414)</f>
        <v/>
      </c>
    </row>
    <row r="448">
      <c r="B448" s="37" t="n">
        <v>31</v>
      </c>
      <c r="C448" s="38">
        <f>IF(31&lt;=15,$AD$409,$AD$409+(31-15)*$AE$409)</f>
        <v/>
      </c>
      <c r="D448" s="38">
        <f>IF(31&lt;=15,$AD$410,$AD$410+(31-15)*$AE$410)</f>
        <v/>
      </c>
      <c r="E448" s="38">
        <f>IF(31&lt;=15,$AD$411,IF(31&lt;=35,$AD$411+(31-15)*$AE$411,$AG$411+(31-35)*$AF$411))</f>
        <v/>
      </c>
      <c r="F448" s="38">
        <f>IF(31&lt;=15,$AD$412,IF(31&lt;=35,$AD$412+(31-15)*$AE$412,$AG$412+(31-35)*$AF$412))</f>
        <v/>
      </c>
      <c r="G448" s="38">
        <f>IF(31&lt;=2,$AD$413,$AD$413+(31-2)*$AE$413)</f>
        <v/>
      </c>
      <c r="H448" s="39">
        <f>IF(31&lt;=2,$AD$414,$AD$414+(31-2)*$AE$414)</f>
        <v/>
      </c>
    </row>
    <row r="449">
      <c r="B449" s="37" t="n">
        <v>32</v>
      </c>
      <c r="C449" s="38">
        <f>IF(32&lt;=15,$AD$409,$AD$409+(32-15)*$AE$409)</f>
        <v/>
      </c>
      <c r="D449" s="38">
        <f>IF(32&lt;=15,$AD$410,$AD$410+(32-15)*$AE$410)</f>
        <v/>
      </c>
      <c r="E449" s="38">
        <f>IF(32&lt;=15,$AD$411,IF(32&lt;=35,$AD$411+(32-15)*$AE$411,$AG$411+(32-35)*$AF$411))</f>
        <v/>
      </c>
      <c r="F449" s="38">
        <f>IF(32&lt;=15,$AD$412,IF(32&lt;=35,$AD$412+(32-15)*$AE$412,$AG$412+(32-35)*$AF$412))</f>
        <v/>
      </c>
      <c r="G449" s="38">
        <f>IF(32&lt;=2,$AD$413,$AD$413+(32-2)*$AE$413)</f>
        <v/>
      </c>
      <c r="H449" s="39">
        <f>IF(32&lt;=2,$AD$414,$AD$414+(32-2)*$AE$414)</f>
        <v/>
      </c>
    </row>
    <row r="450">
      <c r="B450" s="37" t="n">
        <v>33</v>
      </c>
      <c r="C450" s="38">
        <f>IF(33&lt;=15,$AD$409,$AD$409+(33-15)*$AE$409)</f>
        <v/>
      </c>
      <c r="D450" s="38">
        <f>IF(33&lt;=15,$AD$410,$AD$410+(33-15)*$AE$410)</f>
        <v/>
      </c>
      <c r="E450" s="38">
        <f>IF(33&lt;=15,$AD$411,IF(33&lt;=35,$AD$411+(33-15)*$AE$411,$AG$411+(33-35)*$AF$411))</f>
        <v/>
      </c>
      <c r="F450" s="38">
        <f>IF(33&lt;=15,$AD$412,IF(33&lt;=35,$AD$412+(33-15)*$AE$412,$AG$412+(33-35)*$AF$412))</f>
        <v/>
      </c>
      <c r="G450" s="38">
        <f>IF(33&lt;=2,$AD$413,$AD$413+(33-2)*$AE$413)</f>
        <v/>
      </c>
      <c r="H450" s="39">
        <f>IF(33&lt;=2,$AD$414,$AD$414+(33-2)*$AE$414)</f>
        <v/>
      </c>
    </row>
    <row r="451">
      <c r="B451" s="37" t="n">
        <v>34</v>
      </c>
      <c r="C451" s="38">
        <f>IF(34&lt;=15,$AD$409,$AD$409+(34-15)*$AE$409)</f>
        <v/>
      </c>
      <c r="D451" s="38">
        <f>IF(34&lt;=15,$AD$410,$AD$410+(34-15)*$AE$410)</f>
        <v/>
      </c>
      <c r="E451" s="38">
        <f>IF(34&lt;=15,$AD$411,IF(34&lt;=35,$AD$411+(34-15)*$AE$411,$AG$411+(34-35)*$AF$411))</f>
        <v/>
      </c>
      <c r="F451" s="38">
        <f>IF(34&lt;=15,$AD$412,IF(34&lt;=35,$AD$412+(34-15)*$AE$412,$AG$412+(34-35)*$AF$412))</f>
        <v/>
      </c>
      <c r="G451" s="38">
        <f>IF(34&lt;=2,$AD$413,$AD$413+(34-2)*$AE$413)</f>
        <v/>
      </c>
      <c r="H451" s="39">
        <f>IF(34&lt;=2,$AD$414,$AD$414+(34-2)*$AE$414)</f>
        <v/>
      </c>
    </row>
    <row r="452">
      <c r="B452" s="37" t="n">
        <v>35</v>
      </c>
      <c r="C452" s="38">
        <f>IF(35&lt;=15,$AD$409,$AD$409+(35-15)*$AE$409)</f>
        <v/>
      </c>
      <c r="D452" s="38">
        <f>IF(35&lt;=15,$AD$410,$AD$410+(35-15)*$AE$410)</f>
        <v/>
      </c>
      <c r="E452" s="38">
        <f>IF(35&lt;=15,$AD$411,IF(35&lt;=35,$AD$411+(35-15)*$AE$411,$AG$411+(35-35)*$AF$411))</f>
        <v/>
      </c>
      <c r="F452" s="38">
        <f>IF(35&lt;=15,$AD$412,IF(35&lt;=35,$AD$412+(35-15)*$AE$412,$AG$412+(35-35)*$AF$412))</f>
        <v/>
      </c>
      <c r="G452" s="38">
        <f>IF(35&lt;=2,$AD$413,$AD$413+(35-2)*$AE$413)</f>
        <v/>
      </c>
      <c r="H452" s="39">
        <f>IF(35&lt;=2,$AD$414,$AD$414+(35-2)*$AE$414)</f>
        <v/>
      </c>
    </row>
    <row r="453">
      <c r="B453" s="40" t="n">
        <v>36</v>
      </c>
      <c r="C453" s="43" t="inlineStr">
        <is>
          <t>see ECO/R</t>
        </is>
      </c>
      <c r="D453" s="43" t="inlineStr">
        <is>
          <t>see ECO/R</t>
        </is>
      </c>
      <c r="E453" s="41">
        <f>IF(36&lt;=15,$AD$411,IF(36&lt;=35,$AD$411+(36-15)*$AE$411,$AG$411+(36-35)*$AF$411))</f>
        <v/>
      </c>
      <c r="F453" s="41">
        <f>IF(36&lt;=15,$AD$412,IF(36&lt;=35,$AD$412+(36-15)*$AE$412,$AG$412+(36-35)*$AF$412))</f>
        <v/>
      </c>
      <c r="G453" s="41">
        <f>IF(36&lt;=2,$AD$413,$AD$413+(36-2)*$AE$413)</f>
        <v/>
      </c>
      <c r="H453" s="42">
        <f>IF(36&lt;=2,$AD$414,$AD$414+(36-2)*$AE$414)</f>
        <v/>
      </c>
    </row>
    <row r="454">
      <c r="B454" s="40" t="n">
        <v>37</v>
      </c>
      <c r="C454" s="43" t="inlineStr">
        <is>
          <t>see ECO/R</t>
        </is>
      </c>
      <c r="D454" s="43" t="inlineStr">
        <is>
          <t>see ECO/R</t>
        </is>
      </c>
      <c r="E454" s="41">
        <f>IF(37&lt;=15,$AD$411,IF(37&lt;=35,$AD$411+(37-15)*$AE$411,$AG$411+(37-35)*$AF$411))</f>
        <v/>
      </c>
      <c r="F454" s="41">
        <f>IF(37&lt;=15,$AD$412,IF(37&lt;=35,$AD$412+(37-15)*$AE$412,$AG$412+(37-35)*$AF$412))</f>
        <v/>
      </c>
      <c r="G454" s="41">
        <f>IF(37&lt;=2,$AD$413,$AD$413+(37-2)*$AE$413)</f>
        <v/>
      </c>
      <c r="H454" s="42">
        <f>IF(37&lt;=2,$AD$414,$AD$414+(37-2)*$AE$414)</f>
        <v/>
      </c>
    </row>
    <row r="455">
      <c r="B455" s="40" t="n">
        <v>38</v>
      </c>
      <c r="C455" s="43" t="inlineStr">
        <is>
          <t>see ECO/R</t>
        </is>
      </c>
      <c r="D455" s="43" t="inlineStr">
        <is>
          <t>see ECO/R</t>
        </is>
      </c>
      <c r="E455" s="41">
        <f>IF(38&lt;=15,$AD$411,IF(38&lt;=35,$AD$411+(38-15)*$AE$411,$AG$411+(38-35)*$AF$411))</f>
        <v/>
      </c>
      <c r="F455" s="41">
        <f>IF(38&lt;=15,$AD$412,IF(38&lt;=35,$AD$412+(38-15)*$AE$412,$AG$412+(38-35)*$AF$412))</f>
        <v/>
      </c>
      <c r="G455" s="41">
        <f>IF(38&lt;=2,$AD$413,$AD$413+(38-2)*$AE$413)</f>
        <v/>
      </c>
      <c r="H455" s="42">
        <f>IF(38&lt;=2,$AD$414,$AD$414+(38-2)*$AE$414)</f>
        <v/>
      </c>
    </row>
    <row r="456">
      <c r="B456" s="40" t="n">
        <v>39</v>
      </c>
      <c r="C456" s="43" t="inlineStr">
        <is>
          <t>see ECO/R</t>
        </is>
      </c>
      <c r="D456" s="43" t="inlineStr">
        <is>
          <t>see ECO/R</t>
        </is>
      </c>
      <c r="E456" s="41">
        <f>IF(39&lt;=15,$AD$411,IF(39&lt;=35,$AD$411+(39-15)*$AE$411,$AG$411+(39-35)*$AF$411))</f>
        <v/>
      </c>
      <c r="F456" s="41">
        <f>IF(39&lt;=15,$AD$412,IF(39&lt;=35,$AD$412+(39-15)*$AE$412,$AG$412+(39-35)*$AF$412))</f>
        <v/>
      </c>
      <c r="G456" s="41">
        <f>IF(39&lt;=2,$AD$413,$AD$413+(39-2)*$AE$413)</f>
        <v/>
      </c>
      <c r="H456" s="42">
        <f>IF(39&lt;=2,$AD$414,$AD$414+(39-2)*$AE$414)</f>
        <v/>
      </c>
    </row>
    <row r="457">
      <c r="B457" s="44" t="n">
        <v>40</v>
      </c>
      <c r="C457" s="45" t="inlineStr">
        <is>
          <t>see ECO/R</t>
        </is>
      </c>
      <c r="D457" s="45" t="inlineStr">
        <is>
          <t>see ECO/R</t>
        </is>
      </c>
      <c r="E457" s="46">
        <f>IF(40&lt;=15,$AD$411,IF(40&lt;=35,$AD$411+(40-15)*$AE$411,$AG$411+(40-35)*$AF$411))</f>
        <v/>
      </c>
      <c r="F457" s="46">
        <f>IF(40&lt;=15,$AD$412,IF(40&lt;=35,$AD$412+(40-15)*$AE$412,$AG$412+(40-35)*$AF$412))</f>
        <v/>
      </c>
      <c r="G457" s="46">
        <f>IF(40&lt;=2,$AD$413,$AD$413+(40-2)*$AE$413)</f>
        <v/>
      </c>
      <c r="H457" s="47">
        <f>IF(40&lt;=2,$AD$414,$AD$414+(40-2)*$AE$414)</f>
        <v/>
      </c>
    </row>
    <row r="458"/>
    <row r="459">
      <c r="B459" s="36" t="inlineStr">
        <is>
          <t>Weight-based price  —  VAT &amp; fuel levy INCLUDED</t>
        </is>
      </c>
    </row>
    <row r="460" ht="18" customHeight="1" s="98">
      <c r="B460" s="18" t="inlineStr">
        <is>
          <t>Kg</t>
        </is>
      </c>
      <c r="C460" s="19" t="inlineStr">
        <is>
          <t>LPP-SC</t>
        </is>
      </c>
      <c r="D460" s="19" t="inlineStr">
        <is>
          <t>LPP-R</t>
        </is>
      </c>
      <c r="E460" s="19" t="inlineStr">
        <is>
          <t>ECO</t>
        </is>
      </c>
      <c r="F460" s="19" t="inlineStr">
        <is>
          <t>ECOR</t>
        </is>
      </c>
      <c r="G460" s="19" t="inlineStr">
        <is>
          <t>PRI</t>
        </is>
      </c>
      <c r="H460" s="20" t="inlineStr">
        <is>
          <t>PRIR</t>
        </is>
      </c>
    </row>
    <row r="461">
      <c r="B461" s="37" t="n">
        <v>1</v>
      </c>
      <c r="C461" s="38">
        <f>ROUND((IF(1&lt;=15,$AD$409,$AD$409+(1-15)*$AE$409))*(1+$C$6),2)+ROUND(ROUND((IF(1&lt;=15,$AD$409,$AD$409+(1-15)*$AE$409))*(1+$C$6),2)*(IF($G$6="YES",$E$6,0)+IF($K$6="YES",$I$6,0)),2)</f>
        <v/>
      </c>
      <c r="D461" s="38">
        <f>ROUND((IF(1&lt;=15,$AD$410,$AD$410+(1-15)*$AE$410))*(1+$C$6),2)+ROUND(ROUND((IF(1&lt;=15,$AD$410,$AD$410+(1-15)*$AE$410))*(1+$C$6),2)*(IF($G$6="YES",$E$6,0)+IF($K$6="YES",$I$6,0)),2)</f>
        <v/>
      </c>
      <c r="E461" s="38">
        <f>ROUND((IF(1&lt;=15,$AD$411,IF(1&lt;=35,$AD$411+(1-15)*$AE$411,$AG$411+(1-35)*$AF$411)))*(1+$C$6),2)+ROUND(ROUND((IF(1&lt;=15,$AD$411,IF(1&lt;=35,$AD$411+(1-15)*$AE$411,$AG$411+(1-35)*$AF$411)))*(1+$C$6),2)*(IF($G$6="YES",$E$6,0)+IF($K$6="YES",$I$6,0)),2)</f>
        <v/>
      </c>
      <c r="F461" s="38">
        <f>ROUND((IF(1&lt;=15,$AD$412,IF(1&lt;=35,$AD$412+(1-15)*$AE$412,$AG$412+(1-35)*$AF$412)))*(1+$C$6),2)+ROUND(ROUND((IF(1&lt;=15,$AD$412,IF(1&lt;=35,$AD$412+(1-15)*$AE$412,$AG$412+(1-35)*$AF$412)))*(1+$C$6),2)*(IF($G$6="YES",$E$6,0)+IF($K$6="YES",$I$6,0)),2)</f>
        <v/>
      </c>
      <c r="G461" s="38">
        <f>ROUND((IF(1&lt;=2,$AD$413,$AD$413+(1-2)*$AE$413))*(1+$C$6),2)+ROUND(ROUND((IF(1&lt;=2,$AD$413,$AD$413+(1-2)*$AE$413))*(1+$C$6),2)*(IF($G$6="YES",$E$6,0)+IF($K$6="YES",$I$6,0)),2)+(1*$E$8*IF($C$8="YES",1,0))</f>
        <v/>
      </c>
      <c r="H461" s="39">
        <f>ROUND((IF(1&lt;=2,$AD$414,$AD$414+(1-2)*$AE$414))*(1+$C$6),2)+ROUND(ROUND((IF(1&lt;=2,$AD$414,$AD$414+(1-2)*$AE$414))*(1+$C$6),2)*(IF($G$6="YES",$E$6,0)+IF($K$6="YES",$I$6,0)),2)</f>
        <v/>
      </c>
    </row>
    <row r="462">
      <c r="B462" s="37" t="n">
        <v>2</v>
      </c>
      <c r="C462" s="38">
        <f>ROUND((IF(2&lt;=15,$AD$409,$AD$409+(2-15)*$AE$409))*(1+$C$6),2)+ROUND(ROUND((IF(2&lt;=15,$AD$409,$AD$409+(2-15)*$AE$409))*(1+$C$6),2)*(IF($G$6="YES",$E$6,0)+IF($K$6="YES",$I$6,0)),2)</f>
        <v/>
      </c>
      <c r="D462" s="38">
        <f>ROUND((IF(2&lt;=15,$AD$410,$AD$410+(2-15)*$AE$410))*(1+$C$6),2)+ROUND(ROUND((IF(2&lt;=15,$AD$410,$AD$410+(2-15)*$AE$410))*(1+$C$6),2)*(IF($G$6="YES",$E$6,0)+IF($K$6="YES",$I$6,0)),2)</f>
        <v/>
      </c>
      <c r="E462" s="38">
        <f>ROUND((IF(2&lt;=15,$AD$411,IF(2&lt;=35,$AD$411+(2-15)*$AE$411,$AG$411+(2-35)*$AF$411)))*(1+$C$6),2)+ROUND(ROUND((IF(2&lt;=15,$AD$411,IF(2&lt;=35,$AD$411+(2-15)*$AE$411,$AG$411+(2-35)*$AF$411)))*(1+$C$6),2)*(IF($G$6="YES",$E$6,0)+IF($K$6="YES",$I$6,0)),2)</f>
        <v/>
      </c>
      <c r="F462" s="38">
        <f>ROUND((IF(2&lt;=15,$AD$412,IF(2&lt;=35,$AD$412+(2-15)*$AE$412,$AG$412+(2-35)*$AF$412)))*(1+$C$6),2)+ROUND(ROUND((IF(2&lt;=15,$AD$412,IF(2&lt;=35,$AD$412+(2-15)*$AE$412,$AG$412+(2-35)*$AF$412)))*(1+$C$6),2)*(IF($G$6="YES",$E$6,0)+IF($K$6="YES",$I$6,0)),2)</f>
        <v/>
      </c>
      <c r="G462" s="38">
        <f>ROUND((IF(2&lt;=2,$AD$413,$AD$413+(2-2)*$AE$413))*(1+$C$6),2)+ROUND(ROUND((IF(2&lt;=2,$AD$413,$AD$413+(2-2)*$AE$413))*(1+$C$6),2)*(IF($G$6="YES",$E$6,0)+IF($K$6="YES",$I$6,0)),2)+(2*$E$8*IF($C$8="YES",1,0))</f>
        <v/>
      </c>
      <c r="H462" s="39">
        <f>ROUND((IF(2&lt;=2,$AD$414,$AD$414+(2-2)*$AE$414))*(1+$C$6),2)+ROUND(ROUND((IF(2&lt;=2,$AD$414,$AD$414+(2-2)*$AE$414))*(1+$C$6),2)*(IF($G$6="YES",$E$6,0)+IF($K$6="YES",$I$6,0)),2)</f>
        <v/>
      </c>
    </row>
    <row r="463">
      <c r="B463" s="37" t="n">
        <v>3</v>
      </c>
      <c r="C463" s="38">
        <f>ROUND((IF(3&lt;=15,$AD$409,$AD$409+(3-15)*$AE$409))*(1+$C$6),2)+ROUND(ROUND((IF(3&lt;=15,$AD$409,$AD$409+(3-15)*$AE$409))*(1+$C$6),2)*(IF($G$6="YES",$E$6,0)+IF($K$6="YES",$I$6,0)),2)</f>
        <v/>
      </c>
      <c r="D463" s="38">
        <f>ROUND((IF(3&lt;=15,$AD$410,$AD$410+(3-15)*$AE$410))*(1+$C$6),2)+ROUND(ROUND((IF(3&lt;=15,$AD$410,$AD$410+(3-15)*$AE$410))*(1+$C$6),2)*(IF($G$6="YES",$E$6,0)+IF($K$6="YES",$I$6,0)),2)</f>
        <v/>
      </c>
      <c r="E463" s="38">
        <f>ROUND((IF(3&lt;=15,$AD$411,IF(3&lt;=35,$AD$411+(3-15)*$AE$411,$AG$411+(3-35)*$AF$411)))*(1+$C$6),2)+ROUND(ROUND((IF(3&lt;=15,$AD$411,IF(3&lt;=35,$AD$411+(3-15)*$AE$411,$AG$411+(3-35)*$AF$411)))*(1+$C$6),2)*(IF($G$6="YES",$E$6,0)+IF($K$6="YES",$I$6,0)),2)</f>
        <v/>
      </c>
      <c r="F463" s="38">
        <f>ROUND((IF(3&lt;=15,$AD$412,IF(3&lt;=35,$AD$412+(3-15)*$AE$412,$AG$412+(3-35)*$AF$412)))*(1+$C$6),2)+ROUND(ROUND((IF(3&lt;=15,$AD$412,IF(3&lt;=35,$AD$412+(3-15)*$AE$412,$AG$412+(3-35)*$AF$412)))*(1+$C$6),2)*(IF($G$6="YES",$E$6,0)+IF($K$6="YES",$I$6,0)),2)</f>
        <v/>
      </c>
      <c r="G463" s="38">
        <f>ROUND((IF(3&lt;=2,$AD$413,$AD$413+(3-2)*$AE$413))*(1+$C$6),2)+ROUND(ROUND((IF(3&lt;=2,$AD$413,$AD$413+(3-2)*$AE$413))*(1+$C$6),2)*(IF($G$6="YES",$E$6,0)+IF($K$6="YES",$I$6,0)),2)+(3*$E$8*IF($C$8="YES",1,0))</f>
        <v/>
      </c>
      <c r="H463" s="39">
        <f>ROUND((IF(3&lt;=2,$AD$414,$AD$414+(3-2)*$AE$414))*(1+$C$6),2)+ROUND(ROUND((IF(3&lt;=2,$AD$414,$AD$414+(3-2)*$AE$414))*(1+$C$6),2)*(IF($G$6="YES",$E$6,0)+IF($K$6="YES",$I$6,0)),2)</f>
        <v/>
      </c>
    </row>
    <row r="464">
      <c r="B464" s="37" t="n">
        <v>4</v>
      </c>
      <c r="C464" s="38">
        <f>ROUND((IF(4&lt;=15,$AD$409,$AD$409+(4-15)*$AE$409))*(1+$C$6),2)+ROUND(ROUND((IF(4&lt;=15,$AD$409,$AD$409+(4-15)*$AE$409))*(1+$C$6),2)*(IF($G$6="YES",$E$6,0)+IF($K$6="YES",$I$6,0)),2)</f>
        <v/>
      </c>
      <c r="D464" s="38">
        <f>ROUND((IF(4&lt;=15,$AD$410,$AD$410+(4-15)*$AE$410))*(1+$C$6),2)+ROUND(ROUND((IF(4&lt;=15,$AD$410,$AD$410+(4-15)*$AE$410))*(1+$C$6),2)*(IF($G$6="YES",$E$6,0)+IF($K$6="YES",$I$6,0)),2)</f>
        <v/>
      </c>
      <c r="E464" s="38">
        <f>ROUND((IF(4&lt;=15,$AD$411,IF(4&lt;=35,$AD$411+(4-15)*$AE$411,$AG$411+(4-35)*$AF$411)))*(1+$C$6),2)+ROUND(ROUND((IF(4&lt;=15,$AD$411,IF(4&lt;=35,$AD$411+(4-15)*$AE$411,$AG$411+(4-35)*$AF$411)))*(1+$C$6),2)*(IF($G$6="YES",$E$6,0)+IF($K$6="YES",$I$6,0)),2)</f>
        <v/>
      </c>
      <c r="F464" s="38">
        <f>ROUND((IF(4&lt;=15,$AD$412,IF(4&lt;=35,$AD$412+(4-15)*$AE$412,$AG$412+(4-35)*$AF$412)))*(1+$C$6),2)+ROUND(ROUND((IF(4&lt;=15,$AD$412,IF(4&lt;=35,$AD$412+(4-15)*$AE$412,$AG$412+(4-35)*$AF$412)))*(1+$C$6),2)*(IF($G$6="YES",$E$6,0)+IF($K$6="YES",$I$6,0)),2)</f>
        <v/>
      </c>
      <c r="G464" s="38">
        <f>ROUND((IF(4&lt;=2,$AD$413,$AD$413+(4-2)*$AE$413))*(1+$C$6),2)+ROUND(ROUND((IF(4&lt;=2,$AD$413,$AD$413+(4-2)*$AE$413))*(1+$C$6),2)*(IF($G$6="YES",$E$6,0)+IF($K$6="YES",$I$6,0)),2)+(4*$E$8*IF($C$8="YES",1,0))</f>
        <v/>
      </c>
      <c r="H464" s="39">
        <f>ROUND((IF(4&lt;=2,$AD$414,$AD$414+(4-2)*$AE$414))*(1+$C$6),2)+ROUND(ROUND((IF(4&lt;=2,$AD$414,$AD$414+(4-2)*$AE$414))*(1+$C$6),2)*(IF($G$6="YES",$E$6,0)+IF($K$6="YES",$I$6,0)),2)</f>
        <v/>
      </c>
    </row>
    <row r="465">
      <c r="B465" s="37" t="n">
        <v>5</v>
      </c>
      <c r="C465" s="38">
        <f>ROUND((IF(5&lt;=15,$AD$409,$AD$409+(5-15)*$AE$409))*(1+$C$6),2)+ROUND(ROUND((IF(5&lt;=15,$AD$409,$AD$409+(5-15)*$AE$409))*(1+$C$6),2)*(IF($G$6="YES",$E$6,0)+IF($K$6="YES",$I$6,0)),2)</f>
        <v/>
      </c>
      <c r="D465" s="38">
        <f>ROUND((IF(5&lt;=15,$AD$410,$AD$410+(5-15)*$AE$410))*(1+$C$6),2)+ROUND(ROUND((IF(5&lt;=15,$AD$410,$AD$410+(5-15)*$AE$410))*(1+$C$6),2)*(IF($G$6="YES",$E$6,0)+IF($K$6="YES",$I$6,0)),2)</f>
        <v/>
      </c>
      <c r="E465" s="38">
        <f>ROUND((IF(5&lt;=15,$AD$411,IF(5&lt;=35,$AD$411+(5-15)*$AE$411,$AG$411+(5-35)*$AF$411)))*(1+$C$6),2)+ROUND(ROUND((IF(5&lt;=15,$AD$411,IF(5&lt;=35,$AD$411+(5-15)*$AE$411,$AG$411+(5-35)*$AF$411)))*(1+$C$6),2)*(IF($G$6="YES",$E$6,0)+IF($K$6="YES",$I$6,0)),2)</f>
        <v/>
      </c>
      <c r="F465" s="38">
        <f>ROUND((IF(5&lt;=15,$AD$412,IF(5&lt;=35,$AD$412+(5-15)*$AE$412,$AG$412+(5-35)*$AF$412)))*(1+$C$6),2)+ROUND(ROUND((IF(5&lt;=15,$AD$412,IF(5&lt;=35,$AD$412+(5-15)*$AE$412,$AG$412+(5-35)*$AF$412)))*(1+$C$6),2)*(IF($G$6="YES",$E$6,0)+IF($K$6="YES",$I$6,0)),2)</f>
        <v/>
      </c>
      <c r="G465" s="38">
        <f>ROUND((IF(5&lt;=2,$AD$413,$AD$413+(5-2)*$AE$413))*(1+$C$6),2)+ROUND(ROUND((IF(5&lt;=2,$AD$413,$AD$413+(5-2)*$AE$413))*(1+$C$6),2)*(IF($G$6="YES",$E$6,0)+IF($K$6="YES",$I$6,0)),2)+(5*$E$8*IF($C$8="YES",1,0))</f>
        <v/>
      </c>
      <c r="H465" s="39">
        <f>ROUND((IF(5&lt;=2,$AD$414,$AD$414+(5-2)*$AE$414))*(1+$C$6),2)+ROUND(ROUND((IF(5&lt;=2,$AD$414,$AD$414+(5-2)*$AE$414))*(1+$C$6),2)*(IF($G$6="YES",$E$6,0)+IF($K$6="YES",$I$6,0)),2)</f>
        <v/>
      </c>
    </row>
    <row r="466">
      <c r="B466" s="40" t="n">
        <v>6</v>
      </c>
      <c r="C466" s="41">
        <f>ROUND((IF(6&lt;=15,$AD$409,$AD$409+(6-15)*$AE$409))*(1+$C$6),2)+ROUND(ROUND((IF(6&lt;=15,$AD$409,$AD$409+(6-15)*$AE$409))*(1+$C$6),2)*(IF($G$6="YES",$E$6,0)+IF($K$6="YES",$I$6,0)),2)</f>
        <v/>
      </c>
      <c r="D466" s="41">
        <f>ROUND((IF(6&lt;=15,$AD$410,$AD$410+(6-15)*$AE$410))*(1+$C$6),2)+ROUND(ROUND((IF(6&lt;=15,$AD$410,$AD$410+(6-15)*$AE$410))*(1+$C$6),2)*(IF($G$6="YES",$E$6,0)+IF($K$6="YES",$I$6,0)),2)</f>
        <v/>
      </c>
      <c r="E466" s="41">
        <f>ROUND((IF(6&lt;=15,$AD$411,IF(6&lt;=35,$AD$411+(6-15)*$AE$411,$AG$411+(6-35)*$AF$411)))*(1+$C$6),2)+ROUND(ROUND((IF(6&lt;=15,$AD$411,IF(6&lt;=35,$AD$411+(6-15)*$AE$411,$AG$411+(6-35)*$AF$411)))*(1+$C$6),2)*(IF($G$6="YES",$E$6,0)+IF($K$6="YES",$I$6,0)),2)</f>
        <v/>
      </c>
      <c r="F466" s="41">
        <f>ROUND((IF(6&lt;=15,$AD$412,IF(6&lt;=35,$AD$412+(6-15)*$AE$412,$AG$412+(6-35)*$AF$412)))*(1+$C$6),2)+ROUND(ROUND((IF(6&lt;=15,$AD$412,IF(6&lt;=35,$AD$412+(6-15)*$AE$412,$AG$412+(6-35)*$AF$412)))*(1+$C$6),2)*(IF($G$6="YES",$E$6,0)+IF($K$6="YES",$I$6,0)),2)</f>
        <v/>
      </c>
      <c r="G466" s="41">
        <f>ROUND((IF(6&lt;=2,$AD$413,$AD$413+(6-2)*$AE$413))*(1+$C$6),2)+ROUND(ROUND((IF(6&lt;=2,$AD$413,$AD$413+(6-2)*$AE$413))*(1+$C$6),2)*(IF($G$6="YES",$E$6,0)+IF($K$6="YES",$I$6,0)),2)+(6*$E$8*IF($C$8="YES",1,0))</f>
        <v/>
      </c>
      <c r="H466" s="42">
        <f>ROUND((IF(6&lt;=2,$AD$414,$AD$414+(6-2)*$AE$414))*(1+$C$6),2)+ROUND(ROUND((IF(6&lt;=2,$AD$414,$AD$414+(6-2)*$AE$414))*(1+$C$6),2)*(IF($G$6="YES",$E$6,0)+IF($K$6="YES",$I$6,0)),2)</f>
        <v/>
      </c>
    </row>
    <row r="467">
      <c r="B467" s="40" t="n">
        <v>7</v>
      </c>
      <c r="C467" s="41">
        <f>ROUND((IF(7&lt;=15,$AD$409,$AD$409+(7-15)*$AE$409))*(1+$C$6),2)+ROUND(ROUND((IF(7&lt;=15,$AD$409,$AD$409+(7-15)*$AE$409))*(1+$C$6),2)*(IF($G$6="YES",$E$6,0)+IF($K$6="YES",$I$6,0)),2)</f>
        <v/>
      </c>
      <c r="D467" s="41">
        <f>ROUND((IF(7&lt;=15,$AD$410,$AD$410+(7-15)*$AE$410))*(1+$C$6),2)+ROUND(ROUND((IF(7&lt;=15,$AD$410,$AD$410+(7-15)*$AE$410))*(1+$C$6),2)*(IF($G$6="YES",$E$6,0)+IF($K$6="YES",$I$6,0)),2)</f>
        <v/>
      </c>
      <c r="E467" s="41">
        <f>ROUND((IF(7&lt;=15,$AD$411,IF(7&lt;=35,$AD$411+(7-15)*$AE$411,$AG$411+(7-35)*$AF$411)))*(1+$C$6),2)+ROUND(ROUND((IF(7&lt;=15,$AD$411,IF(7&lt;=35,$AD$411+(7-15)*$AE$411,$AG$411+(7-35)*$AF$411)))*(1+$C$6),2)*(IF($G$6="YES",$E$6,0)+IF($K$6="YES",$I$6,0)),2)</f>
        <v/>
      </c>
      <c r="F467" s="41">
        <f>ROUND((IF(7&lt;=15,$AD$412,IF(7&lt;=35,$AD$412+(7-15)*$AE$412,$AG$412+(7-35)*$AF$412)))*(1+$C$6),2)+ROUND(ROUND((IF(7&lt;=15,$AD$412,IF(7&lt;=35,$AD$412+(7-15)*$AE$412,$AG$412+(7-35)*$AF$412)))*(1+$C$6),2)*(IF($G$6="YES",$E$6,0)+IF($K$6="YES",$I$6,0)),2)</f>
        <v/>
      </c>
      <c r="G467" s="41">
        <f>ROUND((IF(7&lt;=2,$AD$413,$AD$413+(7-2)*$AE$413))*(1+$C$6),2)+ROUND(ROUND((IF(7&lt;=2,$AD$413,$AD$413+(7-2)*$AE$413))*(1+$C$6),2)*(IF($G$6="YES",$E$6,0)+IF($K$6="YES",$I$6,0)),2)+(7*$E$8*IF($C$8="YES",1,0))</f>
        <v/>
      </c>
      <c r="H467" s="42">
        <f>ROUND((IF(7&lt;=2,$AD$414,$AD$414+(7-2)*$AE$414))*(1+$C$6),2)+ROUND(ROUND((IF(7&lt;=2,$AD$414,$AD$414+(7-2)*$AE$414))*(1+$C$6),2)*(IF($G$6="YES",$E$6,0)+IF($K$6="YES",$I$6,0)),2)</f>
        <v/>
      </c>
    </row>
    <row r="468">
      <c r="B468" s="40" t="n">
        <v>8</v>
      </c>
      <c r="C468" s="41">
        <f>ROUND((IF(8&lt;=15,$AD$409,$AD$409+(8-15)*$AE$409))*(1+$C$6),2)+ROUND(ROUND((IF(8&lt;=15,$AD$409,$AD$409+(8-15)*$AE$409))*(1+$C$6),2)*(IF($G$6="YES",$E$6,0)+IF($K$6="YES",$I$6,0)),2)</f>
        <v/>
      </c>
      <c r="D468" s="41">
        <f>ROUND((IF(8&lt;=15,$AD$410,$AD$410+(8-15)*$AE$410))*(1+$C$6),2)+ROUND(ROUND((IF(8&lt;=15,$AD$410,$AD$410+(8-15)*$AE$410))*(1+$C$6),2)*(IF($G$6="YES",$E$6,0)+IF($K$6="YES",$I$6,0)),2)</f>
        <v/>
      </c>
      <c r="E468" s="41">
        <f>ROUND((IF(8&lt;=15,$AD$411,IF(8&lt;=35,$AD$411+(8-15)*$AE$411,$AG$411+(8-35)*$AF$411)))*(1+$C$6),2)+ROUND(ROUND((IF(8&lt;=15,$AD$411,IF(8&lt;=35,$AD$411+(8-15)*$AE$411,$AG$411+(8-35)*$AF$411)))*(1+$C$6),2)*(IF($G$6="YES",$E$6,0)+IF($K$6="YES",$I$6,0)),2)</f>
        <v/>
      </c>
      <c r="F468" s="41">
        <f>ROUND((IF(8&lt;=15,$AD$412,IF(8&lt;=35,$AD$412+(8-15)*$AE$412,$AG$412+(8-35)*$AF$412)))*(1+$C$6),2)+ROUND(ROUND((IF(8&lt;=15,$AD$412,IF(8&lt;=35,$AD$412+(8-15)*$AE$412,$AG$412+(8-35)*$AF$412)))*(1+$C$6),2)*(IF($G$6="YES",$E$6,0)+IF($K$6="YES",$I$6,0)),2)</f>
        <v/>
      </c>
      <c r="G468" s="41">
        <f>ROUND((IF(8&lt;=2,$AD$413,$AD$413+(8-2)*$AE$413))*(1+$C$6),2)+ROUND(ROUND((IF(8&lt;=2,$AD$413,$AD$413+(8-2)*$AE$413))*(1+$C$6),2)*(IF($G$6="YES",$E$6,0)+IF($K$6="YES",$I$6,0)),2)+(8*$E$8*IF($C$8="YES",1,0))</f>
        <v/>
      </c>
      <c r="H468" s="42">
        <f>ROUND((IF(8&lt;=2,$AD$414,$AD$414+(8-2)*$AE$414))*(1+$C$6),2)+ROUND(ROUND((IF(8&lt;=2,$AD$414,$AD$414+(8-2)*$AE$414))*(1+$C$6),2)*(IF($G$6="YES",$E$6,0)+IF($K$6="YES",$I$6,0)),2)</f>
        <v/>
      </c>
    </row>
    <row r="469">
      <c r="B469" s="40" t="n">
        <v>9</v>
      </c>
      <c r="C469" s="41">
        <f>ROUND((IF(9&lt;=15,$AD$409,$AD$409+(9-15)*$AE$409))*(1+$C$6),2)+ROUND(ROUND((IF(9&lt;=15,$AD$409,$AD$409+(9-15)*$AE$409))*(1+$C$6),2)*(IF($G$6="YES",$E$6,0)+IF($K$6="YES",$I$6,0)),2)</f>
        <v/>
      </c>
      <c r="D469" s="41">
        <f>ROUND((IF(9&lt;=15,$AD$410,$AD$410+(9-15)*$AE$410))*(1+$C$6),2)+ROUND(ROUND((IF(9&lt;=15,$AD$410,$AD$410+(9-15)*$AE$410))*(1+$C$6),2)*(IF($G$6="YES",$E$6,0)+IF($K$6="YES",$I$6,0)),2)</f>
        <v/>
      </c>
      <c r="E469" s="41">
        <f>ROUND((IF(9&lt;=15,$AD$411,IF(9&lt;=35,$AD$411+(9-15)*$AE$411,$AG$411+(9-35)*$AF$411)))*(1+$C$6),2)+ROUND(ROUND((IF(9&lt;=15,$AD$411,IF(9&lt;=35,$AD$411+(9-15)*$AE$411,$AG$411+(9-35)*$AF$411)))*(1+$C$6),2)*(IF($G$6="YES",$E$6,0)+IF($K$6="YES",$I$6,0)),2)</f>
        <v/>
      </c>
      <c r="F469" s="41">
        <f>ROUND((IF(9&lt;=15,$AD$412,IF(9&lt;=35,$AD$412+(9-15)*$AE$412,$AG$412+(9-35)*$AF$412)))*(1+$C$6),2)+ROUND(ROUND((IF(9&lt;=15,$AD$412,IF(9&lt;=35,$AD$412+(9-15)*$AE$412,$AG$412+(9-35)*$AF$412)))*(1+$C$6),2)*(IF($G$6="YES",$E$6,0)+IF($K$6="YES",$I$6,0)),2)</f>
        <v/>
      </c>
      <c r="G469" s="41">
        <f>ROUND((IF(9&lt;=2,$AD$413,$AD$413+(9-2)*$AE$413))*(1+$C$6),2)+ROUND(ROUND((IF(9&lt;=2,$AD$413,$AD$413+(9-2)*$AE$413))*(1+$C$6),2)*(IF($G$6="YES",$E$6,0)+IF($K$6="YES",$I$6,0)),2)+(9*$E$8*IF($C$8="YES",1,0))</f>
        <v/>
      </c>
      <c r="H469" s="42">
        <f>ROUND((IF(9&lt;=2,$AD$414,$AD$414+(9-2)*$AE$414))*(1+$C$6),2)+ROUND(ROUND((IF(9&lt;=2,$AD$414,$AD$414+(9-2)*$AE$414))*(1+$C$6),2)*(IF($G$6="YES",$E$6,0)+IF($K$6="YES",$I$6,0)),2)</f>
        <v/>
      </c>
    </row>
    <row r="470">
      <c r="B470" s="40" t="n">
        <v>10</v>
      </c>
      <c r="C470" s="41">
        <f>ROUND((IF(10&lt;=15,$AD$409,$AD$409+(10-15)*$AE$409))*(1+$C$6),2)+ROUND(ROUND((IF(10&lt;=15,$AD$409,$AD$409+(10-15)*$AE$409))*(1+$C$6),2)*(IF($G$6="YES",$E$6,0)+IF($K$6="YES",$I$6,0)),2)</f>
        <v/>
      </c>
      <c r="D470" s="41">
        <f>ROUND((IF(10&lt;=15,$AD$410,$AD$410+(10-15)*$AE$410))*(1+$C$6),2)+ROUND(ROUND((IF(10&lt;=15,$AD$410,$AD$410+(10-15)*$AE$410))*(1+$C$6),2)*(IF($G$6="YES",$E$6,0)+IF($K$6="YES",$I$6,0)),2)</f>
        <v/>
      </c>
      <c r="E470" s="41">
        <f>ROUND((IF(10&lt;=15,$AD$411,IF(10&lt;=35,$AD$411+(10-15)*$AE$411,$AG$411+(10-35)*$AF$411)))*(1+$C$6),2)+ROUND(ROUND((IF(10&lt;=15,$AD$411,IF(10&lt;=35,$AD$411+(10-15)*$AE$411,$AG$411+(10-35)*$AF$411)))*(1+$C$6),2)*(IF($G$6="YES",$E$6,0)+IF($K$6="YES",$I$6,0)),2)</f>
        <v/>
      </c>
      <c r="F470" s="41">
        <f>ROUND((IF(10&lt;=15,$AD$412,IF(10&lt;=35,$AD$412+(10-15)*$AE$412,$AG$412+(10-35)*$AF$412)))*(1+$C$6),2)+ROUND(ROUND((IF(10&lt;=15,$AD$412,IF(10&lt;=35,$AD$412+(10-15)*$AE$412,$AG$412+(10-35)*$AF$412)))*(1+$C$6),2)*(IF($G$6="YES",$E$6,0)+IF($K$6="YES",$I$6,0)),2)</f>
        <v/>
      </c>
      <c r="G470" s="41">
        <f>ROUND((IF(10&lt;=2,$AD$413,$AD$413+(10-2)*$AE$413))*(1+$C$6),2)+ROUND(ROUND((IF(10&lt;=2,$AD$413,$AD$413+(10-2)*$AE$413))*(1+$C$6),2)*(IF($G$6="YES",$E$6,0)+IF($K$6="YES",$I$6,0)),2)+(10*$E$8*IF($C$8="YES",1,0))</f>
        <v/>
      </c>
      <c r="H470" s="42">
        <f>ROUND((IF(10&lt;=2,$AD$414,$AD$414+(10-2)*$AE$414))*(1+$C$6),2)+ROUND(ROUND((IF(10&lt;=2,$AD$414,$AD$414+(10-2)*$AE$414))*(1+$C$6),2)*(IF($G$6="YES",$E$6,0)+IF($K$6="YES",$I$6,0)),2)</f>
        <v/>
      </c>
    </row>
    <row r="471">
      <c r="B471" s="37" t="n">
        <v>11</v>
      </c>
      <c r="C471" s="38">
        <f>ROUND((IF(11&lt;=15,$AD$409,$AD$409+(11-15)*$AE$409))*(1+$C$6),2)+ROUND(ROUND((IF(11&lt;=15,$AD$409,$AD$409+(11-15)*$AE$409))*(1+$C$6),2)*(IF($G$6="YES",$E$6,0)+IF($K$6="YES",$I$6,0)),2)</f>
        <v/>
      </c>
      <c r="D471" s="38">
        <f>ROUND((IF(11&lt;=15,$AD$410,$AD$410+(11-15)*$AE$410))*(1+$C$6),2)+ROUND(ROUND((IF(11&lt;=15,$AD$410,$AD$410+(11-15)*$AE$410))*(1+$C$6),2)*(IF($G$6="YES",$E$6,0)+IF($K$6="YES",$I$6,0)),2)</f>
        <v/>
      </c>
      <c r="E471" s="38">
        <f>ROUND((IF(11&lt;=15,$AD$411,IF(11&lt;=35,$AD$411+(11-15)*$AE$411,$AG$411+(11-35)*$AF$411)))*(1+$C$6),2)+ROUND(ROUND((IF(11&lt;=15,$AD$411,IF(11&lt;=35,$AD$411+(11-15)*$AE$411,$AG$411+(11-35)*$AF$411)))*(1+$C$6),2)*(IF($G$6="YES",$E$6,0)+IF($K$6="YES",$I$6,0)),2)</f>
        <v/>
      </c>
      <c r="F471" s="38">
        <f>ROUND((IF(11&lt;=15,$AD$412,IF(11&lt;=35,$AD$412+(11-15)*$AE$412,$AG$412+(11-35)*$AF$412)))*(1+$C$6),2)+ROUND(ROUND((IF(11&lt;=15,$AD$412,IF(11&lt;=35,$AD$412+(11-15)*$AE$412,$AG$412+(11-35)*$AF$412)))*(1+$C$6),2)*(IF($G$6="YES",$E$6,0)+IF($K$6="YES",$I$6,0)),2)</f>
        <v/>
      </c>
      <c r="G471" s="38">
        <f>ROUND((IF(11&lt;=2,$AD$413,$AD$413+(11-2)*$AE$413))*(1+$C$6),2)+ROUND(ROUND((IF(11&lt;=2,$AD$413,$AD$413+(11-2)*$AE$413))*(1+$C$6),2)*(IF($G$6="YES",$E$6,0)+IF($K$6="YES",$I$6,0)),2)+(11*$E$8*IF($C$8="YES",1,0))</f>
        <v/>
      </c>
      <c r="H471" s="39">
        <f>ROUND((IF(11&lt;=2,$AD$414,$AD$414+(11-2)*$AE$414))*(1+$C$6),2)+ROUND(ROUND((IF(11&lt;=2,$AD$414,$AD$414+(11-2)*$AE$414))*(1+$C$6),2)*(IF($G$6="YES",$E$6,0)+IF($K$6="YES",$I$6,0)),2)</f>
        <v/>
      </c>
    </row>
    <row r="472">
      <c r="B472" s="37" t="n">
        <v>12</v>
      </c>
      <c r="C472" s="38">
        <f>ROUND((IF(12&lt;=15,$AD$409,$AD$409+(12-15)*$AE$409))*(1+$C$6),2)+ROUND(ROUND((IF(12&lt;=15,$AD$409,$AD$409+(12-15)*$AE$409))*(1+$C$6),2)*(IF($G$6="YES",$E$6,0)+IF($K$6="YES",$I$6,0)),2)</f>
        <v/>
      </c>
      <c r="D472" s="38">
        <f>ROUND((IF(12&lt;=15,$AD$410,$AD$410+(12-15)*$AE$410))*(1+$C$6),2)+ROUND(ROUND((IF(12&lt;=15,$AD$410,$AD$410+(12-15)*$AE$410))*(1+$C$6),2)*(IF($G$6="YES",$E$6,0)+IF($K$6="YES",$I$6,0)),2)</f>
        <v/>
      </c>
      <c r="E472" s="38">
        <f>ROUND((IF(12&lt;=15,$AD$411,IF(12&lt;=35,$AD$411+(12-15)*$AE$411,$AG$411+(12-35)*$AF$411)))*(1+$C$6),2)+ROUND(ROUND((IF(12&lt;=15,$AD$411,IF(12&lt;=35,$AD$411+(12-15)*$AE$411,$AG$411+(12-35)*$AF$411)))*(1+$C$6),2)*(IF($G$6="YES",$E$6,0)+IF($K$6="YES",$I$6,0)),2)</f>
        <v/>
      </c>
      <c r="F472" s="38">
        <f>ROUND((IF(12&lt;=15,$AD$412,IF(12&lt;=35,$AD$412+(12-15)*$AE$412,$AG$412+(12-35)*$AF$412)))*(1+$C$6),2)+ROUND(ROUND((IF(12&lt;=15,$AD$412,IF(12&lt;=35,$AD$412+(12-15)*$AE$412,$AG$412+(12-35)*$AF$412)))*(1+$C$6),2)*(IF($G$6="YES",$E$6,0)+IF($K$6="YES",$I$6,0)),2)</f>
        <v/>
      </c>
      <c r="G472" s="38">
        <f>ROUND((IF(12&lt;=2,$AD$413,$AD$413+(12-2)*$AE$413))*(1+$C$6),2)+ROUND(ROUND((IF(12&lt;=2,$AD$413,$AD$413+(12-2)*$AE$413))*(1+$C$6),2)*(IF($G$6="YES",$E$6,0)+IF($K$6="YES",$I$6,0)),2)+(12*$E$8*IF($C$8="YES",1,0))</f>
        <v/>
      </c>
      <c r="H472" s="39">
        <f>ROUND((IF(12&lt;=2,$AD$414,$AD$414+(12-2)*$AE$414))*(1+$C$6),2)+ROUND(ROUND((IF(12&lt;=2,$AD$414,$AD$414+(12-2)*$AE$414))*(1+$C$6),2)*(IF($G$6="YES",$E$6,0)+IF($K$6="YES",$I$6,0)),2)</f>
        <v/>
      </c>
    </row>
    <row r="473">
      <c r="B473" s="37" t="n">
        <v>13</v>
      </c>
      <c r="C473" s="38">
        <f>ROUND((IF(13&lt;=15,$AD$409,$AD$409+(13-15)*$AE$409))*(1+$C$6),2)+ROUND(ROUND((IF(13&lt;=15,$AD$409,$AD$409+(13-15)*$AE$409))*(1+$C$6),2)*(IF($G$6="YES",$E$6,0)+IF($K$6="YES",$I$6,0)),2)</f>
        <v/>
      </c>
      <c r="D473" s="38">
        <f>ROUND((IF(13&lt;=15,$AD$410,$AD$410+(13-15)*$AE$410))*(1+$C$6),2)+ROUND(ROUND((IF(13&lt;=15,$AD$410,$AD$410+(13-15)*$AE$410))*(1+$C$6),2)*(IF($G$6="YES",$E$6,0)+IF($K$6="YES",$I$6,0)),2)</f>
        <v/>
      </c>
      <c r="E473" s="38">
        <f>ROUND((IF(13&lt;=15,$AD$411,IF(13&lt;=35,$AD$411+(13-15)*$AE$411,$AG$411+(13-35)*$AF$411)))*(1+$C$6),2)+ROUND(ROUND((IF(13&lt;=15,$AD$411,IF(13&lt;=35,$AD$411+(13-15)*$AE$411,$AG$411+(13-35)*$AF$411)))*(1+$C$6),2)*(IF($G$6="YES",$E$6,0)+IF($K$6="YES",$I$6,0)),2)</f>
        <v/>
      </c>
      <c r="F473" s="38">
        <f>ROUND((IF(13&lt;=15,$AD$412,IF(13&lt;=35,$AD$412+(13-15)*$AE$412,$AG$412+(13-35)*$AF$412)))*(1+$C$6),2)+ROUND(ROUND((IF(13&lt;=15,$AD$412,IF(13&lt;=35,$AD$412+(13-15)*$AE$412,$AG$412+(13-35)*$AF$412)))*(1+$C$6),2)*(IF($G$6="YES",$E$6,0)+IF($K$6="YES",$I$6,0)),2)</f>
        <v/>
      </c>
      <c r="G473" s="38">
        <f>ROUND((IF(13&lt;=2,$AD$413,$AD$413+(13-2)*$AE$413))*(1+$C$6),2)+ROUND(ROUND((IF(13&lt;=2,$AD$413,$AD$413+(13-2)*$AE$413))*(1+$C$6),2)*(IF($G$6="YES",$E$6,0)+IF($K$6="YES",$I$6,0)),2)+(13*$E$8*IF($C$8="YES",1,0))</f>
        <v/>
      </c>
      <c r="H473" s="39">
        <f>ROUND((IF(13&lt;=2,$AD$414,$AD$414+(13-2)*$AE$414))*(1+$C$6),2)+ROUND(ROUND((IF(13&lt;=2,$AD$414,$AD$414+(13-2)*$AE$414))*(1+$C$6),2)*(IF($G$6="YES",$E$6,0)+IF($K$6="YES",$I$6,0)),2)</f>
        <v/>
      </c>
    </row>
    <row r="474">
      <c r="B474" s="37" t="n">
        <v>14</v>
      </c>
      <c r="C474" s="38">
        <f>ROUND((IF(14&lt;=15,$AD$409,$AD$409+(14-15)*$AE$409))*(1+$C$6),2)+ROUND(ROUND((IF(14&lt;=15,$AD$409,$AD$409+(14-15)*$AE$409))*(1+$C$6),2)*(IF($G$6="YES",$E$6,0)+IF($K$6="YES",$I$6,0)),2)</f>
        <v/>
      </c>
      <c r="D474" s="38">
        <f>ROUND((IF(14&lt;=15,$AD$410,$AD$410+(14-15)*$AE$410))*(1+$C$6),2)+ROUND(ROUND((IF(14&lt;=15,$AD$410,$AD$410+(14-15)*$AE$410))*(1+$C$6),2)*(IF($G$6="YES",$E$6,0)+IF($K$6="YES",$I$6,0)),2)</f>
        <v/>
      </c>
      <c r="E474" s="38">
        <f>ROUND((IF(14&lt;=15,$AD$411,IF(14&lt;=35,$AD$411+(14-15)*$AE$411,$AG$411+(14-35)*$AF$411)))*(1+$C$6),2)+ROUND(ROUND((IF(14&lt;=15,$AD$411,IF(14&lt;=35,$AD$411+(14-15)*$AE$411,$AG$411+(14-35)*$AF$411)))*(1+$C$6),2)*(IF($G$6="YES",$E$6,0)+IF($K$6="YES",$I$6,0)),2)</f>
        <v/>
      </c>
      <c r="F474" s="38">
        <f>ROUND((IF(14&lt;=15,$AD$412,IF(14&lt;=35,$AD$412+(14-15)*$AE$412,$AG$412+(14-35)*$AF$412)))*(1+$C$6),2)+ROUND(ROUND((IF(14&lt;=15,$AD$412,IF(14&lt;=35,$AD$412+(14-15)*$AE$412,$AG$412+(14-35)*$AF$412)))*(1+$C$6),2)*(IF($G$6="YES",$E$6,0)+IF($K$6="YES",$I$6,0)),2)</f>
        <v/>
      </c>
      <c r="G474" s="38">
        <f>ROUND((IF(14&lt;=2,$AD$413,$AD$413+(14-2)*$AE$413))*(1+$C$6),2)+ROUND(ROUND((IF(14&lt;=2,$AD$413,$AD$413+(14-2)*$AE$413))*(1+$C$6),2)*(IF($G$6="YES",$E$6,0)+IF($K$6="YES",$I$6,0)),2)+(14*$E$8*IF($C$8="YES",1,0))</f>
        <v/>
      </c>
      <c r="H474" s="39">
        <f>ROUND((IF(14&lt;=2,$AD$414,$AD$414+(14-2)*$AE$414))*(1+$C$6),2)+ROUND(ROUND((IF(14&lt;=2,$AD$414,$AD$414+(14-2)*$AE$414))*(1+$C$6),2)*(IF($G$6="YES",$E$6,0)+IF($K$6="YES",$I$6,0)),2)</f>
        <v/>
      </c>
    </row>
    <row r="475">
      <c r="B475" s="37" t="n">
        <v>15</v>
      </c>
      <c r="C475" s="38">
        <f>ROUND((IF(15&lt;=15,$AD$409,$AD$409+(15-15)*$AE$409))*(1+$C$6),2)+ROUND(ROUND((IF(15&lt;=15,$AD$409,$AD$409+(15-15)*$AE$409))*(1+$C$6),2)*(IF($G$6="YES",$E$6,0)+IF($K$6="YES",$I$6,0)),2)</f>
        <v/>
      </c>
      <c r="D475" s="38">
        <f>ROUND((IF(15&lt;=15,$AD$410,$AD$410+(15-15)*$AE$410))*(1+$C$6),2)+ROUND(ROUND((IF(15&lt;=15,$AD$410,$AD$410+(15-15)*$AE$410))*(1+$C$6),2)*(IF($G$6="YES",$E$6,0)+IF($K$6="YES",$I$6,0)),2)</f>
        <v/>
      </c>
      <c r="E475" s="38">
        <f>ROUND((IF(15&lt;=15,$AD$411,IF(15&lt;=35,$AD$411+(15-15)*$AE$411,$AG$411+(15-35)*$AF$411)))*(1+$C$6),2)+ROUND(ROUND((IF(15&lt;=15,$AD$411,IF(15&lt;=35,$AD$411+(15-15)*$AE$411,$AG$411+(15-35)*$AF$411)))*(1+$C$6),2)*(IF($G$6="YES",$E$6,0)+IF($K$6="YES",$I$6,0)),2)</f>
        <v/>
      </c>
      <c r="F475" s="38">
        <f>ROUND((IF(15&lt;=15,$AD$412,IF(15&lt;=35,$AD$412+(15-15)*$AE$412,$AG$412+(15-35)*$AF$412)))*(1+$C$6),2)+ROUND(ROUND((IF(15&lt;=15,$AD$412,IF(15&lt;=35,$AD$412+(15-15)*$AE$412,$AG$412+(15-35)*$AF$412)))*(1+$C$6),2)*(IF($G$6="YES",$E$6,0)+IF($K$6="YES",$I$6,0)),2)</f>
        <v/>
      </c>
      <c r="G475" s="38">
        <f>ROUND((IF(15&lt;=2,$AD$413,$AD$413+(15-2)*$AE$413))*(1+$C$6),2)+ROUND(ROUND((IF(15&lt;=2,$AD$413,$AD$413+(15-2)*$AE$413))*(1+$C$6),2)*(IF($G$6="YES",$E$6,0)+IF($K$6="YES",$I$6,0)),2)+(15*$E$8*IF($C$8="YES",1,0))</f>
        <v/>
      </c>
      <c r="H475" s="39">
        <f>ROUND((IF(15&lt;=2,$AD$414,$AD$414+(15-2)*$AE$414))*(1+$C$6),2)+ROUND(ROUND((IF(15&lt;=2,$AD$414,$AD$414+(15-2)*$AE$414))*(1+$C$6),2)*(IF($G$6="YES",$E$6,0)+IF($K$6="YES",$I$6,0)),2)</f>
        <v/>
      </c>
    </row>
    <row r="476">
      <c r="B476" s="40" t="n">
        <v>16</v>
      </c>
      <c r="C476" s="41">
        <f>ROUND((IF(16&lt;=15,$AD$409,$AD$409+(16-15)*$AE$409))*(1+$C$6),2)+ROUND(ROUND((IF(16&lt;=15,$AD$409,$AD$409+(16-15)*$AE$409))*(1+$C$6),2)*(IF($G$6="YES",$E$6,0)+IF($K$6="YES",$I$6,0)),2)</f>
        <v/>
      </c>
      <c r="D476" s="41">
        <f>ROUND((IF(16&lt;=15,$AD$410,$AD$410+(16-15)*$AE$410))*(1+$C$6),2)+ROUND(ROUND((IF(16&lt;=15,$AD$410,$AD$410+(16-15)*$AE$410))*(1+$C$6),2)*(IF($G$6="YES",$E$6,0)+IF($K$6="YES",$I$6,0)),2)</f>
        <v/>
      </c>
      <c r="E476" s="41">
        <f>ROUND((IF(16&lt;=15,$AD$411,IF(16&lt;=35,$AD$411+(16-15)*$AE$411,$AG$411+(16-35)*$AF$411)))*(1+$C$6),2)+ROUND(ROUND((IF(16&lt;=15,$AD$411,IF(16&lt;=35,$AD$411+(16-15)*$AE$411,$AG$411+(16-35)*$AF$411)))*(1+$C$6),2)*(IF($G$6="YES",$E$6,0)+IF($K$6="YES",$I$6,0)),2)</f>
        <v/>
      </c>
      <c r="F476" s="41">
        <f>ROUND((IF(16&lt;=15,$AD$412,IF(16&lt;=35,$AD$412+(16-15)*$AE$412,$AG$412+(16-35)*$AF$412)))*(1+$C$6),2)+ROUND(ROUND((IF(16&lt;=15,$AD$412,IF(16&lt;=35,$AD$412+(16-15)*$AE$412,$AG$412+(16-35)*$AF$412)))*(1+$C$6),2)*(IF($G$6="YES",$E$6,0)+IF($K$6="YES",$I$6,0)),2)</f>
        <v/>
      </c>
      <c r="G476" s="41">
        <f>ROUND((IF(16&lt;=2,$AD$413,$AD$413+(16-2)*$AE$413))*(1+$C$6),2)+ROUND(ROUND((IF(16&lt;=2,$AD$413,$AD$413+(16-2)*$AE$413))*(1+$C$6),2)*(IF($G$6="YES",$E$6,0)+IF($K$6="YES",$I$6,0)),2)+(16*$E$8*IF($C$8="YES",1,0))</f>
        <v/>
      </c>
      <c r="H476" s="42">
        <f>ROUND((IF(16&lt;=2,$AD$414,$AD$414+(16-2)*$AE$414))*(1+$C$6),2)+ROUND(ROUND((IF(16&lt;=2,$AD$414,$AD$414+(16-2)*$AE$414))*(1+$C$6),2)*(IF($G$6="YES",$E$6,0)+IF($K$6="YES",$I$6,0)),2)</f>
        <v/>
      </c>
    </row>
    <row r="477">
      <c r="B477" s="40" t="n">
        <v>17</v>
      </c>
      <c r="C477" s="41">
        <f>ROUND((IF(17&lt;=15,$AD$409,$AD$409+(17-15)*$AE$409))*(1+$C$6),2)+ROUND(ROUND((IF(17&lt;=15,$AD$409,$AD$409+(17-15)*$AE$409))*(1+$C$6),2)*(IF($G$6="YES",$E$6,0)+IF($K$6="YES",$I$6,0)),2)</f>
        <v/>
      </c>
      <c r="D477" s="41">
        <f>ROUND((IF(17&lt;=15,$AD$410,$AD$410+(17-15)*$AE$410))*(1+$C$6),2)+ROUND(ROUND((IF(17&lt;=15,$AD$410,$AD$410+(17-15)*$AE$410))*(1+$C$6),2)*(IF($G$6="YES",$E$6,0)+IF($K$6="YES",$I$6,0)),2)</f>
        <v/>
      </c>
      <c r="E477" s="41">
        <f>ROUND((IF(17&lt;=15,$AD$411,IF(17&lt;=35,$AD$411+(17-15)*$AE$411,$AG$411+(17-35)*$AF$411)))*(1+$C$6),2)+ROUND(ROUND((IF(17&lt;=15,$AD$411,IF(17&lt;=35,$AD$411+(17-15)*$AE$411,$AG$411+(17-35)*$AF$411)))*(1+$C$6),2)*(IF($G$6="YES",$E$6,0)+IF($K$6="YES",$I$6,0)),2)</f>
        <v/>
      </c>
      <c r="F477" s="41">
        <f>ROUND((IF(17&lt;=15,$AD$412,IF(17&lt;=35,$AD$412+(17-15)*$AE$412,$AG$412+(17-35)*$AF$412)))*(1+$C$6),2)+ROUND(ROUND((IF(17&lt;=15,$AD$412,IF(17&lt;=35,$AD$412+(17-15)*$AE$412,$AG$412+(17-35)*$AF$412)))*(1+$C$6),2)*(IF($G$6="YES",$E$6,0)+IF($K$6="YES",$I$6,0)),2)</f>
        <v/>
      </c>
      <c r="G477" s="41">
        <f>ROUND((IF(17&lt;=2,$AD$413,$AD$413+(17-2)*$AE$413))*(1+$C$6),2)+ROUND(ROUND((IF(17&lt;=2,$AD$413,$AD$413+(17-2)*$AE$413))*(1+$C$6),2)*(IF($G$6="YES",$E$6,0)+IF($K$6="YES",$I$6,0)),2)+(17*$E$8*IF($C$8="YES",1,0))</f>
        <v/>
      </c>
      <c r="H477" s="42">
        <f>ROUND((IF(17&lt;=2,$AD$414,$AD$414+(17-2)*$AE$414))*(1+$C$6),2)+ROUND(ROUND((IF(17&lt;=2,$AD$414,$AD$414+(17-2)*$AE$414))*(1+$C$6),2)*(IF($G$6="YES",$E$6,0)+IF($K$6="YES",$I$6,0)),2)</f>
        <v/>
      </c>
    </row>
    <row r="478">
      <c r="B478" s="40" t="n">
        <v>18</v>
      </c>
      <c r="C478" s="41">
        <f>ROUND((IF(18&lt;=15,$AD$409,$AD$409+(18-15)*$AE$409))*(1+$C$6),2)+ROUND(ROUND((IF(18&lt;=15,$AD$409,$AD$409+(18-15)*$AE$409))*(1+$C$6),2)*(IF($G$6="YES",$E$6,0)+IF($K$6="YES",$I$6,0)),2)</f>
        <v/>
      </c>
      <c r="D478" s="41">
        <f>ROUND((IF(18&lt;=15,$AD$410,$AD$410+(18-15)*$AE$410))*(1+$C$6),2)+ROUND(ROUND((IF(18&lt;=15,$AD$410,$AD$410+(18-15)*$AE$410))*(1+$C$6),2)*(IF($G$6="YES",$E$6,0)+IF($K$6="YES",$I$6,0)),2)</f>
        <v/>
      </c>
      <c r="E478" s="41">
        <f>ROUND((IF(18&lt;=15,$AD$411,IF(18&lt;=35,$AD$411+(18-15)*$AE$411,$AG$411+(18-35)*$AF$411)))*(1+$C$6),2)+ROUND(ROUND((IF(18&lt;=15,$AD$411,IF(18&lt;=35,$AD$411+(18-15)*$AE$411,$AG$411+(18-35)*$AF$411)))*(1+$C$6),2)*(IF($G$6="YES",$E$6,0)+IF($K$6="YES",$I$6,0)),2)</f>
        <v/>
      </c>
      <c r="F478" s="41">
        <f>ROUND((IF(18&lt;=15,$AD$412,IF(18&lt;=35,$AD$412+(18-15)*$AE$412,$AG$412+(18-35)*$AF$412)))*(1+$C$6),2)+ROUND(ROUND((IF(18&lt;=15,$AD$412,IF(18&lt;=35,$AD$412+(18-15)*$AE$412,$AG$412+(18-35)*$AF$412)))*(1+$C$6),2)*(IF($G$6="YES",$E$6,0)+IF($K$6="YES",$I$6,0)),2)</f>
        <v/>
      </c>
      <c r="G478" s="41">
        <f>ROUND((IF(18&lt;=2,$AD$413,$AD$413+(18-2)*$AE$413))*(1+$C$6),2)+ROUND(ROUND((IF(18&lt;=2,$AD$413,$AD$413+(18-2)*$AE$413))*(1+$C$6),2)*(IF($G$6="YES",$E$6,0)+IF($K$6="YES",$I$6,0)),2)+(18*$E$8*IF($C$8="YES",1,0))</f>
        <v/>
      </c>
      <c r="H478" s="42">
        <f>ROUND((IF(18&lt;=2,$AD$414,$AD$414+(18-2)*$AE$414))*(1+$C$6),2)+ROUND(ROUND((IF(18&lt;=2,$AD$414,$AD$414+(18-2)*$AE$414))*(1+$C$6),2)*(IF($G$6="YES",$E$6,0)+IF($K$6="YES",$I$6,0)),2)</f>
        <v/>
      </c>
    </row>
    <row r="479">
      <c r="B479" s="40" t="n">
        <v>19</v>
      </c>
      <c r="C479" s="41">
        <f>ROUND((IF(19&lt;=15,$AD$409,$AD$409+(19-15)*$AE$409))*(1+$C$6),2)+ROUND(ROUND((IF(19&lt;=15,$AD$409,$AD$409+(19-15)*$AE$409))*(1+$C$6),2)*(IF($G$6="YES",$E$6,0)+IF($K$6="YES",$I$6,0)),2)</f>
        <v/>
      </c>
      <c r="D479" s="41">
        <f>ROUND((IF(19&lt;=15,$AD$410,$AD$410+(19-15)*$AE$410))*(1+$C$6),2)+ROUND(ROUND((IF(19&lt;=15,$AD$410,$AD$410+(19-15)*$AE$410))*(1+$C$6),2)*(IF($G$6="YES",$E$6,0)+IF($K$6="YES",$I$6,0)),2)</f>
        <v/>
      </c>
      <c r="E479" s="41">
        <f>ROUND((IF(19&lt;=15,$AD$411,IF(19&lt;=35,$AD$411+(19-15)*$AE$411,$AG$411+(19-35)*$AF$411)))*(1+$C$6),2)+ROUND(ROUND((IF(19&lt;=15,$AD$411,IF(19&lt;=35,$AD$411+(19-15)*$AE$411,$AG$411+(19-35)*$AF$411)))*(1+$C$6),2)*(IF($G$6="YES",$E$6,0)+IF($K$6="YES",$I$6,0)),2)</f>
        <v/>
      </c>
      <c r="F479" s="41">
        <f>ROUND((IF(19&lt;=15,$AD$412,IF(19&lt;=35,$AD$412+(19-15)*$AE$412,$AG$412+(19-35)*$AF$412)))*(1+$C$6),2)+ROUND(ROUND((IF(19&lt;=15,$AD$412,IF(19&lt;=35,$AD$412+(19-15)*$AE$412,$AG$412+(19-35)*$AF$412)))*(1+$C$6),2)*(IF($G$6="YES",$E$6,0)+IF($K$6="YES",$I$6,0)),2)</f>
        <v/>
      </c>
      <c r="G479" s="41">
        <f>ROUND((IF(19&lt;=2,$AD$413,$AD$413+(19-2)*$AE$413))*(1+$C$6),2)+ROUND(ROUND((IF(19&lt;=2,$AD$413,$AD$413+(19-2)*$AE$413))*(1+$C$6),2)*(IF($G$6="YES",$E$6,0)+IF($K$6="YES",$I$6,0)),2)+(19*$E$8*IF($C$8="YES",1,0))</f>
        <v/>
      </c>
      <c r="H479" s="42">
        <f>ROUND((IF(19&lt;=2,$AD$414,$AD$414+(19-2)*$AE$414))*(1+$C$6),2)+ROUND(ROUND((IF(19&lt;=2,$AD$414,$AD$414+(19-2)*$AE$414))*(1+$C$6),2)*(IF($G$6="YES",$E$6,0)+IF($K$6="YES",$I$6,0)),2)</f>
        <v/>
      </c>
    </row>
    <row r="480">
      <c r="B480" s="40" t="n">
        <v>20</v>
      </c>
      <c r="C480" s="41">
        <f>ROUND((IF(20&lt;=15,$AD$409,$AD$409+(20-15)*$AE$409))*(1+$C$6),2)+ROUND(ROUND((IF(20&lt;=15,$AD$409,$AD$409+(20-15)*$AE$409))*(1+$C$6),2)*(IF($G$6="YES",$E$6,0)+IF($K$6="YES",$I$6,0)),2)</f>
        <v/>
      </c>
      <c r="D480" s="41">
        <f>ROUND((IF(20&lt;=15,$AD$410,$AD$410+(20-15)*$AE$410))*(1+$C$6),2)+ROUND(ROUND((IF(20&lt;=15,$AD$410,$AD$410+(20-15)*$AE$410))*(1+$C$6),2)*(IF($G$6="YES",$E$6,0)+IF($K$6="YES",$I$6,0)),2)</f>
        <v/>
      </c>
      <c r="E480" s="41">
        <f>ROUND((IF(20&lt;=15,$AD$411,IF(20&lt;=35,$AD$411+(20-15)*$AE$411,$AG$411+(20-35)*$AF$411)))*(1+$C$6),2)+ROUND(ROUND((IF(20&lt;=15,$AD$411,IF(20&lt;=35,$AD$411+(20-15)*$AE$411,$AG$411+(20-35)*$AF$411)))*(1+$C$6),2)*(IF($G$6="YES",$E$6,0)+IF($K$6="YES",$I$6,0)),2)</f>
        <v/>
      </c>
      <c r="F480" s="41">
        <f>ROUND((IF(20&lt;=15,$AD$412,IF(20&lt;=35,$AD$412+(20-15)*$AE$412,$AG$412+(20-35)*$AF$412)))*(1+$C$6),2)+ROUND(ROUND((IF(20&lt;=15,$AD$412,IF(20&lt;=35,$AD$412+(20-15)*$AE$412,$AG$412+(20-35)*$AF$412)))*(1+$C$6),2)*(IF($G$6="YES",$E$6,0)+IF($K$6="YES",$I$6,0)),2)</f>
        <v/>
      </c>
      <c r="G480" s="41">
        <f>ROUND((IF(20&lt;=2,$AD$413,$AD$413+(20-2)*$AE$413))*(1+$C$6),2)+ROUND(ROUND((IF(20&lt;=2,$AD$413,$AD$413+(20-2)*$AE$413))*(1+$C$6),2)*(IF($G$6="YES",$E$6,0)+IF($K$6="YES",$I$6,0)),2)+(20*$E$8*IF($C$8="YES",1,0))</f>
        <v/>
      </c>
      <c r="H480" s="42">
        <f>ROUND((IF(20&lt;=2,$AD$414,$AD$414+(20-2)*$AE$414))*(1+$C$6),2)+ROUND(ROUND((IF(20&lt;=2,$AD$414,$AD$414+(20-2)*$AE$414))*(1+$C$6),2)*(IF($G$6="YES",$E$6,0)+IF($K$6="YES",$I$6,0)),2)</f>
        <v/>
      </c>
    </row>
    <row r="481">
      <c r="B481" s="37" t="n">
        <v>21</v>
      </c>
      <c r="C481" s="38">
        <f>ROUND((IF(21&lt;=15,$AD$409,$AD$409+(21-15)*$AE$409))*(1+$C$6),2)+ROUND(ROUND((IF(21&lt;=15,$AD$409,$AD$409+(21-15)*$AE$409))*(1+$C$6),2)*(IF($G$6="YES",$E$6,0)+IF($K$6="YES",$I$6,0)),2)</f>
        <v/>
      </c>
      <c r="D481" s="38">
        <f>ROUND((IF(21&lt;=15,$AD$410,$AD$410+(21-15)*$AE$410))*(1+$C$6),2)+ROUND(ROUND((IF(21&lt;=15,$AD$410,$AD$410+(21-15)*$AE$410))*(1+$C$6),2)*(IF($G$6="YES",$E$6,0)+IF($K$6="YES",$I$6,0)),2)</f>
        <v/>
      </c>
      <c r="E481" s="38">
        <f>ROUND((IF(21&lt;=15,$AD$411,IF(21&lt;=35,$AD$411+(21-15)*$AE$411,$AG$411+(21-35)*$AF$411)))*(1+$C$6),2)+ROUND(ROUND((IF(21&lt;=15,$AD$411,IF(21&lt;=35,$AD$411+(21-15)*$AE$411,$AG$411+(21-35)*$AF$411)))*(1+$C$6),2)*(IF($G$6="YES",$E$6,0)+IF($K$6="YES",$I$6,0)),2)</f>
        <v/>
      </c>
      <c r="F481" s="38">
        <f>ROUND((IF(21&lt;=15,$AD$412,IF(21&lt;=35,$AD$412+(21-15)*$AE$412,$AG$412+(21-35)*$AF$412)))*(1+$C$6),2)+ROUND(ROUND((IF(21&lt;=15,$AD$412,IF(21&lt;=35,$AD$412+(21-15)*$AE$412,$AG$412+(21-35)*$AF$412)))*(1+$C$6),2)*(IF($G$6="YES",$E$6,0)+IF($K$6="YES",$I$6,0)),2)</f>
        <v/>
      </c>
      <c r="G481" s="38">
        <f>ROUND((IF(21&lt;=2,$AD$413,$AD$413+(21-2)*$AE$413))*(1+$C$6),2)+ROUND(ROUND((IF(21&lt;=2,$AD$413,$AD$413+(21-2)*$AE$413))*(1+$C$6),2)*(IF($G$6="YES",$E$6,0)+IF($K$6="YES",$I$6,0)),2)+(21*$E$8*IF($C$8="YES",1,0))</f>
        <v/>
      </c>
      <c r="H481" s="39">
        <f>ROUND((IF(21&lt;=2,$AD$414,$AD$414+(21-2)*$AE$414))*(1+$C$6),2)+ROUND(ROUND((IF(21&lt;=2,$AD$414,$AD$414+(21-2)*$AE$414))*(1+$C$6),2)*(IF($G$6="YES",$E$6,0)+IF($K$6="YES",$I$6,0)),2)</f>
        <v/>
      </c>
    </row>
    <row r="482">
      <c r="B482" s="37" t="n">
        <v>22</v>
      </c>
      <c r="C482" s="38">
        <f>ROUND((IF(22&lt;=15,$AD$409,$AD$409+(22-15)*$AE$409))*(1+$C$6),2)+ROUND(ROUND((IF(22&lt;=15,$AD$409,$AD$409+(22-15)*$AE$409))*(1+$C$6),2)*(IF($G$6="YES",$E$6,0)+IF($K$6="YES",$I$6,0)),2)</f>
        <v/>
      </c>
      <c r="D482" s="38">
        <f>ROUND((IF(22&lt;=15,$AD$410,$AD$410+(22-15)*$AE$410))*(1+$C$6),2)+ROUND(ROUND((IF(22&lt;=15,$AD$410,$AD$410+(22-15)*$AE$410))*(1+$C$6),2)*(IF($G$6="YES",$E$6,0)+IF($K$6="YES",$I$6,0)),2)</f>
        <v/>
      </c>
      <c r="E482" s="38">
        <f>ROUND((IF(22&lt;=15,$AD$411,IF(22&lt;=35,$AD$411+(22-15)*$AE$411,$AG$411+(22-35)*$AF$411)))*(1+$C$6),2)+ROUND(ROUND((IF(22&lt;=15,$AD$411,IF(22&lt;=35,$AD$411+(22-15)*$AE$411,$AG$411+(22-35)*$AF$411)))*(1+$C$6),2)*(IF($G$6="YES",$E$6,0)+IF($K$6="YES",$I$6,0)),2)</f>
        <v/>
      </c>
      <c r="F482" s="38">
        <f>ROUND((IF(22&lt;=15,$AD$412,IF(22&lt;=35,$AD$412+(22-15)*$AE$412,$AG$412+(22-35)*$AF$412)))*(1+$C$6),2)+ROUND(ROUND((IF(22&lt;=15,$AD$412,IF(22&lt;=35,$AD$412+(22-15)*$AE$412,$AG$412+(22-35)*$AF$412)))*(1+$C$6),2)*(IF($G$6="YES",$E$6,0)+IF($K$6="YES",$I$6,0)),2)</f>
        <v/>
      </c>
      <c r="G482" s="38">
        <f>ROUND((IF(22&lt;=2,$AD$413,$AD$413+(22-2)*$AE$413))*(1+$C$6),2)+ROUND(ROUND((IF(22&lt;=2,$AD$413,$AD$413+(22-2)*$AE$413))*(1+$C$6),2)*(IF($G$6="YES",$E$6,0)+IF($K$6="YES",$I$6,0)),2)+(22*$E$8*IF($C$8="YES",1,0))</f>
        <v/>
      </c>
      <c r="H482" s="39">
        <f>ROUND((IF(22&lt;=2,$AD$414,$AD$414+(22-2)*$AE$414))*(1+$C$6),2)+ROUND(ROUND((IF(22&lt;=2,$AD$414,$AD$414+(22-2)*$AE$414))*(1+$C$6),2)*(IF($G$6="YES",$E$6,0)+IF($K$6="YES",$I$6,0)),2)</f>
        <v/>
      </c>
    </row>
    <row r="483">
      <c r="B483" s="37" t="n">
        <v>23</v>
      </c>
      <c r="C483" s="38">
        <f>ROUND((IF(23&lt;=15,$AD$409,$AD$409+(23-15)*$AE$409))*(1+$C$6),2)+ROUND(ROUND((IF(23&lt;=15,$AD$409,$AD$409+(23-15)*$AE$409))*(1+$C$6),2)*(IF($G$6="YES",$E$6,0)+IF($K$6="YES",$I$6,0)),2)</f>
        <v/>
      </c>
      <c r="D483" s="38">
        <f>ROUND((IF(23&lt;=15,$AD$410,$AD$410+(23-15)*$AE$410))*(1+$C$6),2)+ROUND(ROUND((IF(23&lt;=15,$AD$410,$AD$410+(23-15)*$AE$410))*(1+$C$6),2)*(IF($G$6="YES",$E$6,0)+IF($K$6="YES",$I$6,0)),2)</f>
        <v/>
      </c>
      <c r="E483" s="38">
        <f>ROUND((IF(23&lt;=15,$AD$411,IF(23&lt;=35,$AD$411+(23-15)*$AE$411,$AG$411+(23-35)*$AF$411)))*(1+$C$6),2)+ROUND(ROUND((IF(23&lt;=15,$AD$411,IF(23&lt;=35,$AD$411+(23-15)*$AE$411,$AG$411+(23-35)*$AF$411)))*(1+$C$6),2)*(IF($G$6="YES",$E$6,0)+IF($K$6="YES",$I$6,0)),2)</f>
        <v/>
      </c>
      <c r="F483" s="38">
        <f>ROUND((IF(23&lt;=15,$AD$412,IF(23&lt;=35,$AD$412+(23-15)*$AE$412,$AG$412+(23-35)*$AF$412)))*(1+$C$6),2)+ROUND(ROUND((IF(23&lt;=15,$AD$412,IF(23&lt;=35,$AD$412+(23-15)*$AE$412,$AG$412+(23-35)*$AF$412)))*(1+$C$6),2)*(IF($G$6="YES",$E$6,0)+IF($K$6="YES",$I$6,0)),2)</f>
        <v/>
      </c>
      <c r="G483" s="38">
        <f>ROUND((IF(23&lt;=2,$AD$413,$AD$413+(23-2)*$AE$413))*(1+$C$6),2)+ROUND(ROUND((IF(23&lt;=2,$AD$413,$AD$413+(23-2)*$AE$413))*(1+$C$6),2)*(IF($G$6="YES",$E$6,0)+IF($K$6="YES",$I$6,0)),2)+(23*$E$8*IF($C$8="YES",1,0))</f>
        <v/>
      </c>
      <c r="H483" s="39">
        <f>ROUND((IF(23&lt;=2,$AD$414,$AD$414+(23-2)*$AE$414))*(1+$C$6),2)+ROUND(ROUND((IF(23&lt;=2,$AD$414,$AD$414+(23-2)*$AE$414))*(1+$C$6),2)*(IF($G$6="YES",$E$6,0)+IF($K$6="YES",$I$6,0)),2)</f>
        <v/>
      </c>
    </row>
    <row r="484">
      <c r="B484" s="37" t="n">
        <v>24</v>
      </c>
      <c r="C484" s="38">
        <f>ROUND((IF(24&lt;=15,$AD$409,$AD$409+(24-15)*$AE$409))*(1+$C$6),2)+ROUND(ROUND((IF(24&lt;=15,$AD$409,$AD$409+(24-15)*$AE$409))*(1+$C$6),2)*(IF($G$6="YES",$E$6,0)+IF($K$6="YES",$I$6,0)),2)</f>
        <v/>
      </c>
      <c r="D484" s="38">
        <f>ROUND((IF(24&lt;=15,$AD$410,$AD$410+(24-15)*$AE$410))*(1+$C$6),2)+ROUND(ROUND((IF(24&lt;=15,$AD$410,$AD$410+(24-15)*$AE$410))*(1+$C$6),2)*(IF($G$6="YES",$E$6,0)+IF($K$6="YES",$I$6,0)),2)</f>
        <v/>
      </c>
      <c r="E484" s="38">
        <f>ROUND((IF(24&lt;=15,$AD$411,IF(24&lt;=35,$AD$411+(24-15)*$AE$411,$AG$411+(24-35)*$AF$411)))*(1+$C$6),2)+ROUND(ROUND((IF(24&lt;=15,$AD$411,IF(24&lt;=35,$AD$411+(24-15)*$AE$411,$AG$411+(24-35)*$AF$411)))*(1+$C$6),2)*(IF($G$6="YES",$E$6,0)+IF($K$6="YES",$I$6,0)),2)</f>
        <v/>
      </c>
      <c r="F484" s="38">
        <f>ROUND((IF(24&lt;=15,$AD$412,IF(24&lt;=35,$AD$412+(24-15)*$AE$412,$AG$412+(24-35)*$AF$412)))*(1+$C$6),2)+ROUND(ROUND((IF(24&lt;=15,$AD$412,IF(24&lt;=35,$AD$412+(24-15)*$AE$412,$AG$412+(24-35)*$AF$412)))*(1+$C$6),2)*(IF($G$6="YES",$E$6,0)+IF($K$6="YES",$I$6,0)),2)</f>
        <v/>
      </c>
      <c r="G484" s="38">
        <f>ROUND((IF(24&lt;=2,$AD$413,$AD$413+(24-2)*$AE$413))*(1+$C$6),2)+ROUND(ROUND((IF(24&lt;=2,$AD$413,$AD$413+(24-2)*$AE$413))*(1+$C$6),2)*(IF($G$6="YES",$E$6,0)+IF($K$6="YES",$I$6,0)),2)+(24*$E$8*IF($C$8="YES",1,0))</f>
        <v/>
      </c>
      <c r="H484" s="39">
        <f>ROUND((IF(24&lt;=2,$AD$414,$AD$414+(24-2)*$AE$414))*(1+$C$6),2)+ROUND(ROUND((IF(24&lt;=2,$AD$414,$AD$414+(24-2)*$AE$414))*(1+$C$6),2)*(IF($G$6="YES",$E$6,0)+IF($K$6="YES",$I$6,0)),2)</f>
        <v/>
      </c>
    </row>
    <row r="485">
      <c r="B485" s="37" t="n">
        <v>25</v>
      </c>
      <c r="C485" s="38">
        <f>ROUND((IF(25&lt;=15,$AD$409,$AD$409+(25-15)*$AE$409))*(1+$C$6),2)+ROUND(ROUND((IF(25&lt;=15,$AD$409,$AD$409+(25-15)*$AE$409))*(1+$C$6),2)*(IF($G$6="YES",$E$6,0)+IF($K$6="YES",$I$6,0)),2)</f>
        <v/>
      </c>
      <c r="D485" s="38">
        <f>ROUND((IF(25&lt;=15,$AD$410,$AD$410+(25-15)*$AE$410))*(1+$C$6),2)+ROUND(ROUND((IF(25&lt;=15,$AD$410,$AD$410+(25-15)*$AE$410))*(1+$C$6),2)*(IF($G$6="YES",$E$6,0)+IF($K$6="YES",$I$6,0)),2)</f>
        <v/>
      </c>
      <c r="E485" s="38">
        <f>ROUND((IF(25&lt;=15,$AD$411,IF(25&lt;=35,$AD$411+(25-15)*$AE$411,$AG$411+(25-35)*$AF$411)))*(1+$C$6),2)+ROUND(ROUND((IF(25&lt;=15,$AD$411,IF(25&lt;=35,$AD$411+(25-15)*$AE$411,$AG$411+(25-35)*$AF$411)))*(1+$C$6),2)*(IF($G$6="YES",$E$6,0)+IF($K$6="YES",$I$6,0)),2)</f>
        <v/>
      </c>
      <c r="F485" s="38">
        <f>ROUND((IF(25&lt;=15,$AD$412,IF(25&lt;=35,$AD$412+(25-15)*$AE$412,$AG$412+(25-35)*$AF$412)))*(1+$C$6),2)+ROUND(ROUND((IF(25&lt;=15,$AD$412,IF(25&lt;=35,$AD$412+(25-15)*$AE$412,$AG$412+(25-35)*$AF$412)))*(1+$C$6),2)*(IF($G$6="YES",$E$6,0)+IF($K$6="YES",$I$6,0)),2)</f>
        <v/>
      </c>
      <c r="G485" s="38">
        <f>ROUND((IF(25&lt;=2,$AD$413,$AD$413+(25-2)*$AE$413))*(1+$C$6),2)+ROUND(ROUND((IF(25&lt;=2,$AD$413,$AD$413+(25-2)*$AE$413))*(1+$C$6),2)*(IF($G$6="YES",$E$6,0)+IF($K$6="YES",$I$6,0)),2)+(25*$E$8*IF($C$8="YES",1,0))</f>
        <v/>
      </c>
      <c r="H485" s="39">
        <f>ROUND((IF(25&lt;=2,$AD$414,$AD$414+(25-2)*$AE$414))*(1+$C$6),2)+ROUND(ROUND((IF(25&lt;=2,$AD$414,$AD$414+(25-2)*$AE$414))*(1+$C$6),2)*(IF($G$6="YES",$E$6,0)+IF($K$6="YES",$I$6,0)),2)</f>
        <v/>
      </c>
    </row>
    <row r="486">
      <c r="B486" s="40" t="n">
        <v>26</v>
      </c>
      <c r="C486" s="41">
        <f>ROUND((IF(26&lt;=15,$AD$409,$AD$409+(26-15)*$AE$409))*(1+$C$6),2)+ROUND(ROUND((IF(26&lt;=15,$AD$409,$AD$409+(26-15)*$AE$409))*(1+$C$6),2)*(IF($G$6="YES",$E$6,0)+IF($K$6="YES",$I$6,0)),2)</f>
        <v/>
      </c>
      <c r="D486" s="41">
        <f>ROUND((IF(26&lt;=15,$AD$410,$AD$410+(26-15)*$AE$410))*(1+$C$6),2)+ROUND(ROUND((IF(26&lt;=15,$AD$410,$AD$410+(26-15)*$AE$410))*(1+$C$6),2)*(IF($G$6="YES",$E$6,0)+IF($K$6="YES",$I$6,0)),2)</f>
        <v/>
      </c>
      <c r="E486" s="41">
        <f>ROUND((IF(26&lt;=15,$AD$411,IF(26&lt;=35,$AD$411+(26-15)*$AE$411,$AG$411+(26-35)*$AF$411)))*(1+$C$6),2)+ROUND(ROUND((IF(26&lt;=15,$AD$411,IF(26&lt;=35,$AD$411+(26-15)*$AE$411,$AG$411+(26-35)*$AF$411)))*(1+$C$6),2)*(IF($G$6="YES",$E$6,0)+IF($K$6="YES",$I$6,0)),2)</f>
        <v/>
      </c>
      <c r="F486" s="41">
        <f>ROUND((IF(26&lt;=15,$AD$412,IF(26&lt;=35,$AD$412+(26-15)*$AE$412,$AG$412+(26-35)*$AF$412)))*(1+$C$6),2)+ROUND(ROUND((IF(26&lt;=15,$AD$412,IF(26&lt;=35,$AD$412+(26-15)*$AE$412,$AG$412+(26-35)*$AF$412)))*(1+$C$6),2)*(IF($G$6="YES",$E$6,0)+IF($K$6="YES",$I$6,0)),2)</f>
        <v/>
      </c>
      <c r="G486" s="41">
        <f>ROUND((IF(26&lt;=2,$AD$413,$AD$413+(26-2)*$AE$413))*(1+$C$6),2)+ROUND(ROUND((IF(26&lt;=2,$AD$413,$AD$413+(26-2)*$AE$413))*(1+$C$6),2)*(IF($G$6="YES",$E$6,0)+IF($K$6="YES",$I$6,0)),2)+(26*$E$8*IF($C$8="YES",1,0))</f>
        <v/>
      </c>
      <c r="H486" s="42">
        <f>ROUND((IF(26&lt;=2,$AD$414,$AD$414+(26-2)*$AE$414))*(1+$C$6),2)+ROUND(ROUND((IF(26&lt;=2,$AD$414,$AD$414+(26-2)*$AE$414))*(1+$C$6),2)*(IF($G$6="YES",$E$6,0)+IF($K$6="YES",$I$6,0)),2)</f>
        <v/>
      </c>
    </row>
    <row r="487">
      <c r="B487" s="40" t="n">
        <v>27</v>
      </c>
      <c r="C487" s="41">
        <f>ROUND((IF(27&lt;=15,$AD$409,$AD$409+(27-15)*$AE$409))*(1+$C$6),2)+ROUND(ROUND((IF(27&lt;=15,$AD$409,$AD$409+(27-15)*$AE$409))*(1+$C$6),2)*(IF($G$6="YES",$E$6,0)+IF($K$6="YES",$I$6,0)),2)</f>
        <v/>
      </c>
      <c r="D487" s="41">
        <f>ROUND((IF(27&lt;=15,$AD$410,$AD$410+(27-15)*$AE$410))*(1+$C$6),2)+ROUND(ROUND((IF(27&lt;=15,$AD$410,$AD$410+(27-15)*$AE$410))*(1+$C$6),2)*(IF($G$6="YES",$E$6,0)+IF($K$6="YES",$I$6,0)),2)</f>
        <v/>
      </c>
      <c r="E487" s="41">
        <f>ROUND((IF(27&lt;=15,$AD$411,IF(27&lt;=35,$AD$411+(27-15)*$AE$411,$AG$411+(27-35)*$AF$411)))*(1+$C$6),2)+ROUND(ROUND((IF(27&lt;=15,$AD$411,IF(27&lt;=35,$AD$411+(27-15)*$AE$411,$AG$411+(27-35)*$AF$411)))*(1+$C$6),2)*(IF($G$6="YES",$E$6,0)+IF($K$6="YES",$I$6,0)),2)</f>
        <v/>
      </c>
      <c r="F487" s="41">
        <f>ROUND((IF(27&lt;=15,$AD$412,IF(27&lt;=35,$AD$412+(27-15)*$AE$412,$AG$412+(27-35)*$AF$412)))*(1+$C$6),2)+ROUND(ROUND((IF(27&lt;=15,$AD$412,IF(27&lt;=35,$AD$412+(27-15)*$AE$412,$AG$412+(27-35)*$AF$412)))*(1+$C$6),2)*(IF($G$6="YES",$E$6,0)+IF($K$6="YES",$I$6,0)),2)</f>
        <v/>
      </c>
      <c r="G487" s="41">
        <f>ROUND((IF(27&lt;=2,$AD$413,$AD$413+(27-2)*$AE$413))*(1+$C$6),2)+ROUND(ROUND((IF(27&lt;=2,$AD$413,$AD$413+(27-2)*$AE$413))*(1+$C$6),2)*(IF($G$6="YES",$E$6,0)+IF($K$6="YES",$I$6,0)),2)+(27*$E$8*IF($C$8="YES",1,0))</f>
        <v/>
      </c>
      <c r="H487" s="42">
        <f>ROUND((IF(27&lt;=2,$AD$414,$AD$414+(27-2)*$AE$414))*(1+$C$6),2)+ROUND(ROUND((IF(27&lt;=2,$AD$414,$AD$414+(27-2)*$AE$414))*(1+$C$6),2)*(IF($G$6="YES",$E$6,0)+IF($K$6="YES",$I$6,0)),2)</f>
        <v/>
      </c>
    </row>
    <row r="488">
      <c r="B488" s="40" t="n">
        <v>28</v>
      </c>
      <c r="C488" s="41">
        <f>ROUND((IF(28&lt;=15,$AD$409,$AD$409+(28-15)*$AE$409))*(1+$C$6),2)+ROUND(ROUND((IF(28&lt;=15,$AD$409,$AD$409+(28-15)*$AE$409))*(1+$C$6),2)*(IF($G$6="YES",$E$6,0)+IF($K$6="YES",$I$6,0)),2)</f>
        <v/>
      </c>
      <c r="D488" s="41">
        <f>ROUND((IF(28&lt;=15,$AD$410,$AD$410+(28-15)*$AE$410))*(1+$C$6),2)+ROUND(ROUND((IF(28&lt;=15,$AD$410,$AD$410+(28-15)*$AE$410))*(1+$C$6),2)*(IF($G$6="YES",$E$6,0)+IF($K$6="YES",$I$6,0)),2)</f>
        <v/>
      </c>
      <c r="E488" s="41">
        <f>ROUND((IF(28&lt;=15,$AD$411,IF(28&lt;=35,$AD$411+(28-15)*$AE$411,$AG$411+(28-35)*$AF$411)))*(1+$C$6),2)+ROUND(ROUND((IF(28&lt;=15,$AD$411,IF(28&lt;=35,$AD$411+(28-15)*$AE$411,$AG$411+(28-35)*$AF$411)))*(1+$C$6),2)*(IF($G$6="YES",$E$6,0)+IF($K$6="YES",$I$6,0)),2)</f>
        <v/>
      </c>
      <c r="F488" s="41">
        <f>ROUND((IF(28&lt;=15,$AD$412,IF(28&lt;=35,$AD$412+(28-15)*$AE$412,$AG$412+(28-35)*$AF$412)))*(1+$C$6),2)+ROUND(ROUND((IF(28&lt;=15,$AD$412,IF(28&lt;=35,$AD$412+(28-15)*$AE$412,$AG$412+(28-35)*$AF$412)))*(1+$C$6),2)*(IF($G$6="YES",$E$6,0)+IF($K$6="YES",$I$6,0)),2)</f>
        <v/>
      </c>
      <c r="G488" s="41">
        <f>ROUND((IF(28&lt;=2,$AD$413,$AD$413+(28-2)*$AE$413))*(1+$C$6),2)+ROUND(ROUND((IF(28&lt;=2,$AD$413,$AD$413+(28-2)*$AE$413))*(1+$C$6),2)*(IF($G$6="YES",$E$6,0)+IF($K$6="YES",$I$6,0)),2)+(28*$E$8*IF($C$8="YES",1,0))</f>
        <v/>
      </c>
      <c r="H488" s="42">
        <f>ROUND((IF(28&lt;=2,$AD$414,$AD$414+(28-2)*$AE$414))*(1+$C$6),2)+ROUND(ROUND((IF(28&lt;=2,$AD$414,$AD$414+(28-2)*$AE$414))*(1+$C$6),2)*(IF($G$6="YES",$E$6,0)+IF($K$6="YES",$I$6,0)),2)</f>
        <v/>
      </c>
    </row>
    <row r="489">
      <c r="B489" s="40" t="n">
        <v>29</v>
      </c>
      <c r="C489" s="41">
        <f>ROUND((IF(29&lt;=15,$AD$409,$AD$409+(29-15)*$AE$409))*(1+$C$6),2)+ROUND(ROUND((IF(29&lt;=15,$AD$409,$AD$409+(29-15)*$AE$409))*(1+$C$6),2)*(IF($G$6="YES",$E$6,0)+IF($K$6="YES",$I$6,0)),2)</f>
        <v/>
      </c>
      <c r="D489" s="41">
        <f>ROUND((IF(29&lt;=15,$AD$410,$AD$410+(29-15)*$AE$410))*(1+$C$6),2)+ROUND(ROUND((IF(29&lt;=15,$AD$410,$AD$410+(29-15)*$AE$410))*(1+$C$6),2)*(IF($G$6="YES",$E$6,0)+IF($K$6="YES",$I$6,0)),2)</f>
        <v/>
      </c>
      <c r="E489" s="41">
        <f>ROUND((IF(29&lt;=15,$AD$411,IF(29&lt;=35,$AD$411+(29-15)*$AE$411,$AG$411+(29-35)*$AF$411)))*(1+$C$6),2)+ROUND(ROUND((IF(29&lt;=15,$AD$411,IF(29&lt;=35,$AD$411+(29-15)*$AE$411,$AG$411+(29-35)*$AF$411)))*(1+$C$6),2)*(IF($G$6="YES",$E$6,0)+IF($K$6="YES",$I$6,0)),2)</f>
        <v/>
      </c>
      <c r="F489" s="41">
        <f>ROUND((IF(29&lt;=15,$AD$412,IF(29&lt;=35,$AD$412+(29-15)*$AE$412,$AG$412+(29-35)*$AF$412)))*(1+$C$6),2)+ROUND(ROUND((IF(29&lt;=15,$AD$412,IF(29&lt;=35,$AD$412+(29-15)*$AE$412,$AG$412+(29-35)*$AF$412)))*(1+$C$6),2)*(IF($G$6="YES",$E$6,0)+IF($K$6="YES",$I$6,0)),2)</f>
        <v/>
      </c>
      <c r="G489" s="41">
        <f>ROUND((IF(29&lt;=2,$AD$413,$AD$413+(29-2)*$AE$413))*(1+$C$6),2)+ROUND(ROUND((IF(29&lt;=2,$AD$413,$AD$413+(29-2)*$AE$413))*(1+$C$6),2)*(IF($G$6="YES",$E$6,0)+IF($K$6="YES",$I$6,0)),2)+(29*$E$8*IF($C$8="YES",1,0))</f>
        <v/>
      </c>
      <c r="H489" s="42">
        <f>ROUND((IF(29&lt;=2,$AD$414,$AD$414+(29-2)*$AE$414))*(1+$C$6),2)+ROUND(ROUND((IF(29&lt;=2,$AD$414,$AD$414+(29-2)*$AE$414))*(1+$C$6),2)*(IF($G$6="YES",$E$6,0)+IF($K$6="YES",$I$6,0)),2)</f>
        <v/>
      </c>
    </row>
    <row r="490">
      <c r="B490" s="40" t="n">
        <v>30</v>
      </c>
      <c r="C490" s="41">
        <f>ROUND((IF(30&lt;=15,$AD$409,$AD$409+(30-15)*$AE$409))*(1+$C$6),2)+ROUND(ROUND((IF(30&lt;=15,$AD$409,$AD$409+(30-15)*$AE$409))*(1+$C$6),2)*(IF($G$6="YES",$E$6,0)+IF($K$6="YES",$I$6,0)),2)</f>
        <v/>
      </c>
      <c r="D490" s="41">
        <f>ROUND((IF(30&lt;=15,$AD$410,$AD$410+(30-15)*$AE$410))*(1+$C$6),2)+ROUND(ROUND((IF(30&lt;=15,$AD$410,$AD$410+(30-15)*$AE$410))*(1+$C$6),2)*(IF($G$6="YES",$E$6,0)+IF($K$6="YES",$I$6,0)),2)</f>
        <v/>
      </c>
      <c r="E490" s="41">
        <f>ROUND((IF(30&lt;=15,$AD$411,IF(30&lt;=35,$AD$411+(30-15)*$AE$411,$AG$411+(30-35)*$AF$411)))*(1+$C$6),2)+ROUND(ROUND((IF(30&lt;=15,$AD$411,IF(30&lt;=35,$AD$411+(30-15)*$AE$411,$AG$411+(30-35)*$AF$411)))*(1+$C$6),2)*(IF($G$6="YES",$E$6,0)+IF($K$6="YES",$I$6,0)),2)</f>
        <v/>
      </c>
      <c r="F490" s="41">
        <f>ROUND((IF(30&lt;=15,$AD$412,IF(30&lt;=35,$AD$412+(30-15)*$AE$412,$AG$412+(30-35)*$AF$412)))*(1+$C$6),2)+ROUND(ROUND((IF(30&lt;=15,$AD$412,IF(30&lt;=35,$AD$412+(30-15)*$AE$412,$AG$412+(30-35)*$AF$412)))*(1+$C$6),2)*(IF($G$6="YES",$E$6,0)+IF($K$6="YES",$I$6,0)),2)</f>
        <v/>
      </c>
      <c r="G490" s="41">
        <f>ROUND((IF(30&lt;=2,$AD$413,$AD$413+(30-2)*$AE$413))*(1+$C$6),2)+ROUND(ROUND((IF(30&lt;=2,$AD$413,$AD$413+(30-2)*$AE$413))*(1+$C$6),2)*(IF($G$6="YES",$E$6,0)+IF($K$6="YES",$I$6,0)),2)+(30*$E$8*IF($C$8="YES",1,0))</f>
        <v/>
      </c>
      <c r="H490" s="42">
        <f>ROUND((IF(30&lt;=2,$AD$414,$AD$414+(30-2)*$AE$414))*(1+$C$6),2)+ROUND(ROUND((IF(30&lt;=2,$AD$414,$AD$414+(30-2)*$AE$414))*(1+$C$6),2)*(IF($G$6="YES",$E$6,0)+IF($K$6="YES",$I$6,0)),2)</f>
        <v/>
      </c>
    </row>
    <row r="491">
      <c r="B491" s="37" t="n">
        <v>31</v>
      </c>
      <c r="C491" s="38">
        <f>ROUND((IF(31&lt;=15,$AD$409,$AD$409+(31-15)*$AE$409))*(1+$C$6),2)+ROUND(ROUND((IF(31&lt;=15,$AD$409,$AD$409+(31-15)*$AE$409))*(1+$C$6),2)*(IF($G$6="YES",$E$6,0)+IF($K$6="YES",$I$6,0)),2)</f>
        <v/>
      </c>
      <c r="D491" s="38">
        <f>ROUND((IF(31&lt;=15,$AD$410,$AD$410+(31-15)*$AE$410))*(1+$C$6),2)+ROUND(ROUND((IF(31&lt;=15,$AD$410,$AD$410+(31-15)*$AE$410))*(1+$C$6),2)*(IF($G$6="YES",$E$6,0)+IF($K$6="YES",$I$6,0)),2)</f>
        <v/>
      </c>
      <c r="E491" s="38">
        <f>ROUND((IF(31&lt;=15,$AD$411,IF(31&lt;=35,$AD$411+(31-15)*$AE$411,$AG$411+(31-35)*$AF$411)))*(1+$C$6),2)+ROUND(ROUND((IF(31&lt;=15,$AD$411,IF(31&lt;=35,$AD$411+(31-15)*$AE$411,$AG$411+(31-35)*$AF$411)))*(1+$C$6),2)*(IF($G$6="YES",$E$6,0)+IF($K$6="YES",$I$6,0)),2)</f>
        <v/>
      </c>
      <c r="F491" s="38">
        <f>ROUND((IF(31&lt;=15,$AD$412,IF(31&lt;=35,$AD$412+(31-15)*$AE$412,$AG$412+(31-35)*$AF$412)))*(1+$C$6),2)+ROUND(ROUND((IF(31&lt;=15,$AD$412,IF(31&lt;=35,$AD$412+(31-15)*$AE$412,$AG$412+(31-35)*$AF$412)))*(1+$C$6),2)*(IF($G$6="YES",$E$6,0)+IF($K$6="YES",$I$6,0)),2)</f>
        <v/>
      </c>
      <c r="G491" s="38">
        <f>ROUND((IF(31&lt;=2,$AD$413,$AD$413+(31-2)*$AE$413))*(1+$C$6),2)+ROUND(ROUND((IF(31&lt;=2,$AD$413,$AD$413+(31-2)*$AE$413))*(1+$C$6),2)*(IF($G$6="YES",$E$6,0)+IF($K$6="YES",$I$6,0)),2)+(31*$E$8*IF($C$8="YES",1,0))</f>
        <v/>
      </c>
      <c r="H491" s="39">
        <f>ROUND((IF(31&lt;=2,$AD$414,$AD$414+(31-2)*$AE$414))*(1+$C$6),2)+ROUND(ROUND((IF(31&lt;=2,$AD$414,$AD$414+(31-2)*$AE$414))*(1+$C$6),2)*(IF($G$6="YES",$E$6,0)+IF($K$6="YES",$I$6,0)),2)</f>
        <v/>
      </c>
    </row>
    <row r="492">
      <c r="B492" s="37" t="n">
        <v>32</v>
      </c>
      <c r="C492" s="38">
        <f>ROUND((IF(32&lt;=15,$AD$409,$AD$409+(32-15)*$AE$409))*(1+$C$6),2)+ROUND(ROUND((IF(32&lt;=15,$AD$409,$AD$409+(32-15)*$AE$409))*(1+$C$6),2)*(IF($G$6="YES",$E$6,0)+IF($K$6="YES",$I$6,0)),2)</f>
        <v/>
      </c>
      <c r="D492" s="38">
        <f>ROUND((IF(32&lt;=15,$AD$410,$AD$410+(32-15)*$AE$410))*(1+$C$6),2)+ROUND(ROUND((IF(32&lt;=15,$AD$410,$AD$410+(32-15)*$AE$410))*(1+$C$6),2)*(IF($G$6="YES",$E$6,0)+IF($K$6="YES",$I$6,0)),2)</f>
        <v/>
      </c>
      <c r="E492" s="38">
        <f>ROUND((IF(32&lt;=15,$AD$411,IF(32&lt;=35,$AD$411+(32-15)*$AE$411,$AG$411+(32-35)*$AF$411)))*(1+$C$6),2)+ROUND(ROUND((IF(32&lt;=15,$AD$411,IF(32&lt;=35,$AD$411+(32-15)*$AE$411,$AG$411+(32-35)*$AF$411)))*(1+$C$6),2)*(IF($G$6="YES",$E$6,0)+IF($K$6="YES",$I$6,0)),2)</f>
        <v/>
      </c>
      <c r="F492" s="38">
        <f>ROUND((IF(32&lt;=15,$AD$412,IF(32&lt;=35,$AD$412+(32-15)*$AE$412,$AG$412+(32-35)*$AF$412)))*(1+$C$6),2)+ROUND(ROUND((IF(32&lt;=15,$AD$412,IF(32&lt;=35,$AD$412+(32-15)*$AE$412,$AG$412+(32-35)*$AF$412)))*(1+$C$6),2)*(IF($G$6="YES",$E$6,0)+IF($K$6="YES",$I$6,0)),2)</f>
        <v/>
      </c>
      <c r="G492" s="38">
        <f>ROUND((IF(32&lt;=2,$AD$413,$AD$413+(32-2)*$AE$413))*(1+$C$6),2)+ROUND(ROUND((IF(32&lt;=2,$AD$413,$AD$413+(32-2)*$AE$413))*(1+$C$6),2)*(IF($G$6="YES",$E$6,0)+IF($K$6="YES",$I$6,0)),2)+(32*$E$8*IF($C$8="YES",1,0))</f>
        <v/>
      </c>
      <c r="H492" s="39">
        <f>ROUND((IF(32&lt;=2,$AD$414,$AD$414+(32-2)*$AE$414))*(1+$C$6),2)+ROUND(ROUND((IF(32&lt;=2,$AD$414,$AD$414+(32-2)*$AE$414))*(1+$C$6),2)*(IF($G$6="YES",$E$6,0)+IF($K$6="YES",$I$6,0)),2)</f>
        <v/>
      </c>
    </row>
    <row r="493">
      <c r="B493" s="37" t="n">
        <v>33</v>
      </c>
      <c r="C493" s="38">
        <f>ROUND((IF(33&lt;=15,$AD$409,$AD$409+(33-15)*$AE$409))*(1+$C$6),2)+ROUND(ROUND((IF(33&lt;=15,$AD$409,$AD$409+(33-15)*$AE$409))*(1+$C$6),2)*(IF($G$6="YES",$E$6,0)+IF($K$6="YES",$I$6,0)),2)</f>
        <v/>
      </c>
      <c r="D493" s="38">
        <f>ROUND((IF(33&lt;=15,$AD$410,$AD$410+(33-15)*$AE$410))*(1+$C$6),2)+ROUND(ROUND((IF(33&lt;=15,$AD$410,$AD$410+(33-15)*$AE$410))*(1+$C$6),2)*(IF($G$6="YES",$E$6,0)+IF($K$6="YES",$I$6,0)),2)</f>
        <v/>
      </c>
      <c r="E493" s="38">
        <f>ROUND((IF(33&lt;=15,$AD$411,IF(33&lt;=35,$AD$411+(33-15)*$AE$411,$AG$411+(33-35)*$AF$411)))*(1+$C$6),2)+ROUND(ROUND((IF(33&lt;=15,$AD$411,IF(33&lt;=35,$AD$411+(33-15)*$AE$411,$AG$411+(33-35)*$AF$411)))*(1+$C$6),2)*(IF($G$6="YES",$E$6,0)+IF($K$6="YES",$I$6,0)),2)</f>
        <v/>
      </c>
      <c r="F493" s="38">
        <f>ROUND((IF(33&lt;=15,$AD$412,IF(33&lt;=35,$AD$412+(33-15)*$AE$412,$AG$412+(33-35)*$AF$412)))*(1+$C$6),2)+ROUND(ROUND((IF(33&lt;=15,$AD$412,IF(33&lt;=35,$AD$412+(33-15)*$AE$412,$AG$412+(33-35)*$AF$412)))*(1+$C$6),2)*(IF($G$6="YES",$E$6,0)+IF($K$6="YES",$I$6,0)),2)</f>
        <v/>
      </c>
      <c r="G493" s="38">
        <f>ROUND((IF(33&lt;=2,$AD$413,$AD$413+(33-2)*$AE$413))*(1+$C$6),2)+ROUND(ROUND((IF(33&lt;=2,$AD$413,$AD$413+(33-2)*$AE$413))*(1+$C$6),2)*(IF($G$6="YES",$E$6,0)+IF($K$6="YES",$I$6,0)),2)+(33*$E$8*IF($C$8="YES",1,0))</f>
        <v/>
      </c>
      <c r="H493" s="39">
        <f>ROUND((IF(33&lt;=2,$AD$414,$AD$414+(33-2)*$AE$414))*(1+$C$6),2)+ROUND(ROUND((IF(33&lt;=2,$AD$414,$AD$414+(33-2)*$AE$414))*(1+$C$6),2)*(IF($G$6="YES",$E$6,0)+IF($K$6="YES",$I$6,0)),2)</f>
        <v/>
      </c>
    </row>
    <row r="494">
      <c r="B494" s="37" t="n">
        <v>34</v>
      </c>
      <c r="C494" s="38">
        <f>ROUND((IF(34&lt;=15,$AD$409,$AD$409+(34-15)*$AE$409))*(1+$C$6),2)+ROUND(ROUND((IF(34&lt;=15,$AD$409,$AD$409+(34-15)*$AE$409))*(1+$C$6),2)*(IF($G$6="YES",$E$6,0)+IF($K$6="YES",$I$6,0)),2)</f>
        <v/>
      </c>
      <c r="D494" s="38">
        <f>ROUND((IF(34&lt;=15,$AD$410,$AD$410+(34-15)*$AE$410))*(1+$C$6),2)+ROUND(ROUND((IF(34&lt;=15,$AD$410,$AD$410+(34-15)*$AE$410))*(1+$C$6),2)*(IF($G$6="YES",$E$6,0)+IF($K$6="YES",$I$6,0)),2)</f>
        <v/>
      </c>
      <c r="E494" s="38">
        <f>ROUND((IF(34&lt;=15,$AD$411,IF(34&lt;=35,$AD$411+(34-15)*$AE$411,$AG$411+(34-35)*$AF$411)))*(1+$C$6),2)+ROUND(ROUND((IF(34&lt;=15,$AD$411,IF(34&lt;=35,$AD$411+(34-15)*$AE$411,$AG$411+(34-35)*$AF$411)))*(1+$C$6),2)*(IF($G$6="YES",$E$6,0)+IF($K$6="YES",$I$6,0)),2)</f>
        <v/>
      </c>
      <c r="F494" s="38">
        <f>ROUND((IF(34&lt;=15,$AD$412,IF(34&lt;=35,$AD$412+(34-15)*$AE$412,$AG$412+(34-35)*$AF$412)))*(1+$C$6),2)+ROUND(ROUND((IF(34&lt;=15,$AD$412,IF(34&lt;=35,$AD$412+(34-15)*$AE$412,$AG$412+(34-35)*$AF$412)))*(1+$C$6),2)*(IF($G$6="YES",$E$6,0)+IF($K$6="YES",$I$6,0)),2)</f>
        <v/>
      </c>
      <c r="G494" s="38">
        <f>ROUND((IF(34&lt;=2,$AD$413,$AD$413+(34-2)*$AE$413))*(1+$C$6),2)+ROUND(ROUND((IF(34&lt;=2,$AD$413,$AD$413+(34-2)*$AE$413))*(1+$C$6),2)*(IF($G$6="YES",$E$6,0)+IF($K$6="YES",$I$6,0)),2)+(34*$E$8*IF($C$8="YES",1,0))</f>
        <v/>
      </c>
      <c r="H494" s="39">
        <f>ROUND((IF(34&lt;=2,$AD$414,$AD$414+(34-2)*$AE$414))*(1+$C$6),2)+ROUND(ROUND((IF(34&lt;=2,$AD$414,$AD$414+(34-2)*$AE$414))*(1+$C$6),2)*(IF($G$6="YES",$E$6,0)+IF($K$6="YES",$I$6,0)),2)</f>
        <v/>
      </c>
    </row>
    <row r="495">
      <c r="B495" s="37" t="n">
        <v>35</v>
      </c>
      <c r="C495" s="38">
        <f>ROUND((IF(35&lt;=15,$AD$409,$AD$409+(35-15)*$AE$409))*(1+$C$6),2)+ROUND(ROUND((IF(35&lt;=15,$AD$409,$AD$409+(35-15)*$AE$409))*(1+$C$6),2)*(IF($G$6="YES",$E$6,0)+IF($K$6="YES",$I$6,0)),2)</f>
        <v/>
      </c>
      <c r="D495" s="38">
        <f>ROUND((IF(35&lt;=15,$AD$410,$AD$410+(35-15)*$AE$410))*(1+$C$6),2)+ROUND(ROUND((IF(35&lt;=15,$AD$410,$AD$410+(35-15)*$AE$410))*(1+$C$6),2)*(IF($G$6="YES",$E$6,0)+IF($K$6="YES",$I$6,0)),2)</f>
        <v/>
      </c>
      <c r="E495" s="38">
        <f>ROUND((IF(35&lt;=15,$AD$411,IF(35&lt;=35,$AD$411+(35-15)*$AE$411,$AG$411+(35-35)*$AF$411)))*(1+$C$6),2)+ROUND(ROUND((IF(35&lt;=15,$AD$411,IF(35&lt;=35,$AD$411+(35-15)*$AE$411,$AG$411+(35-35)*$AF$411)))*(1+$C$6),2)*(IF($G$6="YES",$E$6,0)+IF($K$6="YES",$I$6,0)),2)</f>
        <v/>
      </c>
      <c r="F495" s="38">
        <f>ROUND((IF(35&lt;=15,$AD$412,IF(35&lt;=35,$AD$412+(35-15)*$AE$412,$AG$412+(35-35)*$AF$412)))*(1+$C$6),2)+ROUND(ROUND((IF(35&lt;=15,$AD$412,IF(35&lt;=35,$AD$412+(35-15)*$AE$412,$AG$412+(35-35)*$AF$412)))*(1+$C$6),2)*(IF($G$6="YES",$E$6,0)+IF($K$6="YES",$I$6,0)),2)</f>
        <v/>
      </c>
      <c r="G495" s="38">
        <f>ROUND((IF(35&lt;=2,$AD$413,$AD$413+(35-2)*$AE$413))*(1+$C$6),2)+ROUND(ROUND((IF(35&lt;=2,$AD$413,$AD$413+(35-2)*$AE$413))*(1+$C$6),2)*(IF($G$6="YES",$E$6,0)+IF($K$6="YES",$I$6,0)),2)+(35*$E$8*IF($C$8="YES",1,0))</f>
        <v/>
      </c>
      <c r="H495" s="39">
        <f>ROUND((IF(35&lt;=2,$AD$414,$AD$414+(35-2)*$AE$414))*(1+$C$6),2)+ROUND(ROUND((IF(35&lt;=2,$AD$414,$AD$414+(35-2)*$AE$414))*(1+$C$6),2)*(IF($G$6="YES",$E$6,0)+IF($K$6="YES",$I$6,0)),2)</f>
        <v/>
      </c>
    </row>
    <row r="496">
      <c r="B496" s="40" t="n">
        <v>36</v>
      </c>
      <c r="C496" s="43" t="inlineStr">
        <is>
          <t>see ECO/R</t>
        </is>
      </c>
      <c r="D496" s="43" t="inlineStr">
        <is>
          <t>see ECO/R</t>
        </is>
      </c>
      <c r="E496" s="41">
        <f>ROUND((IF(36&lt;=15,$AD$411,IF(36&lt;=35,$AD$411+(36-15)*$AE$411,$AG$411+(36-35)*$AF$411)))*(1+$C$6),2)+ROUND(ROUND((IF(36&lt;=15,$AD$411,IF(36&lt;=35,$AD$411+(36-15)*$AE$411,$AG$411+(36-35)*$AF$411)))*(1+$C$6),2)*(IF($G$6="YES",$E$6,0)+IF($K$6="YES",$I$6,0)),2)</f>
        <v/>
      </c>
      <c r="F496" s="41">
        <f>ROUND((IF(36&lt;=15,$AD$412,IF(36&lt;=35,$AD$412+(36-15)*$AE$412,$AG$412+(36-35)*$AF$412)))*(1+$C$6),2)+ROUND(ROUND((IF(36&lt;=15,$AD$412,IF(36&lt;=35,$AD$412+(36-15)*$AE$412,$AG$412+(36-35)*$AF$412)))*(1+$C$6),2)*(IF($G$6="YES",$E$6,0)+IF($K$6="YES",$I$6,0)),2)</f>
        <v/>
      </c>
      <c r="G496" s="41">
        <f>ROUND((IF(36&lt;=2,$AD$413,$AD$413+(36-2)*$AE$413))*(1+$C$6),2)+ROUND(ROUND((IF(36&lt;=2,$AD$413,$AD$413+(36-2)*$AE$413))*(1+$C$6),2)*(IF($G$6="YES",$E$6,0)+IF($K$6="YES",$I$6,0)),2)+(36*$E$8*IF($C$8="YES",1,0))</f>
        <v/>
      </c>
      <c r="H496" s="42">
        <f>ROUND((IF(36&lt;=2,$AD$414,$AD$414+(36-2)*$AE$414))*(1+$C$6),2)+ROUND(ROUND((IF(36&lt;=2,$AD$414,$AD$414+(36-2)*$AE$414))*(1+$C$6),2)*(IF($G$6="YES",$E$6,0)+IF($K$6="YES",$I$6,0)),2)</f>
        <v/>
      </c>
    </row>
    <row r="497">
      <c r="B497" s="40" t="n">
        <v>37</v>
      </c>
      <c r="C497" s="43" t="inlineStr">
        <is>
          <t>see ECO/R</t>
        </is>
      </c>
      <c r="D497" s="43" t="inlineStr">
        <is>
          <t>see ECO/R</t>
        </is>
      </c>
      <c r="E497" s="41">
        <f>ROUND((IF(37&lt;=15,$AD$411,IF(37&lt;=35,$AD$411+(37-15)*$AE$411,$AG$411+(37-35)*$AF$411)))*(1+$C$6),2)+ROUND(ROUND((IF(37&lt;=15,$AD$411,IF(37&lt;=35,$AD$411+(37-15)*$AE$411,$AG$411+(37-35)*$AF$411)))*(1+$C$6),2)*(IF($G$6="YES",$E$6,0)+IF($K$6="YES",$I$6,0)),2)</f>
        <v/>
      </c>
      <c r="F497" s="41">
        <f>ROUND((IF(37&lt;=15,$AD$412,IF(37&lt;=35,$AD$412+(37-15)*$AE$412,$AG$412+(37-35)*$AF$412)))*(1+$C$6),2)+ROUND(ROUND((IF(37&lt;=15,$AD$412,IF(37&lt;=35,$AD$412+(37-15)*$AE$412,$AG$412+(37-35)*$AF$412)))*(1+$C$6),2)*(IF($G$6="YES",$E$6,0)+IF($K$6="YES",$I$6,0)),2)</f>
        <v/>
      </c>
      <c r="G497" s="41">
        <f>ROUND((IF(37&lt;=2,$AD$413,$AD$413+(37-2)*$AE$413))*(1+$C$6),2)+ROUND(ROUND((IF(37&lt;=2,$AD$413,$AD$413+(37-2)*$AE$413))*(1+$C$6),2)*(IF($G$6="YES",$E$6,0)+IF($K$6="YES",$I$6,0)),2)+(37*$E$8*IF($C$8="YES",1,0))</f>
        <v/>
      </c>
      <c r="H497" s="42">
        <f>ROUND((IF(37&lt;=2,$AD$414,$AD$414+(37-2)*$AE$414))*(1+$C$6),2)+ROUND(ROUND((IF(37&lt;=2,$AD$414,$AD$414+(37-2)*$AE$414))*(1+$C$6),2)*(IF($G$6="YES",$E$6,0)+IF($K$6="YES",$I$6,0)),2)</f>
        <v/>
      </c>
    </row>
    <row r="498">
      <c r="B498" s="40" t="n">
        <v>38</v>
      </c>
      <c r="C498" s="43" t="inlineStr">
        <is>
          <t>see ECO/R</t>
        </is>
      </c>
      <c r="D498" s="43" t="inlineStr">
        <is>
          <t>see ECO/R</t>
        </is>
      </c>
      <c r="E498" s="41">
        <f>ROUND((IF(38&lt;=15,$AD$411,IF(38&lt;=35,$AD$411+(38-15)*$AE$411,$AG$411+(38-35)*$AF$411)))*(1+$C$6),2)+ROUND(ROUND((IF(38&lt;=15,$AD$411,IF(38&lt;=35,$AD$411+(38-15)*$AE$411,$AG$411+(38-35)*$AF$411)))*(1+$C$6),2)*(IF($G$6="YES",$E$6,0)+IF($K$6="YES",$I$6,0)),2)</f>
        <v/>
      </c>
      <c r="F498" s="41">
        <f>ROUND((IF(38&lt;=15,$AD$412,IF(38&lt;=35,$AD$412+(38-15)*$AE$412,$AG$412+(38-35)*$AF$412)))*(1+$C$6),2)+ROUND(ROUND((IF(38&lt;=15,$AD$412,IF(38&lt;=35,$AD$412+(38-15)*$AE$412,$AG$412+(38-35)*$AF$412)))*(1+$C$6),2)*(IF($G$6="YES",$E$6,0)+IF($K$6="YES",$I$6,0)),2)</f>
        <v/>
      </c>
      <c r="G498" s="41">
        <f>ROUND((IF(38&lt;=2,$AD$413,$AD$413+(38-2)*$AE$413))*(1+$C$6),2)+ROUND(ROUND((IF(38&lt;=2,$AD$413,$AD$413+(38-2)*$AE$413))*(1+$C$6),2)*(IF($G$6="YES",$E$6,0)+IF($K$6="YES",$I$6,0)),2)+(38*$E$8*IF($C$8="YES",1,0))</f>
        <v/>
      </c>
      <c r="H498" s="42">
        <f>ROUND((IF(38&lt;=2,$AD$414,$AD$414+(38-2)*$AE$414))*(1+$C$6),2)+ROUND(ROUND((IF(38&lt;=2,$AD$414,$AD$414+(38-2)*$AE$414))*(1+$C$6),2)*(IF($G$6="YES",$E$6,0)+IF($K$6="YES",$I$6,0)),2)</f>
        <v/>
      </c>
    </row>
    <row r="499">
      <c r="B499" s="40" t="n">
        <v>39</v>
      </c>
      <c r="C499" s="43" t="inlineStr">
        <is>
          <t>see ECO/R</t>
        </is>
      </c>
      <c r="D499" s="43" t="inlineStr">
        <is>
          <t>see ECO/R</t>
        </is>
      </c>
      <c r="E499" s="41">
        <f>ROUND((IF(39&lt;=15,$AD$411,IF(39&lt;=35,$AD$411+(39-15)*$AE$411,$AG$411+(39-35)*$AF$411)))*(1+$C$6),2)+ROUND(ROUND((IF(39&lt;=15,$AD$411,IF(39&lt;=35,$AD$411+(39-15)*$AE$411,$AG$411+(39-35)*$AF$411)))*(1+$C$6),2)*(IF($G$6="YES",$E$6,0)+IF($K$6="YES",$I$6,0)),2)</f>
        <v/>
      </c>
      <c r="F499" s="41">
        <f>ROUND((IF(39&lt;=15,$AD$412,IF(39&lt;=35,$AD$412+(39-15)*$AE$412,$AG$412+(39-35)*$AF$412)))*(1+$C$6),2)+ROUND(ROUND((IF(39&lt;=15,$AD$412,IF(39&lt;=35,$AD$412+(39-15)*$AE$412,$AG$412+(39-35)*$AF$412)))*(1+$C$6),2)*(IF($G$6="YES",$E$6,0)+IF($K$6="YES",$I$6,0)),2)</f>
        <v/>
      </c>
      <c r="G499" s="41">
        <f>ROUND((IF(39&lt;=2,$AD$413,$AD$413+(39-2)*$AE$413))*(1+$C$6),2)+ROUND(ROUND((IF(39&lt;=2,$AD$413,$AD$413+(39-2)*$AE$413))*(1+$C$6),2)*(IF($G$6="YES",$E$6,0)+IF($K$6="YES",$I$6,0)),2)+(39*$E$8*IF($C$8="YES",1,0))</f>
        <v/>
      </c>
      <c r="H499" s="42">
        <f>ROUND((IF(39&lt;=2,$AD$414,$AD$414+(39-2)*$AE$414))*(1+$C$6),2)+ROUND(ROUND((IF(39&lt;=2,$AD$414,$AD$414+(39-2)*$AE$414))*(1+$C$6),2)*(IF($G$6="YES",$E$6,0)+IF($K$6="YES",$I$6,0)),2)</f>
        <v/>
      </c>
    </row>
    <row r="500">
      <c r="B500" s="44" t="n">
        <v>40</v>
      </c>
      <c r="C500" s="45" t="inlineStr">
        <is>
          <t>see ECO/R</t>
        </is>
      </c>
      <c r="D500" s="45" t="inlineStr">
        <is>
          <t>see ECO/R</t>
        </is>
      </c>
      <c r="E500" s="46">
        <f>ROUND((IF(40&lt;=15,$AD$411,IF(40&lt;=35,$AD$411+(40-15)*$AE$411,$AG$411+(40-35)*$AF$411)))*(1+$C$6),2)+ROUND(ROUND((IF(40&lt;=15,$AD$411,IF(40&lt;=35,$AD$411+(40-15)*$AE$411,$AG$411+(40-35)*$AF$411)))*(1+$C$6),2)*(IF($G$6="YES",$E$6,0)+IF($K$6="YES",$I$6,0)),2)</f>
        <v/>
      </c>
      <c r="F500" s="46">
        <f>ROUND((IF(40&lt;=15,$AD$412,IF(40&lt;=35,$AD$412+(40-15)*$AE$412,$AG$412+(40-35)*$AF$412)))*(1+$C$6),2)+ROUND(ROUND((IF(40&lt;=15,$AD$412,IF(40&lt;=35,$AD$412+(40-15)*$AE$412,$AG$412+(40-35)*$AF$412)))*(1+$C$6),2)*(IF($G$6="YES",$E$6,0)+IF($K$6="YES",$I$6,0)),2)</f>
        <v/>
      </c>
      <c r="G500" s="46">
        <f>ROUND((IF(40&lt;=2,$AD$413,$AD$413+(40-2)*$AE$413))*(1+$C$6),2)+ROUND(ROUND((IF(40&lt;=2,$AD$413,$AD$413+(40-2)*$AE$413))*(1+$C$6),2)*(IF($G$6="YES",$E$6,0)+IF($K$6="YES",$I$6,0)),2)+(40*$E$8*IF($C$8="YES",1,0))</f>
        <v/>
      </c>
      <c r="H500" s="47">
        <f>ROUND((IF(40&lt;=2,$AD$414,$AD$414+(40-2)*$AE$414))*(1+$C$6),2)+ROUND(ROUND((IF(40&lt;=2,$AD$414,$AD$414+(40-2)*$AE$414))*(1+$C$6),2)*(IF($G$6="YES",$E$6,0)+IF($K$6="YES",$I$6,0)),2)</f>
        <v/>
      </c>
    </row>
    <row r="501"/>
    <row r="502"/>
    <row r="503" ht="21.95" customHeight="1" s="98">
      <c r="B503" s="99" t="inlineStr">
        <is>
          <t>PUDO Locker Rates  —  shared across all rate cards, EX VAT</t>
        </is>
      </c>
    </row>
    <row r="504" ht="42" customHeight="1" s="98">
      <c r="B504" s="111" t="inlineStr">
        <is>
          <t>Fuel surcharge exception, effective 1 Sept 2026: routes that stay within the locker/kiosk network carry no fuel surcharge; routes touching a Door get half the standard rate. The rate card only prices "Locker-&gt;Kiosk" and "Point&lt;-&gt;Point" (Kiosk&lt;-&gt;Kiosk) as one combined column, so both incl-VAT prices below share the same base excl-VAT rate but can carry different fuel treatment. These rates are separate from the global "Fuel levy %" in Global Settings above — edit the row below (and the on/off switch to the right) to change what lockers are charged.</t>
        </is>
      </c>
    </row>
    <row r="505" ht="64.5" customHeight="1" s="98" thickBot="1">
      <c r="B505" s="53" t="inlineStr">
        <is>
          <t>Size</t>
        </is>
      </c>
      <c r="C505" s="53" t="inlineStr">
        <is>
          <t>Up to (kg)</t>
        </is>
      </c>
      <c r="D505" s="53" t="inlineStr">
        <is>
          <t>Locker&lt;-&gt;Locker
(excl)</t>
        </is>
      </c>
      <c r="E505" s="53" t="inlineStr">
        <is>
          <t>Door&lt;-&gt;Locker /
Locker&lt;-&gt;Door
(excl)</t>
        </is>
      </c>
      <c r="F505" s="53" t="inlineStr">
        <is>
          <t>Locker&lt;-&gt;Kiosk
(excl)</t>
        </is>
      </c>
      <c r="G505" s="53" t="inlineStr">
        <is>
          <t>Point&lt;-&gt;Point
(Kiosk&lt;-&gt;Kiosk)
(excl)</t>
        </is>
      </c>
      <c r="H505" s="53" t="inlineStr">
        <is>
          <t>Kiosk&lt;-&gt;Door
(excl)</t>
        </is>
      </c>
      <c r="I505" s="53" t="inlineStr">
        <is>
          <t>Locker&lt;-&gt;Locker
(incl)</t>
        </is>
      </c>
      <c r="J505" s="53" t="inlineStr">
        <is>
          <t>Door&lt;-&gt;Locker /
Locker&lt;-&gt;Door
(incl)</t>
        </is>
      </c>
      <c r="K505" s="53" t="inlineStr">
        <is>
          <t>Locker-&gt;Kiosk
(incl)</t>
        </is>
      </c>
      <c r="L505" s="53" t="inlineStr">
        <is>
          <t>Point&lt;-&gt;Point
(Kiosk&lt;-&gt;Kiosk)
(incl)</t>
        </is>
      </c>
      <c r="M505" s="53" t="inlineStr">
        <is>
          <t>Kiosk&lt;-&gt;Door
(incl)</t>
        </is>
      </c>
    </row>
    <row r="506">
      <c r="B506" s="106" t="inlineStr">
        <is>
          <t>Fuel surcharge for this service:</t>
        </is>
      </c>
      <c r="C506" s="107" t="n"/>
      <c r="D506" s="8" t="n"/>
      <c r="E506" s="8" t="n"/>
      <c r="F506" s="8" t="n"/>
      <c r="G506" s="8" t="n"/>
      <c r="H506" s="8" t="n"/>
      <c r="I506" s="54" t="n">
        <v>0</v>
      </c>
      <c r="J506" s="54" t="n">
        <v>0.0825</v>
      </c>
      <c r="K506" s="54" t="n">
        <v>0</v>
      </c>
      <c r="L506" s="54" t="n">
        <v>0</v>
      </c>
      <c r="M506" s="55" t="n">
        <v>0.0825</v>
      </c>
      <c r="N506" s="100" t="inlineStr">
        <is>
          <t>Apply locker fuel surcharge?</t>
        </is>
      </c>
      <c r="P506" s="56" t="inlineStr">
        <is>
          <t>YES</t>
        </is>
      </c>
    </row>
    <row r="507">
      <c r="B507" s="37" t="inlineStr">
        <is>
          <t>XS</t>
        </is>
      </c>
      <c r="C507" s="24" t="n">
        <v>2</v>
      </c>
      <c r="D507" s="57" t="n">
        <v>51.3</v>
      </c>
      <c r="E507" s="57" t="n">
        <v>68.7</v>
      </c>
      <c r="F507" s="57" t="n">
        <v>60</v>
      </c>
      <c r="G507" s="57" t="n">
        <v>60</v>
      </c>
      <c r="H507" s="57" t="n">
        <v>80.87</v>
      </c>
      <c r="I507" s="38">
        <f>ROUND(D507*(1+$C$6),2)+ROUND(ROUND(D507*(1+$C$6),2)*(IF($P$506="YES",$I$506,0)+IF($K$6="YES",$I$6,0)),2)</f>
        <v/>
      </c>
      <c r="J507" s="38">
        <f>ROUND(E507*(1+$C$6),2)+ROUND(ROUND(E507*(1+$C$6),2)*(IF($P$506="YES",$J$506,0)+IF($K$6="YES",$I$6,0)),2)</f>
        <v/>
      </c>
      <c r="K507" s="38">
        <f>ROUND(F507*(1+$C$6),2)+ROUND(ROUND(F507*(1+$C$6),2)*(IF($P$506="YES",$K$506,0)+IF($K$6="YES",$I$6,0)),2)</f>
        <v/>
      </c>
      <c r="L507" s="38">
        <f>ROUND(G507*(1+$C$6),2)+ROUND(ROUND(G507*(1+$C$6),2)*(IF($P$506="YES",$L$506,0)+IF($K$6="YES",$I$6,0)),2)</f>
        <v/>
      </c>
      <c r="M507" s="39">
        <f>ROUND(H507*(1+$C$6),2)+ROUND(ROUND(H507*(1+$C$6),2)*(IF($P$506="YES",$M$506,0)+IF($K$6="YES",$I$6,0)),2)</f>
        <v/>
      </c>
    </row>
    <row r="508">
      <c r="B508" s="40" t="inlineStr">
        <is>
          <t>S</t>
        </is>
      </c>
      <c r="C508" s="30" t="n">
        <v>5</v>
      </c>
      <c r="D508" s="58" t="n">
        <v>60</v>
      </c>
      <c r="E508" s="58" t="n">
        <v>77.39</v>
      </c>
      <c r="F508" s="58" t="n">
        <v>68.7</v>
      </c>
      <c r="G508" s="58" t="n">
        <v>68.7</v>
      </c>
      <c r="H508" s="58" t="n">
        <v>91.3</v>
      </c>
      <c r="I508" s="41">
        <f>ROUND(D508*(1+$C$6),2)+ROUND(ROUND(D508*(1+$C$6),2)*(IF($P$506="YES",$I$506,0)+IF($K$6="YES",$I$6,0)),2)</f>
        <v/>
      </c>
      <c r="J508" s="41">
        <f>ROUND(E508*(1+$C$6),2)+ROUND(ROUND(E508*(1+$C$6),2)*(IF($P$506="YES",$J$506,0)+IF($K$6="YES",$I$6,0)),2)</f>
        <v/>
      </c>
      <c r="K508" s="41">
        <f>ROUND(F508*(1+$C$6),2)+ROUND(ROUND(F508*(1+$C$6),2)*(IF($P$506="YES",$K$506,0)+IF($K$6="YES",$I$6,0)),2)</f>
        <v/>
      </c>
      <c r="L508" s="41">
        <f>ROUND(G508*(1+$C$6),2)+ROUND(ROUND(G508*(1+$C$6),2)*(IF($P$506="YES",$L$506,0)+IF($K$6="YES",$I$6,0)),2)</f>
        <v/>
      </c>
      <c r="M508" s="42">
        <f>ROUND(H508*(1+$C$6),2)+ROUND(ROUND(H508*(1+$C$6),2)*(IF($P$506="YES",$M$506,0)+IF($K$6="YES",$I$6,0)),2)</f>
        <v/>
      </c>
    </row>
    <row r="509">
      <c r="B509" s="37" t="inlineStr">
        <is>
          <t>M</t>
        </is>
      </c>
      <c r="C509" s="24" t="n">
        <v>10</v>
      </c>
      <c r="D509" s="57" t="n">
        <v>68.7</v>
      </c>
      <c r="E509" s="57" t="n">
        <v>103.48</v>
      </c>
      <c r="F509" s="57" t="n">
        <v>77.39</v>
      </c>
      <c r="G509" s="57" t="n">
        <v>77.39</v>
      </c>
      <c r="H509" s="57" t="n">
        <v>117.39</v>
      </c>
      <c r="I509" s="38">
        <f>ROUND(D509*(1+$C$6),2)+ROUND(ROUND(D509*(1+$C$6),2)*(IF($P$506="YES",$I$506,0)+IF($K$6="YES",$I$6,0)),2)</f>
        <v/>
      </c>
      <c r="J509" s="38">
        <f>ROUND(E509*(1+$C$6),2)+ROUND(ROUND(E509*(1+$C$6),2)*(IF($P$506="YES",$J$506,0)+IF($K$6="YES",$I$6,0)),2)</f>
        <v/>
      </c>
      <c r="K509" s="38">
        <f>ROUND(F509*(1+$C$6),2)+ROUND(ROUND(F509*(1+$C$6),2)*(IF($P$506="YES",$K$506,0)+IF($K$6="YES",$I$6,0)),2)</f>
        <v/>
      </c>
      <c r="L509" s="38">
        <f>ROUND(G509*(1+$C$6),2)+ROUND(ROUND(G509*(1+$C$6),2)*(IF($P$506="YES",$L$506,0)+IF($K$6="YES",$I$6,0)),2)</f>
        <v/>
      </c>
      <c r="M509" s="39">
        <f>ROUND(H509*(1+$C$6),2)+ROUND(ROUND(H509*(1+$C$6),2)*(IF($P$506="YES",$M$506,0)+IF($K$6="YES",$I$6,0)),2)</f>
        <v/>
      </c>
    </row>
    <row r="510">
      <c r="B510" s="40" t="inlineStr">
        <is>
          <t>L</t>
        </is>
      </c>
      <c r="C510" s="30" t="n">
        <v>15</v>
      </c>
      <c r="D510" s="58" t="n">
        <v>94.78</v>
      </c>
      <c r="E510" s="58" t="n">
        <v>153.04</v>
      </c>
      <c r="F510" s="58" t="n">
        <v>112.17</v>
      </c>
      <c r="G510" s="58" t="n">
        <v>112.17</v>
      </c>
      <c r="H510" s="58" t="n">
        <v>182.61</v>
      </c>
      <c r="I510" s="41">
        <f>ROUND(D510*(1+$C$6),2)+ROUND(ROUND(D510*(1+$C$6),2)*(IF($P$506="YES",$I$506,0)+IF($K$6="YES",$I$6,0)),2)</f>
        <v/>
      </c>
      <c r="J510" s="41">
        <f>ROUND(E510*(1+$C$6),2)+ROUND(ROUND(E510*(1+$C$6),2)*(IF($P$506="YES",$J$506,0)+IF($K$6="YES",$I$6,0)),2)</f>
        <v/>
      </c>
      <c r="K510" s="41">
        <f>ROUND(F510*(1+$C$6),2)+ROUND(ROUND(F510*(1+$C$6),2)*(IF($P$506="YES",$K$506,0)+IF($K$6="YES",$I$6,0)),2)</f>
        <v/>
      </c>
      <c r="L510" s="41">
        <f>ROUND(G510*(1+$C$6),2)+ROUND(ROUND(G510*(1+$C$6),2)*(IF($P$506="YES",$L$506,0)+IF($K$6="YES",$I$6,0)),2)</f>
        <v/>
      </c>
      <c r="M510" s="42">
        <f>ROUND(H510*(1+$C$6),2)+ROUND(ROUND(H510*(1+$C$6),2)*(IF($P$506="YES",$M$506,0)+IF($K$6="YES",$I$6,0)),2)</f>
        <v/>
      </c>
    </row>
    <row r="511" ht="15.75" customHeight="1" s="98" thickBot="1">
      <c r="B511" s="59" t="inlineStr">
        <is>
          <t>XL</t>
        </is>
      </c>
      <c r="C511" s="34" t="n">
        <v>20</v>
      </c>
      <c r="D511" s="60" t="n">
        <v>129.57</v>
      </c>
      <c r="E511" s="60" t="n">
        <v>207.83</v>
      </c>
      <c r="F511" s="60" t="n">
        <v>146.96</v>
      </c>
      <c r="G511" s="60" t="n">
        <v>146.96</v>
      </c>
      <c r="H511" s="60" t="n">
        <v>243.48</v>
      </c>
      <c r="I511" s="61">
        <f>ROUND(D511*(1+$C$6),2)+ROUND(ROUND(D511*(1+$C$6),2)*(IF($P$506="YES",$I$506,0)+IF($K$6="YES",$I$6,0)),2)</f>
        <v/>
      </c>
      <c r="J511" s="61">
        <f>ROUND(E511*(1+$C$6),2)+ROUND(ROUND(E511*(1+$C$6),2)*(IF($P$506="YES",$J$506,0)+IF($K$6="YES",$I$6,0)),2)</f>
        <v/>
      </c>
      <c r="K511" s="61">
        <f>ROUND(F511*(1+$C$6),2)+ROUND(ROUND(F511*(1+$C$6),2)*(IF($P$506="YES",$K$506,0)+IF($K$6="YES",$I$6,0)),2)</f>
        <v/>
      </c>
      <c r="L511" s="61">
        <f>ROUND(G511*(1+$C$6),2)+ROUND(ROUND(G511*(1+$C$6),2)*(IF($P$506="YES",$L$506,0)+IF($K$6="YES",$I$6,0)),2)</f>
        <v/>
      </c>
      <c r="M511" s="62">
        <f>ROUND(H511*(1+$C$6),2)+ROUND(ROUND(H511*(1+$C$6),2)*(IF($P$506="YES",$M$506,0)+IF($K$6="YES",$I$6,0)),2)</f>
        <v/>
      </c>
    </row>
    <row r="512">
      <c r="B512" s="104" t="inlineStr">
        <is>
          <t>Note: the source rate cards label this table "EX VAT" but the Locker Network terms sheet says prices are VAT-inclusive — figures above are treated as excl-VAT, consistent with every other table on this sheet; confirm with Ops if that should flip.</t>
        </is>
      </c>
    </row>
    <row r="513"/>
    <row r="514" ht="21.95" customHeight="1" s="98">
      <c r="B514" s="99" t="inlineStr">
        <is>
          <t>Surcharges  —  common to all rate cards unless noted</t>
        </is>
      </c>
    </row>
    <row r="515" ht="18" customHeight="1" s="98">
      <c r="B515" s="18" t="inlineStr">
        <is>
          <t>Surcharge</t>
        </is>
      </c>
      <c r="C515" s="19" t="inlineStr">
        <is>
          <t>Rate (excl)</t>
        </is>
      </c>
      <c r="D515" s="19" t="inlineStr">
        <is>
          <t>Rate (incl)</t>
        </is>
      </c>
      <c r="E515" s="19" t="inlineStr">
        <is>
          <t>Applies to</t>
        </is>
      </c>
      <c r="F515" s="20" t="inlineStr">
        <is>
          <t>Note</t>
        </is>
      </c>
    </row>
    <row r="516">
      <c r="B516" s="101" t="inlineStr">
        <is>
          <t>Earlybird (delivery by 9:00)</t>
        </is>
      </c>
      <c r="C516" s="63" t="n">
        <v>230</v>
      </c>
      <c r="D516" s="23">
        <f>ROUND(C516*(1+$C$6),2)+ROUND(ROUND(C516*(1+$C$6),2)*(IF($G$6="YES",$E$6,0)+IF($K$6="YES",$I$6,0)),2)</f>
        <v/>
      </c>
      <c r="E516" s="64" t="inlineStr">
        <is>
          <t>All Main Centres</t>
        </is>
      </c>
      <c r="F516" s="65" t="n"/>
    </row>
    <row r="517">
      <c r="B517" s="66" t="inlineStr">
        <is>
          <t>Saturday collection/delivery (8:00-11:00)</t>
        </is>
      </c>
      <c r="C517" s="67" t="n">
        <v>500</v>
      </c>
      <c r="D517" s="29">
        <f>ROUND(C517*(1+$C$6),2)+ROUND(ROUND(C517*(1+$C$6),2)*(IF($G$6="YES",$E$6,0)+IF($K$6="YES",$I$6,0)),2)</f>
        <v/>
      </c>
      <c r="E517" s="68" t="inlineStr">
        <is>
          <t>All services</t>
        </is>
      </c>
      <c r="F517" s="69" t="n"/>
    </row>
    <row r="518">
      <c r="B518" s="101" t="inlineStr">
        <is>
          <t>After hours / public holiday</t>
        </is>
      </c>
      <c r="C518" s="63" t="n">
        <v>645</v>
      </c>
      <c r="D518" s="23">
        <f>ROUND(C518*(1+$C$6),2)+ROUND(ROUND(C518*(1+$C$6),2)*(IF($G$6="YES",$E$6,0)+IF($K$6="YES",$I$6,0)),2)</f>
        <v/>
      </c>
      <c r="E518" s="64" t="inlineStr">
        <is>
          <t>All services</t>
        </is>
      </c>
      <c r="F518" s="65" t="n"/>
    </row>
    <row r="519">
      <c r="B519" s="66" t="inlineStr">
        <is>
          <t>Chain store / embassy collection</t>
        </is>
      </c>
      <c r="C519" s="67" t="n">
        <v>500</v>
      </c>
      <c r="D519" s="29">
        <f>ROUND(C519*(1+$C$6),2)+ROUND(ROUND(C519*(1+$C$6),2)*(IF($G$6="YES",$E$6,0)+IF($K$6="YES",$I$6,0)),2)</f>
        <v/>
      </c>
      <c r="E519" s="68" t="inlineStr">
        <is>
          <t>All services</t>
        </is>
      </c>
      <c r="F519" s="69" t="n"/>
    </row>
    <row r="520">
      <c r="B520" s="101" t="inlineStr">
        <is>
          <t>Tender documents</t>
        </is>
      </c>
      <c r="C520" s="63" t="n">
        <v>125</v>
      </c>
      <c r="D520" s="23">
        <f>ROUND(C520*(1+$C$6),2)+ROUND(ROUND(C520*(1+$C$6),2)*(IF($G$6="YES",$E$6,0)+IF($K$6="YES",$I$6,0)),2)</f>
        <v/>
      </c>
      <c r="E520" s="64" t="inlineStr">
        <is>
          <t>All services</t>
        </is>
      </c>
      <c r="F520" s="65" t="n"/>
    </row>
    <row r="521">
      <c r="B521" s="66" t="inlineStr">
        <is>
          <t>High risk areas</t>
        </is>
      </c>
      <c r="C521" s="67" t="n">
        <v>70</v>
      </c>
      <c r="D521" s="29">
        <f>ROUND(C521*(1+$C$6),2)+ROUND(ROUND(C521*(1+$C$6),2)*(IF($G$6="YES",$E$6,0)+IF($K$6="YES",$I$6,0)),2)</f>
        <v/>
      </c>
      <c r="E521" s="68" t="inlineStr">
        <is>
          <t>All services</t>
        </is>
      </c>
      <c r="F521" s="69" t="n"/>
    </row>
    <row r="522" ht="24" customHeight="1" s="98">
      <c r="B522" s="101" t="inlineStr">
        <is>
          <t>Plot / Farm</t>
        </is>
      </c>
      <c r="C522" s="63" t="n">
        <v>315</v>
      </c>
      <c r="D522" s="23">
        <f>ROUND(C522*(1+$C$6),2)+ROUND(ROUND(C522*(1+$C$6),2)*(IF($G$6="YES",$E$6,0)+IF($K$6="YES",$I$6,0)),2)</f>
        <v/>
      </c>
      <c r="E522" s="64" t="inlineStr">
        <is>
          <t>All services</t>
        </is>
      </c>
      <c r="F522" s="25" t="inlineStr">
        <is>
          <t>Default Group card prints R314 — all others print R315</t>
        </is>
      </c>
    </row>
    <row r="523">
      <c r="B523" s="66" t="inlineStr">
        <is>
          <t>Waybill not self-generated</t>
        </is>
      </c>
      <c r="C523" s="67" t="n">
        <v>25</v>
      </c>
      <c r="D523" s="29">
        <f>ROUND(C523*(1+$C$6),2)+ROUND(ROUND(C523*(1+$C$6),2)*(IF($G$6="YES",$E$6,0)+IF($K$6="YES",$I$6,0)),2)</f>
        <v/>
      </c>
      <c r="E523" s="68" t="inlineStr">
        <is>
          <t>All services</t>
        </is>
      </c>
      <c r="F523" s="69" t="n"/>
    </row>
    <row r="524" ht="36" customHeight="1" s="98">
      <c r="B524" s="70" t="inlineStr">
        <is>
          <t>Fuel surcharge</t>
        </is>
      </c>
      <c r="C524" s="13" t="n"/>
      <c r="D524" s="13" t="n"/>
      <c r="E524" s="71" t="inlineStr">
        <is>
          <t>All services</t>
        </is>
      </c>
      <c r="F524" s="35" t="inlineStr">
        <is>
          <t>Monthly % published by the Central Energy Fund — set in Global Settings above</t>
        </is>
      </c>
    </row>
  </sheetData>
  <mergeCells count="20">
    <mergeCell ref="B11:D11"/>
    <mergeCell ref="B211:N211"/>
    <mergeCell ref="B13:D13"/>
    <mergeCell ref="F8:K8"/>
    <mergeCell ref="B504:L504"/>
    <mergeCell ref="B10:D10"/>
    <mergeCell ref="B5:N5"/>
    <mergeCell ref="B512:L512"/>
    <mergeCell ref="B309:N309"/>
    <mergeCell ref="B3:N3"/>
    <mergeCell ref="B115:N115"/>
    <mergeCell ref="B18:N18"/>
    <mergeCell ref="B503:N503"/>
    <mergeCell ref="B506:C506"/>
    <mergeCell ref="B2:N2"/>
    <mergeCell ref="B9:I9"/>
    <mergeCell ref="B514:N514"/>
    <mergeCell ref="N506:O506"/>
    <mergeCell ref="B407:N407"/>
    <mergeCell ref="B12:D12"/>
  </mergeCells>
  <dataValidations count="1">
    <dataValidation sqref="C7 C8 G6 K6 P506" showDropDown="0" showInputMessage="0" showErrorMessage="0" allowBlank="0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2E5395"/>
    <outlinePr summaryBelow="1" summaryRight="1"/>
    <pageSetUpPr/>
  </sheetPr>
  <dimension ref="B2:V42"/>
  <sheetViews>
    <sheetView showGridLines="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J14" sqref="J14"/>
    </sheetView>
  </sheetViews>
  <sheetFormatPr baseColWidth="8" defaultRowHeight="15"/>
  <cols>
    <col width="2" customWidth="1" style="98" min="1" max="1"/>
    <col width="22" customWidth="1" style="98" min="2" max="2"/>
    <col width="9" customWidth="1" style="98" min="3" max="6"/>
    <col width="10" customWidth="1" style="98" min="7" max="10"/>
    <col width="11" customWidth="1" style="98" min="11" max="22"/>
  </cols>
  <sheetData>
    <row r="2" ht="23.25" customHeight="1" s="98">
      <c r="B2" s="97" t="inlineStr">
        <is>
          <t>VOLUMETRIC &amp; PACKING CALCULATOR</t>
        </is>
      </c>
    </row>
    <row r="3">
      <c r="B3" s="105" t="inlineStr">
        <is>
          <t>Check chargeable weight and indicative price for one or more parcels, compare against standard packaging sizes, or see what consolidating them into one box would cost.</t>
        </is>
      </c>
    </row>
    <row r="5" ht="21.95" customHeight="1" s="98">
      <c r="B5" s="99" t="inlineStr">
        <is>
          <t>SETTINGS</t>
        </is>
      </c>
    </row>
    <row r="6">
      <c r="B6" s="15" t="inlineStr">
        <is>
          <t>Price markup % (optional, on top of the quoted rate)</t>
        </is>
      </c>
      <c r="H6" s="78" t="n">
        <v>0</v>
      </c>
      <c r="I6" s="79" t="inlineStr">
        <is>
          <t>Round charge weight up once the decimal reaches</t>
        </is>
      </c>
      <c r="P6" s="80" t="n">
        <v>0.4</v>
      </c>
    </row>
    <row r="8" ht="27.95" customHeight="1" s="98">
      <c r="B8" s="111" t="inlineStr">
        <is>
          <t>Volumetric factor: Local/Priority (LPF/LPP) parcels divide L×W×H(cm) by 5000; Economy Road (ECO/ECOR) parcels divide by 4000. Chargeable weight is the greater of actual and volumetric weight, rounded per the rule above.</t>
        </is>
      </c>
    </row>
    <row r="10" ht="21.95" customHeight="1" s="98">
      <c r="B10" s="99" t="inlineStr">
        <is>
          <t>A.  YOUR PARCELS  —  enter dimensions (cm) and weight (kg); add a name if useful</t>
        </is>
      </c>
    </row>
    <row r="11" ht="38.25" customHeight="1" s="98">
      <c r="B11" s="18" t="inlineStr">
        <is>
          <t>Item</t>
        </is>
      </c>
      <c r="C11" s="19" t="inlineStr">
        <is>
          <t>#</t>
        </is>
      </c>
      <c r="D11" s="19" t="inlineStr">
        <is>
          <t>L</t>
        </is>
      </c>
      <c r="E11" s="19" t="inlineStr">
        <is>
          <t>W</t>
        </is>
      </c>
      <c r="F11" s="19" t="inlineStr">
        <is>
          <t>H</t>
        </is>
      </c>
      <c r="G11" s="19" t="inlineStr">
        <is>
          <t>Actual
kg</t>
        </is>
      </c>
      <c r="H11" s="19" t="inlineStr">
        <is>
          <t>Vol wt
(/5000)</t>
        </is>
      </c>
      <c r="I11" s="19" t="inlineStr">
        <is>
          <t>Vol wt
(/4000)</t>
        </is>
      </c>
      <c r="J11" s="19" t="inlineStr">
        <is>
          <t>Charge wt
Local/PRI</t>
        </is>
      </c>
      <c r="K11" s="19" t="inlineStr">
        <is>
          <t>Charge wt
ECO/R</t>
        </is>
      </c>
      <c r="L11" s="19" t="inlineStr">
        <is>
          <t>National-LPF</t>
        </is>
      </c>
      <c r="M11" s="19" t="inlineStr">
        <is>
          <t>National-LPP</t>
        </is>
      </c>
      <c r="N11" s="19" t="inlineStr">
        <is>
          <t>National-ECO</t>
        </is>
      </c>
      <c r="O11" s="19" t="inlineStr">
        <is>
          <t>National-ECOR</t>
        </is>
      </c>
      <c r="P11" s="19" t="inlineStr">
        <is>
          <t>Ecomms-LPF</t>
        </is>
      </c>
      <c r="Q11" s="19" t="inlineStr">
        <is>
          <t>Ecomms-LPP</t>
        </is>
      </c>
      <c r="R11" s="19" t="inlineStr">
        <is>
          <t>Ecomms-ECO</t>
        </is>
      </c>
      <c r="S11" s="19" t="inlineStr">
        <is>
          <t>Ecomms-ECOR</t>
        </is>
      </c>
      <c r="T11" s="19" t="inlineStr">
        <is>
          <t>Declared
value</t>
        </is>
      </c>
      <c r="U11" s="20" t="inlineStr">
        <is>
          <t>Insurance premium
(incl VAT)</t>
        </is>
      </c>
    </row>
    <row r="12">
      <c r="B12" s="101" t="inlineStr">
        <is>
          <t>Item 1</t>
        </is>
      </c>
      <c r="C12" s="81" t="n">
        <v>1</v>
      </c>
      <c r="D12" s="81" t="n">
        <v>1</v>
      </c>
      <c r="E12" s="81" t="n">
        <v>1</v>
      </c>
      <c r="F12" s="81" t="n">
        <v>1</v>
      </c>
      <c r="G12" s="81" t="n">
        <v>0.5</v>
      </c>
      <c r="H12" s="82">
        <f>IF(N(C12)&gt;=1,(D12*E12*F12)/5000,"")</f>
        <v/>
      </c>
      <c r="I12" s="82">
        <f>IF(N(C12)&gt;=1,(D12*E12*F12)/4000,"")</f>
        <v/>
      </c>
      <c r="J12" s="10">
        <f>IF(MOD(MAX(N(H12),N(C12)*N(G12)),1)&gt;=$P$6,ROUNDUP(MAX(N(H12),N(C12)*N(G12)),0),ROUND(MAX(N(H12),N(C12)*N(G12)),0))</f>
        <v/>
      </c>
      <c r="K12" s="10">
        <f>IF(MOD(MAX(N(I12),N(C12)*N(G12)),1)&gt;=$P$6,ROUNDUP(MAX(N(I12),N(C12)*N(G12)),0),ROUND(MAX(N(I12),N(C12)*N(G12)),0))</f>
        <v/>
      </c>
      <c r="L12" s="38">
        <f>IFERROR(VLOOKUP(J12,'Price Lookup (extended)'!$A$5:$Q$204,2,FALSE)*(1+$H$6),"-")</f>
        <v/>
      </c>
      <c r="M12" s="38">
        <f>IFERROR(VLOOKUP(J12,'Price Lookup (extended)'!$A$5:$Q$204,4,FALSE)*(1+$H$6),"-")</f>
        <v/>
      </c>
      <c r="N12" s="38">
        <f>IFERROR(VLOOKUP(K12,'Price Lookup (extended)'!$A$5:$Q$204,6,FALSE)*(1+$H$6),"-")</f>
        <v/>
      </c>
      <c r="O12" s="38">
        <f>IFERROR(VLOOKUP(K12,'Price Lookup (extended)'!$A$5:$Q$204,8,FALSE)*(1+$H$6),"-")</f>
        <v/>
      </c>
      <c r="P12" s="38">
        <f>IFERROR(VLOOKUP(J12,'Price Lookup (extended)'!$A$5:$Q$204,10,FALSE)*(1+$H$6),"-")</f>
        <v/>
      </c>
      <c r="Q12" s="38">
        <f>IFERROR(VLOOKUP(J12,'Price Lookup (extended)'!$A$5:$Q$204,12,FALSE)*(1+$H$6),"-")</f>
        <v/>
      </c>
      <c r="R12" s="38">
        <f>IFERROR(VLOOKUP(K12,'Price Lookup (extended)'!$A$5:$Q$204,14,FALSE)*(1+$H$6),"-")</f>
        <v/>
      </c>
      <c r="S12" s="38">
        <f>IFERROR(VLOOKUP(K12,'Price Lookup (extended)'!$A$5:$Q$204,16,FALSE)*(1+$H$6),"-")</f>
        <v/>
      </c>
      <c r="T12" s="57" t="n">
        <v>2000</v>
      </c>
      <c r="U12" s="39">
        <f>IF(OR('Rate Card'!$C$7="NO",N(T12)&lt;=0),"-",MAX(MAX(0,N(T12)-'Rate Card'!$E$7)*'Rate Card'!$G$7*(1+'Rate Card'!$C$6),'Rate Card'!$I$7))</f>
        <v/>
      </c>
    </row>
    <row r="13">
      <c r="B13" s="66" t="inlineStr">
        <is>
          <t>Item 2</t>
        </is>
      </c>
      <c r="C13" s="83" t="n">
        <v>2</v>
      </c>
      <c r="D13" s="83" t="n">
        <v>2</v>
      </c>
      <c r="E13" s="83" t="n">
        <v>2</v>
      </c>
      <c r="F13" s="83" t="n">
        <v>2</v>
      </c>
      <c r="G13" s="83" t="n">
        <v>0.5</v>
      </c>
      <c r="H13" s="84">
        <f>IF(N(C13)&gt;=1,(D13*E13*F13)/5000,"")</f>
        <v/>
      </c>
      <c r="I13" s="84">
        <f>IF(N(C13)&gt;=1,(D13*E13*F13)/4000,"")</f>
        <v/>
      </c>
      <c r="J13" s="85">
        <f>IF(MOD(MAX(N(H13),N(C13)*N(G13)),1)&gt;=$P$6,ROUNDUP(MAX(N(H13),N(C13)*N(G13)),0),ROUND(MAX(N(H13),N(C13)*N(G13)),0))</f>
        <v/>
      </c>
      <c r="K13" s="85">
        <f>IF(MOD(MAX(N(I13),N(C13)*N(G13)),1)&gt;=$P$6,ROUNDUP(MAX(N(I13),N(C13)*N(G13)),0),ROUND(MAX(N(I13),N(C13)*N(G13)),0))</f>
        <v/>
      </c>
      <c r="L13" s="41">
        <f>IFERROR(VLOOKUP(J13,'Price Lookup (extended)'!$A$5:$Q$204,2,FALSE)*(1+$H$6),"-")</f>
        <v/>
      </c>
      <c r="M13" s="41">
        <f>IFERROR(VLOOKUP(J13,'Price Lookup (extended)'!$A$5:$Q$204,4,FALSE)*(1+$H$6),"-")</f>
        <v/>
      </c>
      <c r="N13" s="41">
        <f>IFERROR(VLOOKUP(K13,'Price Lookup (extended)'!$A$5:$Q$204,6,FALSE)*(1+$H$6),"-")</f>
        <v/>
      </c>
      <c r="O13" s="41">
        <f>IFERROR(VLOOKUP(K13,'Price Lookup (extended)'!$A$5:$Q$204,8,FALSE)*(1+$H$6),"-")</f>
        <v/>
      </c>
      <c r="P13" s="41">
        <f>IFERROR(VLOOKUP(J13,'Price Lookup (extended)'!$A$5:$Q$204,10,FALSE)*(1+$H$6),"-")</f>
        <v/>
      </c>
      <c r="Q13" s="41">
        <f>IFERROR(VLOOKUP(J13,'Price Lookup (extended)'!$A$5:$Q$204,12,FALSE)*(1+$H$6),"-")</f>
        <v/>
      </c>
      <c r="R13" s="41">
        <f>IFERROR(VLOOKUP(K13,'Price Lookup (extended)'!$A$5:$Q$204,14,FALSE)*(1+$H$6),"-")</f>
        <v/>
      </c>
      <c r="S13" s="41">
        <f>IFERROR(VLOOKUP(K13,'Price Lookup (extended)'!$A$5:$Q$204,16,FALSE)*(1+$H$6),"-")</f>
        <v/>
      </c>
      <c r="T13" s="58" t="n">
        <v>2000</v>
      </c>
      <c r="U13" s="42">
        <f>IF(OR('Rate Card'!$C$7="NO",N(T13)&lt;=0),"-",MAX(MAX(0,N(T13)-'Rate Card'!$E$7)*'Rate Card'!$G$7*(1+'Rate Card'!$C$6),'Rate Card'!$I$7))</f>
        <v/>
      </c>
    </row>
    <row r="14">
      <c r="B14" s="101" t="inlineStr">
        <is>
          <t>Item 3</t>
        </is>
      </c>
      <c r="C14" s="81" t="n"/>
      <c r="D14" s="81" t="n"/>
      <c r="E14" s="81" t="n"/>
      <c r="F14" s="81" t="n"/>
      <c r="G14" s="81" t="n"/>
      <c r="H14" s="82">
        <f>IF(N(C14)&gt;=1,(D14*E14*F14)/5000,"")</f>
        <v/>
      </c>
      <c r="I14" s="82">
        <f>IF(N(C14)&gt;=1,(D14*E14*F14)/4000,"")</f>
        <v/>
      </c>
      <c r="J14" s="10">
        <f>IF(MOD(MAX(N(H14),N(C14)*N(G14)),1)&gt;=$P$6,ROUNDUP(MAX(N(H14),N(C14)*N(G14)),0),ROUND(MAX(N(H14),N(C14)*N(G14)),0))</f>
        <v/>
      </c>
      <c r="K14" s="10">
        <f>IF(MOD(MAX(N(I14),N(C14)*N(G14)),1)&gt;=$P$6,ROUNDUP(MAX(N(I14),N(C14)*N(G14)),0),ROUND(MAX(N(I14),N(C14)*N(G14)),0))</f>
        <v/>
      </c>
      <c r="L14" s="38">
        <f>IFERROR(VLOOKUP(J14,'Price Lookup (extended)'!$A$5:$Q$204,2,FALSE)*(1+$H$6),"-")</f>
        <v/>
      </c>
      <c r="M14" s="38">
        <f>IFERROR(VLOOKUP(J14,'Price Lookup (extended)'!$A$5:$Q$204,4,FALSE)*(1+$H$6),"-")</f>
        <v/>
      </c>
      <c r="N14" s="38">
        <f>IFERROR(VLOOKUP(K14,'Price Lookup (extended)'!$A$5:$Q$204,6,FALSE)*(1+$H$6),"-")</f>
        <v/>
      </c>
      <c r="O14" s="38">
        <f>IFERROR(VLOOKUP(K14,'Price Lookup (extended)'!$A$5:$Q$204,8,FALSE)*(1+$H$6),"-")</f>
        <v/>
      </c>
      <c r="P14" s="38">
        <f>IFERROR(VLOOKUP(J14,'Price Lookup (extended)'!$A$5:$Q$204,10,FALSE)*(1+$H$6),"-")</f>
        <v/>
      </c>
      <c r="Q14" s="38">
        <f>IFERROR(VLOOKUP(J14,'Price Lookup (extended)'!$A$5:$Q$204,12,FALSE)*(1+$H$6),"-")</f>
        <v/>
      </c>
      <c r="R14" s="38">
        <f>IFERROR(VLOOKUP(K14,'Price Lookup (extended)'!$A$5:$Q$204,14,FALSE)*(1+$H$6),"-")</f>
        <v/>
      </c>
      <c r="S14" s="38">
        <f>IFERROR(VLOOKUP(K14,'Price Lookup (extended)'!$A$5:$Q$204,16,FALSE)*(1+$H$6),"-")</f>
        <v/>
      </c>
      <c r="T14" s="57" t="n"/>
      <c r="U14" s="39">
        <f>IF(OR('Rate Card'!$C$7="NO",N(T14)&lt;=0),"-",MAX(MAX(0,N(T14)-'Rate Card'!$E$7)*'Rate Card'!$G$7*(1+'Rate Card'!$C$6),'Rate Card'!$I$7))</f>
        <v/>
      </c>
    </row>
    <row r="15">
      <c r="B15" s="66" t="inlineStr">
        <is>
          <t>Item 4</t>
        </is>
      </c>
      <c r="C15" s="83" t="n"/>
      <c r="D15" s="83" t="n"/>
      <c r="E15" s="83" t="n"/>
      <c r="F15" s="83" t="n"/>
      <c r="G15" s="83" t="n"/>
      <c r="H15" s="84">
        <f>IF(N(C15)&gt;=1,(D15*E15*F15)/5000,"")</f>
        <v/>
      </c>
      <c r="I15" s="84">
        <f>IF(N(C15)&gt;=1,(D15*E15*F15)/4000,"")</f>
        <v/>
      </c>
      <c r="J15" s="85">
        <f>IF(MOD(MAX(N(H15),N(C15)*N(G15)),1)&gt;=$P$6,ROUNDUP(MAX(N(H15),N(C15)*N(G15)),0),ROUND(MAX(N(H15),N(C15)*N(G15)),0))</f>
        <v/>
      </c>
      <c r="K15" s="85">
        <f>IF(MOD(MAX(N(I15),N(C15)*N(G15)),1)&gt;=$P$6,ROUNDUP(MAX(N(I15),N(C15)*N(G15)),0),ROUND(MAX(N(I15),N(C15)*N(G15)),0))</f>
        <v/>
      </c>
      <c r="L15" s="41">
        <f>IFERROR(VLOOKUP(J15,'Price Lookup (extended)'!$A$5:$Q$204,2,FALSE)*(1+$H$6),"-")</f>
        <v/>
      </c>
      <c r="M15" s="41">
        <f>IFERROR(VLOOKUP(J15,'Price Lookup (extended)'!$A$5:$Q$204,4,FALSE)*(1+$H$6),"-")</f>
        <v/>
      </c>
      <c r="N15" s="41">
        <f>IFERROR(VLOOKUP(K15,'Price Lookup (extended)'!$A$5:$Q$204,6,FALSE)*(1+$H$6),"-")</f>
        <v/>
      </c>
      <c r="O15" s="41">
        <f>IFERROR(VLOOKUP(K15,'Price Lookup (extended)'!$A$5:$Q$204,8,FALSE)*(1+$H$6),"-")</f>
        <v/>
      </c>
      <c r="P15" s="41">
        <f>IFERROR(VLOOKUP(J15,'Price Lookup (extended)'!$A$5:$Q$204,10,FALSE)*(1+$H$6),"-")</f>
        <v/>
      </c>
      <c r="Q15" s="41">
        <f>IFERROR(VLOOKUP(J15,'Price Lookup (extended)'!$A$5:$Q$204,12,FALSE)*(1+$H$6),"-")</f>
        <v/>
      </c>
      <c r="R15" s="41">
        <f>IFERROR(VLOOKUP(K15,'Price Lookup (extended)'!$A$5:$Q$204,14,FALSE)*(1+$H$6),"-")</f>
        <v/>
      </c>
      <c r="S15" s="41">
        <f>IFERROR(VLOOKUP(K15,'Price Lookup (extended)'!$A$5:$Q$204,16,FALSE)*(1+$H$6),"-")</f>
        <v/>
      </c>
      <c r="T15" s="58" t="n"/>
      <c r="U15" s="42">
        <f>IF(OR('Rate Card'!$C$7="NO",N(T15)&lt;=0),"-",MAX(MAX(0,N(T15)-'Rate Card'!$E$7)*'Rate Card'!$G$7*(1+'Rate Card'!$C$6),'Rate Card'!$I$7))</f>
        <v/>
      </c>
    </row>
    <row r="16">
      <c r="B16" s="101" t="inlineStr">
        <is>
          <t>Item 5</t>
        </is>
      </c>
      <c r="C16" s="81" t="n"/>
      <c r="D16" s="81" t="n"/>
      <c r="E16" s="81" t="n"/>
      <c r="F16" s="81" t="n"/>
      <c r="G16" s="81" t="n"/>
      <c r="H16" s="82">
        <f>IF(N(C16)&gt;=1,(D16*E16*F16)/5000,"")</f>
        <v/>
      </c>
      <c r="I16" s="82">
        <f>IF(N(C16)&gt;=1,(D16*E16*F16)/4000,"")</f>
        <v/>
      </c>
      <c r="J16" s="10">
        <f>IF(MOD(MAX(N(H16),N(C16)*N(G16)),1)&gt;=$P$6,ROUNDUP(MAX(N(H16),N(C16)*N(G16)),0),ROUND(MAX(N(H16),N(C16)*N(G16)),0))</f>
        <v/>
      </c>
      <c r="K16" s="10">
        <f>IF(MOD(MAX(N(I16),N(C16)*N(G16)),1)&gt;=$P$6,ROUNDUP(MAX(N(I16),N(C16)*N(G16)),0),ROUND(MAX(N(I16),N(C16)*N(G16)),0))</f>
        <v/>
      </c>
      <c r="L16" s="38">
        <f>IFERROR(VLOOKUP(J16,'Price Lookup (extended)'!$A$5:$Q$204,2,FALSE)*(1+$H$6),"-")</f>
        <v/>
      </c>
      <c r="M16" s="38">
        <f>IFERROR(VLOOKUP(J16,'Price Lookup (extended)'!$A$5:$Q$204,4,FALSE)*(1+$H$6),"-")</f>
        <v/>
      </c>
      <c r="N16" s="38">
        <f>IFERROR(VLOOKUP(K16,'Price Lookup (extended)'!$A$5:$Q$204,6,FALSE)*(1+$H$6),"-")</f>
        <v/>
      </c>
      <c r="O16" s="38">
        <f>IFERROR(VLOOKUP(K16,'Price Lookup (extended)'!$A$5:$Q$204,8,FALSE)*(1+$H$6),"-")</f>
        <v/>
      </c>
      <c r="P16" s="38">
        <f>IFERROR(VLOOKUP(J16,'Price Lookup (extended)'!$A$5:$Q$204,10,FALSE)*(1+$H$6),"-")</f>
        <v/>
      </c>
      <c r="Q16" s="38">
        <f>IFERROR(VLOOKUP(J16,'Price Lookup (extended)'!$A$5:$Q$204,12,FALSE)*(1+$H$6),"-")</f>
        <v/>
      </c>
      <c r="R16" s="38">
        <f>IFERROR(VLOOKUP(K16,'Price Lookup (extended)'!$A$5:$Q$204,14,FALSE)*(1+$H$6),"-")</f>
        <v/>
      </c>
      <c r="S16" s="38">
        <f>IFERROR(VLOOKUP(K16,'Price Lookup (extended)'!$A$5:$Q$204,16,FALSE)*(1+$H$6),"-")</f>
        <v/>
      </c>
      <c r="T16" s="57" t="n"/>
      <c r="U16" s="39">
        <f>IF(OR('Rate Card'!$C$7="NO",N(T16)&lt;=0),"-",MAX(MAX(0,N(T16)-'Rate Card'!$E$7)*'Rate Card'!$G$7*(1+'Rate Card'!$C$6),'Rate Card'!$I$7))</f>
        <v/>
      </c>
    </row>
    <row r="17">
      <c r="B17" s="108" t="inlineStr">
        <is>
          <t>TOTAL</t>
        </is>
      </c>
      <c r="C17" s="13">
        <f>SUM(C12:C16)</f>
        <v/>
      </c>
      <c r="D17" s="13" t="n"/>
      <c r="E17" s="13" t="n"/>
      <c r="F17" s="13" t="n"/>
      <c r="G17" s="13">
        <f>SUMPRODUCT(C12:C16,G12:G16)</f>
        <v/>
      </c>
      <c r="H17" s="86">
        <f>SUM(H12:H16)</f>
        <v/>
      </c>
      <c r="I17" s="86">
        <f>SUM(I12:I16)</f>
        <v/>
      </c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33">
        <f>SUM(T12:T16)</f>
        <v/>
      </c>
      <c r="U17" s="87" t="n"/>
    </row>
    <row r="18">
      <c r="B18" s="104" t="inlineStr">
        <is>
          <t>Insurance uses the rate/threshold/minimum set in Global Settings on the Rate Card sheet. Leave Declared value blank for items you don't want to insure.</t>
        </is>
      </c>
    </row>
    <row r="20" ht="21.95" customHeight="1" s="98">
      <c r="B20" s="99" t="inlineStr">
        <is>
          <t>B.  STANDARD PACKAGING OPTIONS  —  reference pricing for our standard box sizes</t>
        </is>
      </c>
    </row>
    <row r="21">
      <c r="B21" s="111" t="inlineStr">
        <is>
          <t>Charge weight is the greater of this box's own volumetric weight and the real total weight entered in Section A ("Actual kg" TOTAL) — not the box's rated "Max kg", which is shown for reference only.</t>
        </is>
      </c>
    </row>
    <row r="22" ht="30" customHeight="1" s="98">
      <c r="B22" s="18" t="inlineStr">
        <is>
          <t>Box</t>
        </is>
      </c>
      <c r="C22" s="19" t="inlineStr">
        <is>
          <t>L</t>
        </is>
      </c>
      <c r="D22" s="19" t="inlineStr">
        <is>
          <t>W</t>
        </is>
      </c>
      <c r="E22" s="19" t="inlineStr">
        <is>
          <t>H</t>
        </is>
      </c>
      <c r="F22" s="19" t="inlineStr">
        <is>
          <t>Max
kg</t>
        </is>
      </c>
      <c r="G22" s="19" t="inlineStr">
        <is>
          <t>Vol wt
(/5000)</t>
        </is>
      </c>
      <c r="H22" s="19" t="inlineStr">
        <is>
          <t>Vol wt
(/4000)</t>
        </is>
      </c>
      <c r="I22" s="19" t="inlineStr">
        <is>
          <t>Charge wt
Local/PRI</t>
        </is>
      </c>
      <c r="J22" s="19" t="inlineStr">
        <is>
          <t>Charge wt
ECO/R</t>
        </is>
      </c>
      <c r="K22" s="19" t="inlineStr">
        <is>
          <t>National-LPF</t>
        </is>
      </c>
      <c r="L22" s="19" t="inlineStr">
        <is>
          <t>National-LPP</t>
        </is>
      </c>
      <c r="M22" s="19" t="inlineStr">
        <is>
          <t>National-ECO</t>
        </is>
      </c>
      <c r="N22" s="19" t="inlineStr">
        <is>
          <t>National-ECOR</t>
        </is>
      </c>
      <c r="O22" s="19" t="inlineStr">
        <is>
          <t>Ecomms-LPF</t>
        </is>
      </c>
      <c r="P22" s="19" t="inlineStr">
        <is>
          <t>Ecomms-LPP</t>
        </is>
      </c>
      <c r="Q22" s="19" t="inlineStr">
        <is>
          <t>Ecomms-ECO</t>
        </is>
      </c>
      <c r="R22" s="20" t="inlineStr">
        <is>
          <t>Ecomms-ECOR</t>
        </is>
      </c>
    </row>
    <row r="23">
      <c r="B23" s="101" t="inlineStr">
        <is>
          <t>Flyer</t>
        </is>
      </c>
      <c r="C23" s="81" t="n">
        <v>40</v>
      </c>
      <c r="D23" s="81" t="n">
        <v>30</v>
      </c>
      <c r="E23" s="81" t="n">
        <v>5</v>
      </c>
      <c r="F23" s="81" t="n">
        <v>2</v>
      </c>
      <c r="G23" s="82">
        <f>(C23*D23*E23)/5000</f>
        <v/>
      </c>
      <c r="H23" s="82">
        <f>(C23*D23*E23)/4000</f>
        <v/>
      </c>
      <c r="I23" s="10">
        <f>IF(MOD(MAX(G23,F23,N($G$17)),1)&gt;=$P$6,ROUNDUP(MAX(G23,F23,N($G$17)),0),ROUND(MAX(G23,F23,N($G$17)),0))</f>
        <v/>
      </c>
      <c r="J23" s="10">
        <f>IF(MOD(MAX(H23,F23,N($G$17)),1)&gt;=$P$6,ROUNDUP(MAX(H23,F23,N($G$17)),0),ROUND(MAX(H23,F23,N($G$17)),0))</f>
        <v/>
      </c>
      <c r="K23" s="38">
        <f>IFERROR(VLOOKUP(I23,'Price Lookup (extended)'!$A$5:$Q$204,2,FALSE)*(1+$H$6),"-")</f>
        <v/>
      </c>
      <c r="L23" s="38">
        <f>IFERROR(VLOOKUP(I23,'Price Lookup (extended)'!$A$5:$Q$204,4,FALSE)*(1+$H$6),"-")</f>
        <v/>
      </c>
      <c r="M23" s="38">
        <f>IFERROR(VLOOKUP(J23,'Price Lookup (extended)'!$A$5:$Q$204,6,FALSE)*(1+$H$6),"-")</f>
        <v/>
      </c>
      <c r="N23" s="38">
        <f>IFERROR(VLOOKUP(J23,'Price Lookup (extended)'!$A$5:$Q$204,8,FALSE)*(1+$H$6),"-")</f>
        <v/>
      </c>
      <c r="O23" s="38">
        <f>IFERROR(VLOOKUP(I23,'Price Lookup (extended)'!$A$5:$Q$204,10,FALSE)*(1+$H$6),"-")</f>
        <v/>
      </c>
      <c r="P23" s="38">
        <f>IFERROR(VLOOKUP(I23,'Price Lookup (extended)'!$A$5:$Q$204,12,FALSE)*(1+$H$6),"-")</f>
        <v/>
      </c>
      <c r="Q23" s="38">
        <f>IFERROR(VLOOKUP(J23,'Price Lookup (extended)'!$A$5:$Q$204,14,FALSE)*(1+$H$6),"-")</f>
        <v/>
      </c>
      <c r="R23" s="39">
        <f>IFERROR(VLOOKUP(J23,'Price Lookup (extended)'!$A$5:$Q$204,16,FALSE)*(1+$H$6),"-")</f>
        <v/>
      </c>
    </row>
    <row r="24">
      <c r="B24" s="66" t="inlineStr">
        <is>
          <t>Small (S)</t>
        </is>
      </c>
      <c r="C24" s="83" t="n">
        <v>60</v>
      </c>
      <c r="D24" s="83" t="n">
        <v>41</v>
      </c>
      <c r="E24" s="83" t="n">
        <v>8</v>
      </c>
      <c r="F24" s="83" t="n">
        <v>5</v>
      </c>
      <c r="G24" s="84">
        <f>(C24*D24*E24)/5000</f>
        <v/>
      </c>
      <c r="H24" s="84">
        <f>(C24*D24*E24)/4000</f>
        <v/>
      </c>
      <c r="I24" s="85">
        <f>IF(MOD(MAX(G24,F24,N($G$17)),1)&gt;=$P$6,ROUNDUP(MAX(G24,F24,N($G$17)),0),ROUND(MAX(G24,F24,N($G$17)),0))</f>
        <v/>
      </c>
      <c r="J24" s="85">
        <f>IF(MOD(MAX(H24,F24,N($G$17)),1)&gt;=$P$6,ROUNDUP(MAX(H24,F24,N($G$17)),0),ROUND(MAX(H24,F24,N($G$17)),0))</f>
        <v/>
      </c>
      <c r="K24" s="41">
        <f>IFERROR(VLOOKUP(I24,'Price Lookup (extended)'!$A$5:$Q$204,2,FALSE)*(1+$H$6),"-")</f>
        <v/>
      </c>
      <c r="L24" s="41">
        <f>IFERROR(VLOOKUP(I24,'Price Lookup (extended)'!$A$5:$Q$204,4,FALSE)*(1+$H$6),"-")</f>
        <v/>
      </c>
      <c r="M24" s="41">
        <f>IFERROR(VLOOKUP(J24,'Price Lookup (extended)'!$A$5:$Q$204,6,FALSE)*(1+$H$6),"-")</f>
        <v/>
      </c>
      <c r="N24" s="41">
        <f>IFERROR(VLOOKUP(J24,'Price Lookup (extended)'!$A$5:$Q$204,8,FALSE)*(1+$H$6),"-")</f>
        <v/>
      </c>
      <c r="O24" s="41">
        <f>IFERROR(VLOOKUP(I24,'Price Lookup (extended)'!$A$5:$Q$204,10,FALSE)*(1+$H$6),"-")</f>
        <v/>
      </c>
      <c r="P24" s="41">
        <f>IFERROR(VLOOKUP(I24,'Price Lookup (extended)'!$A$5:$Q$204,12,FALSE)*(1+$H$6),"-")</f>
        <v/>
      </c>
      <c r="Q24" s="41">
        <f>IFERROR(VLOOKUP(J24,'Price Lookup (extended)'!$A$5:$Q$204,14,FALSE)*(1+$H$6),"-")</f>
        <v/>
      </c>
      <c r="R24" s="42">
        <f>IFERROR(VLOOKUP(J24,'Price Lookup (extended)'!$A$5:$Q$204,16,FALSE)*(1+$H$6),"-")</f>
        <v/>
      </c>
    </row>
    <row r="25">
      <c r="B25" s="101" t="inlineStr">
        <is>
          <t>Medium (M)</t>
        </is>
      </c>
      <c r="C25" s="81" t="n">
        <v>60</v>
      </c>
      <c r="D25" s="81" t="n">
        <v>41</v>
      </c>
      <c r="E25" s="81" t="n">
        <v>19</v>
      </c>
      <c r="F25" s="81" t="n">
        <v>10</v>
      </c>
      <c r="G25" s="82">
        <f>(C25*D25*E25)/5000</f>
        <v/>
      </c>
      <c r="H25" s="82">
        <f>(C25*D25*E25)/4000</f>
        <v/>
      </c>
      <c r="I25" s="10">
        <f>IF(MOD(MAX(G25,F25,N($G$17)),1)&gt;=$P$6,ROUNDUP(MAX(G25,F25,N($G$17)),0),ROUND(MAX(G25,F25,N($G$17)),0))</f>
        <v/>
      </c>
      <c r="J25" s="10">
        <f>IF(MOD(MAX(H25,F25,N($G$17)),1)&gt;=$P$6,ROUNDUP(MAX(H25,F25,N($G$17)),0),ROUND(MAX(H25,F25,N($G$17)),0))</f>
        <v/>
      </c>
      <c r="K25" s="38">
        <f>IFERROR(VLOOKUP(I25,'Price Lookup (extended)'!$A$5:$Q$204,2,FALSE)*(1+$H$6),"-")</f>
        <v/>
      </c>
      <c r="L25" s="38">
        <f>IFERROR(VLOOKUP(I25,'Price Lookup (extended)'!$A$5:$Q$204,4,FALSE)*(1+$H$6),"-")</f>
        <v/>
      </c>
      <c r="M25" s="38">
        <f>IFERROR(VLOOKUP(J25,'Price Lookup (extended)'!$A$5:$Q$204,6,FALSE)*(1+$H$6),"-")</f>
        <v/>
      </c>
      <c r="N25" s="38">
        <f>IFERROR(VLOOKUP(J25,'Price Lookup (extended)'!$A$5:$Q$204,8,FALSE)*(1+$H$6),"-")</f>
        <v/>
      </c>
      <c r="O25" s="38">
        <f>IFERROR(VLOOKUP(I25,'Price Lookup (extended)'!$A$5:$Q$204,10,FALSE)*(1+$H$6),"-")</f>
        <v/>
      </c>
      <c r="P25" s="38">
        <f>IFERROR(VLOOKUP(I25,'Price Lookup (extended)'!$A$5:$Q$204,12,FALSE)*(1+$H$6),"-")</f>
        <v/>
      </c>
      <c r="Q25" s="38">
        <f>IFERROR(VLOOKUP(J25,'Price Lookup (extended)'!$A$5:$Q$204,14,FALSE)*(1+$H$6),"-")</f>
        <v/>
      </c>
      <c r="R25" s="39">
        <f>IFERROR(VLOOKUP(J25,'Price Lookup (extended)'!$A$5:$Q$204,16,FALSE)*(1+$H$6),"-")</f>
        <v/>
      </c>
    </row>
    <row r="26">
      <c r="B26" s="66" t="inlineStr">
        <is>
          <t>Large (L)</t>
        </is>
      </c>
      <c r="C26" s="83" t="n">
        <v>60</v>
      </c>
      <c r="D26" s="83" t="n">
        <v>41</v>
      </c>
      <c r="E26" s="83" t="n">
        <v>41</v>
      </c>
      <c r="F26" s="83" t="n">
        <v>15</v>
      </c>
      <c r="G26" s="84">
        <f>(C26*D26*E26)/5000</f>
        <v/>
      </c>
      <c r="H26" s="84">
        <f>(C26*D26*E26)/4000</f>
        <v/>
      </c>
      <c r="I26" s="85">
        <f>IF(MOD(MAX(G26,F26,N($G$17)),1)&gt;=$P$6,ROUNDUP(MAX(G26,F26,N($G$17)),0),ROUND(MAX(G26,F26,N($G$17)),0))</f>
        <v/>
      </c>
      <c r="J26" s="85">
        <f>IF(MOD(MAX(H26,F26,N($G$17)),1)&gt;=$P$6,ROUNDUP(MAX(H26,F26,N($G$17)),0),ROUND(MAX(H26,F26,N($G$17)),0))</f>
        <v/>
      </c>
      <c r="K26" s="41">
        <f>IFERROR(VLOOKUP(I26,'Price Lookup (extended)'!$A$5:$Q$204,2,FALSE)*(1+$H$6),"-")</f>
        <v/>
      </c>
      <c r="L26" s="41">
        <f>IFERROR(VLOOKUP(I26,'Price Lookup (extended)'!$A$5:$Q$204,4,FALSE)*(1+$H$6),"-")</f>
        <v/>
      </c>
      <c r="M26" s="41">
        <f>IFERROR(VLOOKUP(J26,'Price Lookup (extended)'!$A$5:$Q$204,6,FALSE)*(1+$H$6),"-")</f>
        <v/>
      </c>
      <c r="N26" s="41">
        <f>IFERROR(VLOOKUP(J26,'Price Lookup (extended)'!$A$5:$Q$204,8,FALSE)*(1+$H$6),"-")</f>
        <v/>
      </c>
      <c r="O26" s="41">
        <f>IFERROR(VLOOKUP(I26,'Price Lookup (extended)'!$A$5:$Q$204,10,FALSE)*(1+$H$6),"-")</f>
        <v/>
      </c>
      <c r="P26" s="41">
        <f>IFERROR(VLOOKUP(I26,'Price Lookup (extended)'!$A$5:$Q$204,12,FALSE)*(1+$H$6),"-")</f>
        <v/>
      </c>
      <c r="Q26" s="41">
        <f>IFERROR(VLOOKUP(J26,'Price Lookup (extended)'!$A$5:$Q$204,14,FALSE)*(1+$H$6),"-")</f>
        <v/>
      </c>
      <c r="R26" s="42">
        <f>IFERROR(VLOOKUP(J26,'Price Lookup (extended)'!$A$5:$Q$204,16,FALSE)*(1+$H$6),"-")</f>
        <v/>
      </c>
    </row>
    <row r="27">
      <c r="B27" s="70" t="inlineStr">
        <is>
          <t>Extra-Large (XL)</t>
        </is>
      </c>
      <c r="C27" s="88" t="n">
        <v>60</v>
      </c>
      <c r="D27" s="88" t="n">
        <v>41</v>
      </c>
      <c r="E27" s="88" t="n">
        <v>69</v>
      </c>
      <c r="F27" s="88" t="n">
        <v>20</v>
      </c>
      <c r="G27" s="86">
        <f>(C27*D27*E27)/5000</f>
        <v/>
      </c>
      <c r="H27" s="86">
        <f>(C27*D27*E27)/4000</f>
        <v/>
      </c>
      <c r="I27" s="13">
        <f>IF(MOD(MAX(G27,F27,N($G$17)),1)&gt;=$P$6,ROUNDUP(MAX(G27,F27,N($G$17)),0),ROUND(MAX(G27,F27,N($G$17)),0))</f>
        <v/>
      </c>
      <c r="J27" s="13">
        <f>IF(MOD(MAX(H27,F27,N($G$17)),1)&gt;=$P$6,ROUNDUP(MAX(H27,F27,N($G$17)),0),ROUND(MAX(H27,F27,N($G$17)),0))</f>
        <v/>
      </c>
      <c r="K27" s="61">
        <f>IFERROR(VLOOKUP(I27,'Price Lookup (extended)'!$A$5:$Q$204,2,FALSE)*(1+$H$6),"-")</f>
        <v/>
      </c>
      <c r="L27" s="61">
        <f>IFERROR(VLOOKUP(I27,'Price Lookup (extended)'!$A$5:$Q$204,4,FALSE)*(1+$H$6),"-")</f>
        <v/>
      </c>
      <c r="M27" s="61">
        <f>IFERROR(VLOOKUP(J27,'Price Lookup (extended)'!$A$5:$Q$204,6,FALSE)*(1+$H$6),"-")</f>
        <v/>
      </c>
      <c r="N27" s="61">
        <f>IFERROR(VLOOKUP(J27,'Price Lookup (extended)'!$A$5:$Q$204,8,FALSE)*(1+$H$6),"-")</f>
        <v/>
      </c>
      <c r="O27" s="61">
        <f>IFERROR(VLOOKUP(I27,'Price Lookup (extended)'!$A$5:$Q$204,10,FALSE)*(1+$H$6),"-")</f>
        <v/>
      </c>
      <c r="P27" s="61">
        <f>IFERROR(VLOOKUP(I27,'Price Lookup (extended)'!$A$5:$Q$204,12,FALSE)*(1+$H$6),"-")</f>
        <v/>
      </c>
      <c r="Q27" s="61">
        <f>IFERROR(VLOOKUP(J27,'Price Lookup (extended)'!$A$5:$Q$204,14,FALSE)*(1+$H$6),"-")</f>
        <v/>
      </c>
      <c r="R27" s="62">
        <f>IFERROR(VLOOKUP(J27,'Price Lookup (extended)'!$A$5:$Q$204,16,FALSE)*(1+$H$6),"-")</f>
        <v/>
      </c>
    </row>
    <row r="30" ht="21.95" customHeight="1" s="98">
      <c r="B30" s="99" t="inlineStr">
        <is>
          <t>C.  CONSOLIDATED BOX  —  what would it cost to pack Section A's items into one box?</t>
        </is>
      </c>
    </row>
    <row r="31" ht="25.5" customHeight="1" s="98">
      <c r="B31" s="111" t="inlineStr">
        <is>
          <t>Box size = the largest length/width/height needed across Section A's items, plus 2cm clearance on each dimension. Weight and declared value default to the totals from Section A — overwrite Declared value below if the consolidated shipment should be insured for a different amount.</t>
        </is>
      </c>
    </row>
    <row r="32" ht="38.25" customHeight="1" s="98">
      <c r="B32" s="18" t="n"/>
      <c r="C32" s="19" t="inlineStr">
        <is>
          <t>L</t>
        </is>
      </c>
      <c r="D32" s="19" t="inlineStr">
        <is>
          <t>W</t>
        </is>
      </c>
      <c r="E32" s="19" t="inlineStr">
        <is>
          <t>H</t>
        </is>
      </c>
      <c r="F32" s="19" t="inlineStr">
        <is>
          <t>Total
kg</t>
        </is>
      </c>
      <c r="G32" s="19" t="inlineStr">
        <is>
          <t>Vol wt
(/5000)</t>
        </is>
      </c>
      <c r="H32" s="19" t="inlineStr">
        <is>
          <t>Vol wt
(/4000)</t>
        </is>
      </c>
      <c r="I32" s="19" t="inlineStr">
        <is>
          <t>Charge wt
Local/PRI</t>
        </is>
      </c>
      <c r="J32" s="19" t="inlineStr">
        <is>
          <t>Charge wt
ECO/R</t>
        </is>
      </c>
      <c r="K32" s="19" t="inlineStr">
        <is>
          <t>National-LPF</t>
        </is>
      </c>
      <c r="L32" s="19" t="inlineStr">
        <is>
          <t>National-LPP</t>
        </is>
      </c>
      <c r="M32" s="19" t="inlineStr">
        <is>
          <t>National-ECO</t>
        </is>
      </c>
      <c r="N32" s="19" t="inlineStr">
        <is>
          <t>National-ECOR</t>
        </is>
      </c>
      <c r="O32" s="19" t="inlineStr">
        <is>
          <t>Ecomms-LPF</t>
        </is>
      </c>
      <c r="P32" s="19" t="inlineStr">
        <is>
          <t>Ecomms-LPP</t>
        </is>
      </c>
      <c r="Q32" s="19" t="inlineStr">
        <is>
          <t>Ecomms-ECO</t>
        </is>
      </c>
      <c r="R32" s="19" t="inlineStr">
        <is>
          <t>Ecomms-ECOR</t>
        </is>
      </c>
      <c r="S32" s="19" t="inlineStr">
        <is>
          <t>Declared
value</t>
        </is>
      </c>
      <c r="T32" s="20" t="inlineStr">
        <is>
          <t>Insurance premium
(incl VAT)</t>
        </is>
      </c>
    </row>
    <row r="33">
      <c r="B33" s="108" t="inlineStr">
        <is>
          <t>Consolidated box</t>
        </is>
      </c>
      <c r="C33" s="89">
        <f>IFERROR(MAX(D12:D16)+2,"")</f>
        <v/>
      </c>
      <c r="D33" s="89">
        <f>IFERROR(MAX(E12:E16)+2,"")</f>
        <v/>
      </c>
      <c r="E33" s="89">
        <f>IFERROR(MAX(F12:F16)+2,"")</f>
        <v/>
      </c>
      <c r="F33" s="86">
        <f>$G$17</f>
        <v/>
      </c>
      <c r="G33" s="86">
        <f>IF($C$17&gt;=1,(C33*D33*E33)/5000,"")</f>
        <v/>
      </c>
      <c r="H33" s="86">
        <f>IF($C$17&gt;=1,(C33*D33*E33)/4000,"")</f>
        <v/>
      </c>
      <c r="I33" s="13">
        <f>IF(MOD(MAX(N(G33),F33),1)&gt;=$P$6,ROUNDUP(MAX(N(G33),F33),0),ROUND(MAX(N(G33),F33),0))</f>
        <v/>
      </c>
      <c r="J33" s="13">
        <f>IF(MOD(MAX(N(H33),F33),1)&gt;=$P$6,ROUNDUP(MAX(N(H33),F33),0),ROUND(MAX(N(H33),F33),0))</f>
        <v/>
      </c>
      <c r="K33" s="61">
        <f>IFERROR(VLOOKUP(I33,'Price Lookup (extended)'!$A$5:$Q$204,2,FALSE)*(1+$H$6),"-")</f>
        <v/>
      </c>
      <c r="L33" s="61">
        <f>IFERROR(VLOOKUP(I33,'Price Lookup (extended)'!$A$5:$Q$204,4,FALSE)*(1+$H$6),"-")</f>
        <v/>
      </c>
      <c r="M33" s="61">
        <f>IFERROR(VLOOKUP(J33,'Price Lookup (extended)'!$A$5:$Q$204,6,FALSE)*(1+$H$6),"-")</f>
        <v/>
      </c>
      <c r="N33" s="61">
        <f>IFERROR(VLOOKUP(J33,'Price Lookup (extended)'!$A$5:$Q$204,8,FALSE)*(1+$H$6),"-")</f>
        <v/>
      </c>
      <c r="O33" s="61">
        <f>IFERROR(VLOOKUP(I33,'Price Lookup (extended)'!$A$5:$Q$204,10,FALSE)*(1+$H$6),"-")</f>
        <v/>
      </c>
      <c r="P33" s="61">
        <f>IFERROR(VLOOKUP(I33,'Price Lookup (extended)'!$A$5:$Q$204,12,FALSE)*(1+$H$6),"-")</f>
        <v/>
      </c>
      <c r="Q33" s="61">
        <f>IFERROR(VLOOKUP(J33,'Price Lookup (extended)'!$A$5:$Q$204,14,FALSE)*(1+$H$6),"-")</f>
        <v/>
      </c>
      <c r="R33" s="61">
        <f>IFERROR(VLOOKUP(J33,'Price Lookup (extended)'!$A$5:$Q$204,16,FALSE)*(1+$H$6),"-")</f>
        <v/>
      </c>
      <c r="S33" s="61">
        <f>$T$17</f>
        <v/>
      </c>
      <c r="T33" s="62">
        <f>IF(OR('Rate Card'!$C$7="NO",N(S33)&lt;=0),"-",MAX(MAX(0,N(S33)-'Rate Card'!$E$7)*'Rate Card'!$G$7*(1+'Rate Card'!$C$6),'Rate Card'!$I$7))</f>
        <v/>
      </c>
    </row>
    <row r="35" ht="21.95" customHeight="1" s="98">
      <c r="B35" s="99" t="inlineStr">
        <is>
          <t>D.  LOCKER SIZE REFERENCE  —  recommended parcel size to fit each PUDO locker</t>
        </is>
      </c>
    </row>
    <row r="36" ht="63.75" customHeight="1" s="98">
      <c r="B36" s="18" t="inlineStr">
        <is>
          <t>Locker size</t>
        </is>
      </c>
      <c r="C36" s="19" t="inlineStr">
        <is>
          <t>Locker inside (L)</t>
        </is>
      </c>
      <c r="D36" s="19" t="inlineStr">
        <is>
          <t>Locker inside (W)</t>
        </is>
      </c>
      <c r="E36" s="19" t="inlineStr">
        <is>
          <t>Locker inside (H)</t>
        </is>
      </c>
      <c r="F36" s="19" t="inlineStr">
        <is>
          <t>Max kg</t>
        </is>
      </c>
      <c r="G36" s="19" t="inlineStr">
        <is>
          <t>Recommended parcel L
(locker - 2cm)</t>
        </is>
      </c>
      <c r="H36" s="19" t="inlineStr">
        <is>
          <t>Recommended parcel W
(locker - 2cm)</t>
        </is>
      </c>
      <c r="I36" s="20" t="inlineStr">
        <is>
          <t>Recommended parcel H
(locker - 2cm)</t>
        </is>
      </c>
    </row>
    <row r="37">
      <c r="B37" s="101" t="inlineStr">
        <is>
          <t>Extra Small</t>
        </is>
      </c>
      <c r="C37" s="81" t="n">
        <v>60</v>
      </c>
      <c r="D37" s="81" t="n">
        <v>17</v>
      </c>
      <c r="E37" s="81" t="n">
        <v>8</v>
      </c>
      <c r="F37" s="81" t="n">
        <v>2</v>
      </c>
      <c r="G37" s="24">
        <f>C37-2</f>
        <v/>
      </c>
      <c r="H37" s="24">
        <f>D37-2</f>
        <v/>
      </c>
      <c r="I37" s="90">
        <f>E37-2</f>
        <v/>
      </c>
    </row>
    <row r="38">
      <c r="B38" s="66" t="inlineStr">
        <is>
          <t>Small</t>
        </is>
      </c>
      <c r="C38" s="83" t="n">
        <v>60</v>
      </c>
      <c r="D38" s="83" t="n">
        <v>41</v>
      </c>
      <c r="E38" s="83" t="n">
        <v>8</v>
      </c>
      <c r="F38" s="83" t="n">
        <v>5</v>
      </c>
      <c r="G38" s="30">
        <f>C38-2</f>
        <v/>
      </c>
      <c r="H38" s="30">
        <f>D38-2</f>
        <v/>
      </c>
      <c r="I38" s="91">
        <f>E38-2</f>
        <v/>
      </c>
    </row>
    <row r="39">
      <c r="B39" s="101" t="inlineStr">
        <is>
          <t>Medium</t>
        </is>
      </c>
      <c r="C39" s="81" t="n">
        <v>60</v>
      </c>
      <c r="D39" s="81" t="n">
        <v>41</v>
      </c>
      <c r="E39" s="81" t="n">
        <v>19</v>
      </c>
      <c r="F39" s="81" t="n">
        <v>10</v>
      </c>
      <c r="G39" s="24">
        <f>C39-2</f>
        <v/>
      </c>
      <c r="H39" s="24">
        <f>D39-2</f>
        <v/>
      </c>
      <c r="I39" s="90">
        <f>E39-2</f>
        <v/>
      </c>
    </row>
    <row r="40">
      <c r="B40" s="66" t="inlineStr">
        <is>
          <t>Large</t>
        </is>
      </c>
      <c r="C40" s="83" t="n">
        <v>60</v>
      </c>
      <c r="D40" s="83" t="n">
        <v>41</v>
      </c>
      <c r="E40" s="83" t="n">
        <v>41</v>
      </c>
      <c r="F40" s="83" t="n">
        <v>15</v>
      </c>
      <c r="G40" s="30">
        <f>C40-2</f>
        <v/>
      </c>
      <c r="H40" s="30">
        <f>D40-2</f>
        <v/>
      </c>
      <c r="I40" s="91">
        <f>E40-2</f>
        <v/>
      </c>
    </row>
    <row r="41">
      <c r="B41" s="70" t="inlineStr">
        <is>
          <t>Extra-Large (XL)</t>
        </is>
      </c>
      <c r="C41" s="88" t="n">
        <v>60</v>
      </c>
      <c r="D41" s="88" t="n">
        <v>41</v>
      </c>
      <c r="E41" s="88" t="n">
        <v>69</v>
      </c>
      <c r="F41" s="88" t="n">
        <v>20</v>
      </c>
      <c r="G41" s="34">
        <f>C41-2</f>
        <v/>
      </c>
      <c r="H41" s="34">
        <f>D41-2</f>
        <v/>
      </c>
      <c r="I41" s="92">
        <f>E41-2</f>
        <v/>
      </c>
    </row>
    <row r="42">
      <c r="B42" s="104" t="inlineStr">
        <is>
          <t>See the 'Rate Card' sheet for locker pricing (Locker&lt;-&gt;Locker, Locker&lt;-&gt;Door, etc.).</t>
        </is>
      </c>
    </row>
  </sheetData>
  <mergeCells count="11">
    <mergeCell ref="B21:S21"/>
    <mergeCell ref="B30:V30"/>
    <mergeCell ref="B31:T31"/>
    <mergeCell ref="B18:U18"/>
    <mergeCell ref="B2:S2"/>
    <mergeCell ref="B5:S5"/>
    <mergeCell ref="B3:S3"/>
    <mergeCell ref="B20:V20"/>
    <mergeCell ref="B10:V10"/>
    <mergeCell ref="B8:S8"/>
    <mergeCell ref="B35:V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style="98" min="1" max="1"/>
    <col width="13" customWidth="1" style="98" min="2" max="17"/>
  </cols>
  <sheetData>
    <row r="1" ht="16.5" customHeight="1" s="98">
      <c r="A1" s="114" t="inlineStr">
        <is>
          <t>Price Lookup (extended) — internal helper sheet, feeds the Volumetric Calculator</t>
        </is>
      </c>
    </row>
    <row r="2" ht="30" customHeight="1" s="98">
      <c r="A2" s="111" t="inlineStr">
        <is>
          <t>Do not edit here. Every price below is a formula pointing at the 'Rate Card' sheet's hidden source-input cells, extended out to 200kg so the calculator can look up heavy or bulky consolidated shipments. LPF/LPP are blank beyond 35kg because the rate cards say to use the ECO/ECOR rate at that point instead (shown in the next columns).</t>
        </is>
      </c>
    </row>
    <row r="4" ht="15.95" customHeight="1" s="98">
      <c r="A4" s="72" t="inlineStr">
        <is>
          <t>Kg</t>
        </is>
      </c>
      <c r="B4" s="73" t="inlineStr">
        <is>
          <t>NAT-LPF-excl</t>
        </is>
      </c>
      <c r="C4" s="73" t="inlineStr">
        <is>
          <t>NAT-LPF-incl</t>
        </is>
      </c>
      <c r="D4" s="73" t="inlineStr">
        <is>
          <t>NAT-LPP-excl</t>
        </is>
      </c>
      <c r="E4" s="73" t="inlineStr">
        <is>
          <t>NAT-LPP-incl</t>
        </is>
      </c>
      <c r="F4" s="73" t="inlineStr">
        <is>
          <t>NAT-ECO-excl</t>
        </is>
      </c>
      <c r="G4" s="73" t="inlineStr">
        <is>
          <t>NAT-ECO-incl</t>
        </is>
      </c>
      <c r="H4" s="73" t="inlineStr">
        <is>
          <t>NAT-ECOR-excl</t>
        </is>
      </c>
      <c r="I4" s="73" t="inlineStr">
        <is>
          <t>NAT-ECOR-incl</t>
        </is>
      </c>
      <c r="J4" s="73" t="inlineStr">
        <is>
          <t>ECO-LPF-excl</t>
        </is>
      </c>
      <c r="K4" s="73" t="inlineStr">
        <is>
          <t>ECO-LPF-incl</t>
        </is>
      </c>
      <c r="L4" s="73" t="inlineStr">
        <is>
          <t>ECO-LPP-excl</t>
        </is>
      </c>
      <c r="M4" s="73" t="inlineStr">
        <is>
          <t>ECO-LPP-incl</t>
        </is>
      </c>
      <c r="N4" s="73" t="inlineStr">
        <is>
          <t>ECO-ECO-excl</t>
        </is>
      </c>
      <c r="O4" s="73" t="inlineStr">
        <is>
          <t>ECO-ECO-incl</t>
        </is>
      </c>
      <c r="P4" s="73" t="inlineStr">
        <is>
          <t>ECO-ECOR-excl</t>
        </is>
      </c>
      <c r="Q4" s="74" t="inlineStr">
        <is>
          <t>ECO-ECOR-incl</t>
        </is>
      </c>
    </row>
    <row r="5">
      <c r="A5" s="75" t="n">
        <v>1</v>
      </c>
      <c r="B5" s="23">
        <f>IF(1&lt;=5,'Rate Card'!$AD$20,'Rate Card'!$AD$20+(1-5)*'Rate Card'!$AE$20)</f>
        <v/>
      </c>
      <c r="C5" s="23">
        <f>ROUND((IF(1&lt;=5,'Rate Card'!$AD$20,'Rate Card'!$AD$20+(1-5)*'Rate Card'!$AE$20))*(1+'Rate Card'!$C$6),2)+ROUND(ROUND((IF(1&lt;=5,'Rate Card'!$AD$20,'Rate Card'!$AD$20+(1-5)*'Rate Card'!$AE$20))*(1+'Rate Card'!$C$6),2)*(IF('Rate Card'!$G$6="YES",'Rate Card'!$E$6,0)+IF('Rate Card'!$K$6="YES",'Rate Card'!$I$6,0)),2)</f>
        <v/>
      </c>
      <c r="D5" s="23">
        <f>IF(1&lt;=15,'Rate Card'!$AD$21,'Rate Card'!$AD$21+(1-15)*'Rate Card'!$AE$21)</f>
        <v/>
      </c>
      <c r="E5" s="23">
        <f>ROUND((IF(1&lt;=15,'Rate Card'!$AD$21,'Rate Card'!$AD$21+(1-15)*'Rate Card'!$AE$21))*(1+'Rate Card'!$C$6),2)+ROUND(ROUND((IF(1&lt;=15,'Rate Card'!$AD$21,'Rate Card'!$AD$21+(1-15)*'Rate Card'!$AE$21))*(1+'Rate Card'!$C$6),2)*(IF('Rate Card'!$G$6="YES",'Rate Card'!$E$6,0)+IF('Rate Card'!$K$6="YES",'Rate Card'!$I$6,0)),2)</f>
        <v/>
      </c>
      <c r="F5" s="23">
        <f>IF(1&lt;=2,'Rate Card'!$AD$22,IF(1&lt;=5,'Rate Card'!$AE$22,IF(1&lt;=10,'Rate Card'!$AF$22,IF(1&lt;=15,'Rate Card'!$AG$22,IF(1&lt;=20,'Rate Card'!$AH$22,IF(1&lt;=35,'Rate Card'!$AH$22+(1-20)*'Rate Card'!$AI$22,'Rate Card'!$AK$22+(1-35)*'Rate Card'!$AJ$22))))))</f>
        <v/>
      </c>
      <c r="G5" s="23">
        <f>ROUND((IF(1&lt;=2,'Rate Card'!$AD$22,IF(1&lt;=5,'Rate Card'!$AE$22,IF(1&lt;=10,'Rate Card'!$AF$22,IF(1&lt;=15,'Rate Card'!$AG$22,IF(1&lt;=20,'Rate Card'!$AH$22,IF(1&lt;=35,'Rate Card'!$AH$22+(1-20)*'Rate Card'!$AI$22,'Rate Card'!$AK$22+(1-35)*'Rate Card'!$AJ$22)))))))*(1+'Rate Card'!$C$6),2)+ROUND(ROUND((IF(1&lt;=2,'Rate Card'!$AD$22,IF(1&lt;=5,'Rate Card'!$AE$22,IF(1&lt;=10,'Rate Card'!$AF$22,IF(1&lt;=15,'Rate Card'!$AG$22,IF(1&lt;=20,'Rate Card'!$AH$22,IF(1&lt;=35,'Rate Card'!$AH$22+(1-20)*'Rate Card'!$AI$22,'Rate Card'!$AK$22+(1-35)*'Rate Card'!$AJ$22)))))))*(1+'Rate Card'!$C$6),2)*(IF('Rate Card'!$G$6="YES",'Rate Card'!$E$6,0)+IF('Rate Card'!$K$6="YES",'Rate Card'!$I$6,0)),2)</f>
        <v/>
      </c>
      <c r="H5" s="23">
        <f>IF(1&lt;=2,'Rate Card'!$AD$23,IF(1&lt;=5,'Rate Card'!$AE$23,IF(1&lt;=10,'Rate Card'!$AF$23,IF(1&lt;=15,'Rate Card'!$AG$23,IF(1&lt;=20,'Rate Card'!$AH$23,IF(1&lt;=35,'Rate Card'!$AH$23+(1-20)*'Rate Card'!$AI$23,'Rate Card'!$AK$23+(1-35)*'Rate Card'!$AJ$23))))))</f>
        <v/>
      </c>
      <c r="I5" s="23">
        <f>ROUND((IF(1&lt;=2,'Rate Card'!$AD$23,IF(1&lt;=5,'Rate Card'!$AE$23,IF(1&lt;=10,'Rate Card'!$AF$23,IF(1&lt;=15,'Rate Card'!$AG$23,IF(1&lt;=20,'Rate Card'!$AH$23,IF(1&lt;=35,'Rate Card'!$AH$23+(1-20)*'Rate Card'!$AI$23,'Rate Card'!$AK$23+(1-35)*'Rate Card'!$AJ$23)))))))*(1+'Rate Card'!$C$6),2)+ROUND(ROUND((IF(1&lt;=2,'Rate Card'!$AD$23,IF(1&lt;=5,'Rate Card'!$AE$23,IF(1&lt;=10,'Rate Card'!$AF$23,IF(1&lt;=15,'Rate Card'!$AG$23,IF(1&lt;=20,'Rate Card'!$AH$23,IF(1&lt;=35,'Rate Card'!$AH$23+(1-20)*'Rate Card'!$AI$23,'Rate Card'!$AK$23+(1-35)*'Rate Card'!$AJ$23)))))))*(1+'Rate Card'!$C$6),2)*(IF('Rate Card'!$G$6="YES",'Rate Card'!$E$6,0)+IF('Rate Card'!$K$6="YES",'Rate Card'!$I$6,0)),2)</f>
        <v/>
      </c>
      <c r="J5" s="23">
        <f>IF(1&lt;=5,'Rate Card'!$AD$117,'Rate Card'!$AD$117+(1-5)*'Rate Card'!$AE$117)</f>
        <v/>
      </c>
      <c r="K5" s="23">
        <f>ROUND((IF(1&lt;=5,'Rate Card'!$AD$117,'Rate Card'!$AD$117+(1-5)*'Rate Card'!$AE$117))*(1+'Rate Card'!$C$6),2)+ROUND(ROUND((IF(1&lt;=5,'Rate Card'!$AD$117,'Rate Card'!$AD$117+(1-5)*'Rate Card'!$AE$117))*(1+'Rate Card'!$C$6),2)*(IF('Rate Card'!$G$6="YES",'Rate Card'!$E$6,0)+IF('Rate Card'!$K$6="YES",'Rate Card'!$I$6,0)),2)</f>
        <v/>
      </c>
      <c r="L5" s="23">
        <f>IF(1&lt;=15,'Rate Card'!$AD$118,'Rate Card'!$AD$118+(1-15)*'Rate Card'!$AE$118)</f>
        <v/>
      </c>
      <c r="M5" s="23">
        <f>ROUND((IF(1&lt;=15,'Rate Card'!$AD$118,'Rate Card'!$AD$118+(1-15)*'Rate Card'!$AE$118))*(1+'Rate Card'!$C$6),2)+ROUND(ROUND((IF(1&lt;=15,'Rate Card'!$AD$118,'Rate Card'!$AD$118+(1-15)*'Rate Card'!$AE$118))*(1+'Rate Card'!$C$6),2)*(IF('Rate Card'!$G$6="YES",'Rate Card'!$E$6,0)+IF('Rate Card'!$K$6="YES",'Rate Card'!$I$6,0)),2)</f>
        <v/>
      </c>
      <c r="N5" s="23">
        <f>IF(1&lt;=2,'Rate Card'!$AD$119,IF(1&lt;=5,'Rate Card'!$AE$119,IF(1&lt;=10,'Rate Card'!$AF$119,IF(1&lt;=15,'Rate Card'!$AG$119,IF(1&lt;=20,'Rate Card'!$AH$119,IF(1&lt;=35,'Rate Card'!$AH$119+(1-20)*'Rate Card'!$AI$119,'Rate Card'!$AK$119+(1-35)*'Rate Card'!$AJ$119))))))</f>
        <v/>
      </c>
      <c r="O5" s="23">
        <f>ROUND((IF(1&lt;=2,'Rate Card'!$AD$119,IF(1&lt;=5,'Rate Card'!$AE$119,IF(1&lt;=10,'Rate Card'!$AF$119,IF(1&lt;=15,'Rate Card'!$AG$119,IF(1&lt;=20,'Rate Card'!$AH$119,IF(1&lt;=35,'Rate Card'!$AH$119+(1-20)*'Rate Card'!$AI$119,'Rate Card'!$AK$119+(1-35)*'Rate Card'!$AJ$119)))))))*(1+'Rate Card'!$C$6),2)+ROUND(ROUND((IF(1&lt;=2,'Rate Card'!$AD$119,IF(1&lt;=5,'Rate Card'!$AE$119,IF(1&lt;=10,'Rate Card'!$AF$119,IF(1&lt;=15,'Rate Card'!$AG$119,IF(1&lt;=20,'Rate Card'!$AH$119,IF(1&lt;=35,'Rate Card'!$AH$119+(1-20)*'Rate Card'!$AI$119,'Rate Card'!$AK$119+(1-35)*'Rate Card'!$AJ$119)))))))*(1+'Rate Card'!$C$6),2)*(IF('Rate Card'!$G$6="YES",'Rate Card'!$E$6,0)+IF('Rate Card'!$K$6="YES",'Rate Card'!$I$6,0)),2)</f>
        <v/>
      </c>
      <c r="P5" s="23">
        <f>IF(1&lt;=2,'Rate Card'!$AD$120,IF(1&lt;=5,'Rate Card'!$AE$120,IF(1&lt;=10,'Rate Card'!$AF$120,IF(1&lt;=15,'Rate Card'!$AG$120,IF(1&lt;=20,'Rate Card'!$AH$120,IF(1&lt;=35,'Rate Card'!$AH$120+(1-20)*'Rate Card'!$AI$120,'Rate Card'!$AK$120+(1-35)*'Rate Card'!$AJ$120))))))</f>
        <v/>
      </c>
      <c r="Q5" s="12">
        <f>ROUND((IF(1&lt;=2,'Rate Card'!$AD$120,IF(1&lt;=5,'Rate Card'!$AE$120,IF(1&lt;=10,'Rate Card'!$AF$120,IF(1&lt;=15,'Rate Card'!$AG$120,IF(1&lt;=20,'Rate Card'!$AH$120,IF(1&lt;=35,'Rate Card'!$AH$120+(1-20)*'Rate Card'!$AI$120,'Rate Card'!$AK$120+(1-35)*'Rate Card'!$AJ$120)))))))*(1+'Rate Card'!$C$6),2)+ROUND(ROUND((IF(1&lt;=2,'Rate Card'!$AD$120,IF(1&lt;=5,'Rate Card'!$AE$120,IF(1&lt;=10,'Rate Card'!$AF$120,IF(1&lt;=15,'Rate Card'!$AG$120,IF(1&lt;=20,'Rate Card'!$AH$120,IF(1&lt;=35,'Rate Card'!$AH$120+(1-20)*'Rate Card'!$AI$120,'Rate Card'!$AK$120+(1-35)*'Rate Card'!$AJ$120)))))))*(1+'Rate Card'!$C$6),2)*(IF('Rate Card'!$G$6="YES",'Rate Card'!$E$6,0)+IF('Rate Card'!$K$6="YES",'Rate Card'!$I$6,0)),2)</f>
        <v/>
      </c>
    </row>
    <row r="6">
      <c r="A6" s="75" t="n">
        <v>2</v>
      </c>
      <c r="B6" s="23">
        <f>IF(2&lt;=5,'Rate Card'!$AD$20,'Rate Card'!$AD$20+(2-5)*'Rate Card'!$AE$20)</f>
        <v/>
      </c>
      <c r="C6" s="23">
        <f>ROUND((IF(2&lt;=5,'Rate Card'!$AD$20,'Rate Card'!$AD$20+(2-5)*'Rate Card'!$AE$20))*(1+'Rate Card'!$C$6),2)+ROUND(ROUND((IF(2&lt;=5,'Rate Card'!$AD$20,'Rate Card'!$AD$20+(2-5)*'Rate Card'!$AE$20))*(1+'Rate Card'!$C$6),2)*(IF('Rate Card'!$G$6="YES",'Rate Card'!$E$6,0)+IF('Rate Card'!$K$6="YES",'Rate Card'!$I$6,0)),2)</f>
        <v/>
      </c>
      <c r="D6" s="23">
        <f>IF(2&lt;=15,'Rate Card'!$AD$21,'Rate Card'!$AD$21+(2-15)*'Rate Card'!$AE$21)</f>
        <v/>
      </c>
      <c r="E6" s="23">
        <f>ROUND((IF(2&lt;=15,'Rate Card'!$AD$21,'Rate Card'!$AD$21+(2-15)*'Rate Card'!$AE$21))*(1+'Rate Card'!$C$6),2)+ROUND(ROUND((IF(2&lt;=15,'Rate Card'!$AD$21,'Rate Card'!$AD$21+(2-15)*'Rate Card'!$AE$21))*(1+'Rate Card'!$C$6),2)*(IF('Rate Card'!$G$6="YES",'Rate Card'!$E$6,0)+IF('Rate Card'!$K$6="YES",'Rate Card'!$I$6,0)),2)</f>
        <v/>
      </c>
      <c r="F6" s="23">
        <f>IF(2&lt;=2,'Rate Card'!$AD$22,IF(2&lt;=5,'Rate Card'!$AE$22,IF(2&lt;=10,'Rate Card'!$AF$22,IF(2&lt;=15,'Rate Card'!$AG$22,IF(2&lt;=20,'Rate Card'!$AH$22,IF(2&lt;=35,'Rate Card'!$AH$22+(2-20)*'Rate Card'!$AI$22,'Rate Card'!$AK$22+(2-35)*'Rate Card'!$AJ$22))))))</f>
        <v/>
      </c>
      <c r="G6" s="23">
        <f>ROUND((IF(2&lt;=2,'Rate Card'!$AD$22,IF(2&lt;=5,'Rate Card'!$AE$22,IF(2&lt;=10,'Rate Card'!$AF$22,IF(2&lt;=15,'Rate Card'!$AG$22,IF(2&lt;=20,'Rate Card'!$AH$22,IF(2&lt;=35,'Rate Card'!$AH$22+(2-20)*'Rate Card'!$AI$22,'Rate Card'!$AK$22+(2-35)*'Rate Card'!$AJ$22)))))))*(1+'Rate Card'!$C$6),2)+ROUND(ROUND((IF(2&lt;=2,'Rate Card'!$AD$22,IF(2&lt;=5,'Rate Card'!$AE$22,IF(2&lt;=10,'Rate Card'!$AF$22,IF(2&lt;=15,'Rate Card'!$AG$22,IF(2&lt;=20,'Rate Card'!$AH$22,IF(2&lt;=35,'Rate Card'!$AH$22+(2-20)*'Rate Card'!$AI$22,'Rate Card'!$AK$22+(2-35)*'Rate Card'!$AJ$22)))))))*(1+'Rate Card'!$C$6),2)*(IF('Rate Card'!$G$6="YES",'Rate Card'!$E$6,0)+IF('Rate Card'!$K$6="YES",'Rate Card'!$I$6,0)),2)</f>
        <v/>
      </c>
      <c r="H6" s="23">
        <f>IF(2&lt;=2,'Rate Card'!$AD$23,IF(2&lt;=5,'Rate Card'!$AE$23,IF(2&lt;=10,'Rate Card'!$AF$23,IF(2&lt;=15,'Rate Card'!$AG$23,IF(2&lt;=20,'Rate Card'!$AH$23,IF(2&lt;=35,'Rate Card'!$AH$23+(2-20)*'Rate Card'!$AI$23,'Rate Card'!$AK$23+(2-35)*'Rate Card'!$AJ$23))))))</f>
        <v/>
      </c>
      <c r="I6" s="23">
        <f>ROUND((IF(2&lt;=2,'Rate Card'!$AD$23,IF(2&lt;=5,'Rate Card'!$AE$23,IF(2&lt;=10,'Rate Card'!$AF$23,IF(2&lt;=15,'Rate Card'!$AG$23,IF(2&lt;=20,'Rate Card'!$AH$23,IF(2&lt;=35,'Rate Card'!$AH$23+(2-20)*'Rate Card'!$AI$23,'Rate Card'!$AK$23+(2-35)*'Rate Card'!$AJ$23)))))))*(1+'Rate Card'!$C$6),2)+ROUND(ROUND((IF(2&lt;=2,'Rate Card'!$AD$23,IF(2&lt;=5,'Rate Card'!$AE$23,IF(2&lt;=10,'Rate Card'!$AF$23,IF(2&lt;=15,'Rate Card'!$AG$23,IF(2&lt;=20,'Rate Card'!$AH$23,IF(2&lt;=35,'Rate Card'!$AH$23+(2-20)*'Rate Card'!$AI$23,'Rate Card'!$AK$23+(2-35)*'Rate Card'!$AJ$23)))))))*(1+'Rate Card'!$C$6),2)*(IF('Rate Card'!$G$6="YES",'Rate Card'!$E$6,0)+IF('Rate Card'!$K$6="YES",'Rate Card'!$I$6,0)),2)</f>
        <v/>
      </c>
      <c r="J6" s="23">
        <f>IF(2&lt;=5,'Rate Card'!$AD$117,'Rate Card'!$AD$117+(2-5)*'Rate Card'!$AE$117)</f>
        <v/>
      </c>
      <c r="K6" s="23">
        <f>ROUND((IF(2&lt;=5,'Rate Card'!$AD$117,'Rate Card'!$AD$117+(2-5)*'Rate Card'!$AE$117))*(1+'Rate Card'!$C$6),2)+ROUND(ROUND((IF(2&lt;=5,'Rate Card'!$AD$117,'Rate Card'!$AD$117+(2-5)*'Rate Card'!$AE$117))*(1+'Rate Card'!$C$6),2)*(IF('Rate Card'!$G$6="YES",'Rate Card'!$E$6,0)+IF('Rate Card'!$K$6="YES",'Rate Card'!$I$6,0)),2)</f>
        <v/>
      </c>
      <c r="L6" s="23">
        <f>IF(2&lt;=15,'Rate Card'!$AD$118,'Rate Card'!$AD$118+(2-15)*'Rate Card'!$AE$118)</f>
        <v/>
      </c>
      <c r="M6" s="23">
        <f>ROUND((IF(2&lt;=15,'Rate Card'!$AD$118,'Rate Card'!$AD$118+(2-15)*'Rate Card'!$AE$118))*(1+'Rate Card'!$C$6),2)+ROUND(ROUND((IF(2&lt;=15,'Rate Card'!$AD$118,'Rate Card'!$AD$118+(2-15)*'Rate Card'!$AE$118))*(1+'Rate Card'!$C$6),2)*(IF('Rate Card'!$G$6="YES",'Rate Card'!$E$6,0)+IF('Rate Card'!$K$6="YES",'Rate Card'!$I$6,0)),2)</f>
        <v/>
      </c>
      <c r="N6" s="23">
        <f>IF(2&lt;=2,'Rate Card'!$AD$119,IF(2&lt;=5,'Rate Card'!$AE$119,IF(2&lt;=10,'Rate Card'!$AF$119,IF(2&lt;=15,'Rate Card'!$AG$119,IF(2&lt;=20,'Rate Card'!$AH$119,IF(2&lt;=35,'Rate Card'!$AH$119+(2-20)*'Rate Card'!$AI$119,'Rate Card'!$AK$119+(2-35)*'Rate Card'!$AJ$119))))))</f>
        <v/>
      </c>
      <c r="O6" s="23">
        <f>ROUND((IF(2&lt;=2,'Rate Card'!$AD$119,IF(2&lt;=5,'Rate Card'!$AE$119,IF(2&lt;=10,'Rate Card'!$AF$119,IF(2&lt;=15,'Rate Card'!$AG$119,IF(2&lt;=20,'Rate Card'!$AH$119,IF(2&lt;=35,'Rate Card'!$AH$119+(2-20)*'Rate Card'!$AI$119,'Rate Card'!$AK$119+(2-35)*'Rate Card'!$AJ$119)))))))*(1+'Rate Card'!$C$6),2)+ROUND(ROUND((IF(2&lt;=2,'Rate Card'!$AD$119,IF(2&lt;=5,'Rate Card'!$AE$119,IF(2&lt;=10,'Rate Card'!$AF$119,IF(2&lt;=15,'Rate Card'!$AG$119,IF(2&lt;=20,'Rate Card'!$AH$119,IF(2&lt;=35,'Rate Card'!$AH$119+(2-20)*'Rate Card'!$AI$119,'Rate Card'!$AK$119+(2-35)*'Rate Card'!$AJ$119)))))))*(1+'Rate Card'!$C$6),2)*(IF('Rate Card'!$G$6="YES",'Rate Card'!$E$6,0)+IF('Rate Card'!$K$6="YES",'Rate Card'!$I$6,0)),2)</f>
        <v/>
      </c>
      <c r="P6" s="23">
        <f>IF(2&lt;=2,'Rate Card'!$AD$120,IF(2&lt;=5,'Rate Card'!$AE$120,IF(2&lt;=10,'Rate Card'!$AF$120,IF(2&lt;=15,'Rate Card'!$AG$120,IF(2&lt;=20,'Rate Card'!$AH$120,IF(2&lt;=35,'Rate Card'!$AH$120+(2-20)*'Rate Card'!$AI$120,'Rate Card'!$AK$120+(2-35)*'Rate Card'!$AJ$120))))))</f>
        <v/>
      </c>
      <c r="Q6" s="12">
        <f>ROUND((IF(2&lt;=2,'Rate Card'!$AD$120,IF(2&lt;=5,'Rate Card'!$AE$120,IF(2&lt;=10,'Rate Card'!$AF$120,IF(2&lt;=15,'Rate Card'!$AG$120,IF(2&lt;=20,'Rate Card'!$AH$120,IF(2&lt;=35,'Rate Card'!$AH$120+(2-20)*'Rate Card'!$AI$120,'Rate Card'!$AK$120+(2-35)*'Rate Card'!$AJ$120)))))))*(1+'Rate Card'!$C$6),2)+ROUND(ROUND((IF(2&lt;=2,'Rate Card'!$AD$120,IF(2&lt;=5,'Rate Card'!$AE$120,IF(2&lt;=10,'Rate Card'!$AF$120,IF(2&lt;=15,'Rate Card'!$AG$120,IF(2&lt;=20,'Rate Card'!$AH$120,IF(2&lt;=35,'Rate Card'!$AH$120+(2-20)*'Rate Card'!$AI$120,'Rate Card'!$AK$120+(2-35)*'Rate Card'!$AJ$120)))))))*(1+'Rate Card'!$C$6),2)*(IF('Rate Card'!$G$6="YES",'Rate Card'!$E$6,0)+IF('Rate Card'!$K$6="YES",'Rate Card'!$I$6,0)),2)</f>
        <v/>
      </c>
    </row>
    <row r="7">
      <c r="A7" s="75" t="n">
        <v>3</v>
      </c>
      <c r="B7" s="23">
        <f>IF(3&lt;=5,'Rate Card'!$AD$20,'Rate Card'!$AD$20+(3-5)*'Rate Card'!$AE$20)</f>
        <v/>
      </c>
      <c r="C7" s="23">
        <f>ROUND((IF(3&lt;=5,'Rate Card'!$AD$20,'Rate Card'!$AD$20+(3-5)*'Rate Card'!$AE$20))*(1+'Rate Card'!$C$6),2)+ROUND(ROUND((IF(3&lt;=5,'Rate Card'!$AD$20,'Rate Card'!$AD$20+(3-5)*'Rate Card'!$AE$20))*(1+'Rate Card'!$C$6),2)*(IF('Rate Card'!$G$6="YES",'Rate Card'!$E$6,0)+IF('Rate Card'!$K$6="YES",'Rate Card'!$I$6,0)),2)</f>
        <v/>
      </c>
      <c r="D7" s="23">
        <f>IF(3&lt;=15,'Rate Card'!$AD$21,'Rate Card'!$AD$21+(3-15)*'Rate Card'!$AE$21)</f>
        <v/>
      </c>
      <c r="E7" s="23">
        <f>ROUND((IF(3&lt;=15,'Rate Card'!$AD$21,'Rate Card'!$AD$21+(3-15)*'Rate Card'!$AE$21))*(1+'Rate Card'!$C$6),2)+ROUND(ROUND((IF(3&lt;=15,'Rate Card'!$AD$21,'Rate Card'!$AD$21+(3-15)*'Rate Card'!$AE$21))*(1+'Rate Card'!$C$6),2)*(IF('Rate Card'!$G$6="YES",'Rate Card'!$E$6,0)+IF('Rate Card'!$K$6="YES",'Rate Card'!$I$6,0)),2)</f>
        <v/>
      </c>
      <c r="F7" s="23">
        <f>IF(3&lt;=2,'Rate Card'!$AD$22,IF(3&lt;=5,'Rate Card'!$AE$22,IF(3&lt;=10,'Rate Card'!$AF$22,IF(3&lt;=15,'Rate Card'!$AG$22,IF(3&lt;=20,'Rate Card'!$AH$22,IF(3&lt;=35,'Rate Card'!$AH$22+(3-20)*'Rate Card'!$AI$22,'Rate Card'!$AK$22+(3-35)*'Rate Card'!$AJ$22))))))</f>
        <v/>
      </c>
      <c r="G7" s="23">
        <f>ROUND((IF(3&lt;=2,'Rate Card'!$AD$22,IF(3&lt;=5,'Rate Card'!$AE$22,IF(3&lt;=10,'Rate Card'!$AF$22,IF(3&lt;=15,'Rate Card'!$AG$22,IF(3&lt;=20,'Rate Card'!$AH$22,IF(3&lt;=35,'Rate Card'!$AH$22+(3-20)*'Rate Card'!$AI$22,'Rate Card'!$AK$22+(3-35)*'Rate Card'!$AJ$22)))))))*(1+'Rate Card'!$C$6),2)+ROUND(ROUND((IF(3&lt;=2,'Rate Card'!$AD$22,IF(3&lt;=5,'Rate Card'!$AE$22,IF(3&lt;=10,'Rate Card'!$AF$22,IF(3&lt;=15,'Rate Card'!$AG$22,IF(3&lt;=20,'Rate Card'!$AH$22,IF(3&lt;=35,'Rate Card'!$AH$22+(3-20)*'Rate Card'!$AI$22,'Rate Card'!$AK$22+(3-35)*'Rate Card'!$AJ$22)))))))*(1+'Rate Card'!$C$6),2)*(IF('Rate Card'!$G$6="YES",'Rate Card'!$E$6,0)+IF('Rate Card'!$K$6="YES",'Rate Card'!$I$6,0)),2)</f>
        <v/>
      </c>
      <c r="H7" s="23">
        <f>IF(3&lt;=2,'Rate Card'!$AD$23,IF(3&lt;=5,'Rate Card'!$AE$23,IF(3&lt;=10,'Rate Card'!$AF$23,IF(3&lt;=15,'Rate Card'!$AG$23,IF(3&lt;=20,'Rate Card'!$AH$23,IF(3&lt;=35,'Rate Card'!$AH$23+(3-20)*'Rate Card'!$AI$23,'Rate Card'!$AK$23+(3-35)*'Rate Card'!$AJ$23))))))</f>
        <v/>
      </c>
      <c r="I7" s="23">
        <f>ROUND((IF(3&lt;=2,'Rate Card'!$AD$23,IF(3&lt;=5,'Rate Card'!$AE$23,IF(3&lt;=10,'Rate Card'!$AF$23,IF(3&lt;=15,'Rate Card'!$AG$23,IF(3&lt;=20,'Rate Card'!$AH$23,IF(3&lt;=35,'Rate Card'!$AH$23+(3-20)*'Rate Card'!$AI$23,'Rate Card'!$AK$23+(3-35)*'Rate Card'!$AJ$23)))))))*(1+'Rate Card'!$C$6),2)+ROUND(ROUND((IF(3&lt;=2,'Rate Card'!$AD$23,IF(3&lt;=5,'Rate Card'!$AE$23,IF(3&lt;=10,'Rate Card'!$AF$23,IF(3&lt;=15,'Rate Card'!$AG$23,IF(3&lt;=20,'Rate Card'!$AH$23,IF(3&lt;=35,'Rate Card'!$AH$23+(3-20)*'Rate Card'!$AI$23,'Rate Card'!$AK$23+(3-35)*'Rate Card'!$AJ$23)))))))*(1+'Rate Card'!$C$6),2)*(IF('Rate Card'!$G$6="YES",'Rate Card'!$E$6,0)+IF('Rate Card'!$K$6="YES",'Rate Card'!$I$6,0)),2)</f>
        <v/>
      </c>
      <c r="J7" s="23">
        <f>IF(3&lt;=5,'Rate Card'!$AD$117,'Rate Card'!$AD$117+(3-5)*'Rate Card'!$AE$117)</f>
        <v/>
      </c>
      <c r="K7" s="23">
        <f>ROUND((IF(3&lt;=5,'Rate Card'!$AD$117,'Rate Card'!$AD$117+(3-5)*'Rate Card'!$AE$117))*(1+'Rate Card'!$C$6),2)+ROUND(ROUND((IF(3&lt;=5,'Rate Card'!$AD$117,'Rate Card'!$AD$117+(3-5)*'Rate Card'!$AE$117))*(1+'Rate Card'!$C$6),2)*(IF('Rate Card'!$G$6="YES",'Rate Card'!$E$6,0)+IF('Rate Card'!$K$6="YES",'Rate Card'!$I$6,0)),2)</f>
        <v/>
      </c>
      <c r="L7" s="23">
        <f>IF(3&lt;=15,'Rate Card'!$AD$118,'Rate Card'!$AD$118+(3-15)*'Rate Card'!$AE$118)</f>
        <v/>
      </c>
      <c r="M7" s="23">
        <f>ROUND((IF(3&lt;=15,'Rate Card'!$AD$118,'Rate Card'!$AD$118+(3-15)*'Rate Card'!$AE$118))*(1+'Rate Card'!$C$6),2)+ROUND(ROUND((IF(3&lt;=15,'Rate Card'!$AD$118,'Rate Card'!$AD$118+(3-15)*'Rate Card'!$AE$118))*(1+'Rate Card'!$C$6),2)*(IF('Rate Card'!$G$6="YES",'Rate Card'!$E$6,0)+IF('Rate Card'!$K$6="YES",'Rate Card'!$I$6,0)),2)</f>
        <v/>
      </c>
      <c r="N7" s="23">
        <f>IF(3&lt;=2,'Rate Card'!$AD$119,IF(3&lt;=5,'Rate Card'!$AE$119,IF(3&lt;=10,'Rate Card'!$AF$119,IF(3&lt;=15,'Rate Card'!$AG$119,IF(3&lt;=20,'Rate Card'!$AH$119,IF(3&lt;=35,'Rate Card'!$AH$119+(3-20)*'Rate Card'!$AI$119,'Rate Card'!$AK$119+(3-35)*'Rate Card'!$AJ$119))))))</f>
        <v/>
      </c>
      <c r="O7" s="23">
        <f>ROUND((IF(3&lt;=2,'Rate Card'!$AD$119,IF(3&lt;=5,'Rate Card'!$AE$119,IF(3&lt;=10,'Rate Card'!$AF$119,IF(3&lt;=15,'Rate Card'!$AG$119,IF(3&lt;=20,'Rate Card'!$AH$119,IF(3&lt;=35,'Rate Card'!$AH$119+(3-20)*'Rate Card'!$AI$119,'Rate Card'!$AK$119+(3-35)*'Rate Card'!$AJ$119)))))))*(1+'Rate Card'!$C$6),2)+ROUND(ROUND((IF(3&lt;=2,'Rate Card'!$AD$119,IF(3&lt;=5,'Rate Card'!$AE$119,IF(3&lt;=10,'Rate Card'!$AF$119,IF(3&lt;=15,'Rate Card'!$AG$119,IF(3&lt;=20,'Rate Card'!$AH$119,IF(3&lt;=35,'Rate Card'!$AH$119+(3-20)*'Rate Card'!$AI$119,'Rate Card'!$AK$119+(3-35)*'Rate Card'!$AJ$119)))))))*(1+'Rate Card'!$C$6),2)*(IF('Rate Card'!$G$6="YES",'Rate Card'!$E$6,0)+IF('Rate Card'!$K$6="YES",'Rate Card'!$I$6,0)),2)</f>
        <v/>
      </c>
      <c r="P7" s="23">
        <f>IF(3&lt;=2,'Rate Card'!$AD$120,IF(3&lt;=5,'Rate Card'!$AE$120,IF(3&lt;=10,'Rate Card'!$AF$120,IF(3&lt;=15,'Rate Card'!$AG$120,IF(3&lt;=20,'Rate Card'!$AH$120,IF(3&lt;=35,'Rate Card'!$AH$120+(3-20)*'Rate Card'!$AI$120,'Rate Card'!$AK$120+(3-35)*'Rate Card'!$AJ$120))))))</f>
        <v/>
      </c>
      <c r="Q7" s="12">
        <f>ROUND((IF(3&lt;=2,'Rate Card'!$AD$120,IF(3&lt;=5,'Rate Card'!$AE$120,IF(3&lt;=10,'Rate Card'!$AF$120,IF(3&lt;=15,'Rate Card'!$AG$120,IF(3&lt;=20,'Rate Card'!$AH$120,IF(3&lt;=35,'Rate Card'!$AH$120+(3-20)*'Rate Card'!$AI$120,'Rate Card'!$AK$120+(3-35)*'Rate Card'!$AJ$120)))))))*(1+'Rate Card'!$C$6),2)+ROUND(ROUND((IF(3&lt;=2,'Rate Card'!$AD$120,IF(3&lt;=5,'Rate Card'!$AE$120,IF(3&lt;=10,'Rate Card'!$AF$120,IF(3&lt;=15,'Rate Card'!$AG$120,IF(3&lt;=20,'Rate Card'!$AH$120,IF(3&lt;=35,'Rate Card'!$AH$120+(3-20)*'Rate Card'!$AI$120,'Rate Card'!$AK$120+(3-35)*'Rate Card'!$AJ$120)))))))*(1+'Rate Card'!$C$6),2)*(IF('Rate Card'!$G$6="YES",'Rate Card'!$E$6,0)+IF('Rate Card'!$K$6="YES",'Rate Card'!$I$6,0)),2)</f>
        <v/>
      </c>
    </row>
    <row r="8">
      <c r="A8" s="75" t="n">
        <v>4</v>
      </c>
      <c r="B8" s="23">
        <f>IF(4&lt;=5,'Rate Card'!$AD$20,'Rate Card'!$AD$20+(4-5)*'Rate Card'!$AE$20)</f>
        <v/>
      </c>
      <c r="C8" s="23">
        <f>ROUND((IF(4&lt;=5,'Rate Card'!$AD$20,'Rate Card'!$AD$20+(4-5)*'Rate Card'!$AE$20))*(1+'Rate Card'!$C$6),2)+ROUND(ROUND((IF(4&lt;=5,'Rate Card'!$AD$20,'Rate Card'!$AD$20+(4-5)*'Rate Card'!$AE$20))*(1+'Rate Card'!$C$6),2)*(IF('Rate Card'!$G$6="YES",'Rate Card'!$E$6,0)+IF('Rate Card'!$K$6="YES",'Rate Card'!$I$6,0)),2)</f>
        <v/>
      </c>
      <c r="D8" s="23">
        <f>IF(4&lt;=15,'Rate Card'!$AD$21,'Rate Card'!$AD$21+(4-15)*'Rate Card'!$AE$21)</f>
        <v/>
      </c>
      <c r="E8" s="23">
        <f>ROUND((IF(4&lt;=15,'Rate Card'!$AD$21,'Rate Card'!$AD$21+(4-15)*'Rate Card'!$AE$21))*(1+'Rate Card'!$C$6),2)+ROUND(ROUND((IF(4&lt;=15,'Rate Card'!$AD$21,'Rate Card'!$AD$21+(4-15)*'Rate Card'!$AE$21))*(1+'Rate Card'!$C$6),2)*(IF('Rate Card'!$G$6="YES",'Rate Card'!$E$6,0)+IF('Rate Card'!$K$6="YES",'Rate Card'!$I$6,0)),2)</f>
        <v/>
      </c>
      <c r="F8" s="23">
        <f>IF(4&lt;=2,'Rate Card'!$AD$22,IF(4&lt;=5,'Rate Card'!$AE$22,IF(4&lt;=10,'Rate Card'!$AF$22,IF(4&lt;=15,'Rate Card'!$AG$22,IF(4&lt;=20,'Rate Card'!$AH$22,IF(4&lt;=35,'Rate Card'!$AH$22+(4-20)*'Rate Card'!$AI$22,'Rate Card'!$AK$22+(4-35)*'Rate Card'!$AJ$22))))))</f>
        <v/>
      </c>
      <c r="G8" s="23">
        <f>ROUND((IF(4&lt;=2,'Rate Card'!$AD$22,IF(4&lt;=5,'Rate Card'!$AE$22,IF(4&lt;=10,'Rate Card'!$AF$22,IF(4&lt;=15,'Rate Card'!$AG$22,IF(4&lt;=20,'Rate Card'!$AH$22,IF(4&lt;=35,'Rate Card'!$AH$22+(4-20)*'Rate Card'!$AI$22,'Rate Card'!$AK$22+(4-35)*'Rate Card'!$AJ$22)))))))*(1+'Rate Card'!$C$6),2)+ROUND(ROUND((IF(4&lt;=2,'Rate Card'!$AD$22,IF(4&lt;=5,'Rate Card'!$AE$22,IF(4&lt;=10,'Rate Card'!$AF$22,IF(4&lt;=15,'Rate Card'!$AG$22,IF(4&lt;=20,'Rate Card'!$AH$22,IF(4&lt;=35,'Rate Card'!$AH$22+(4-20)*'Rate Card'!$AI$22,'Rate Card'!$AK$22+(4-35)*'Rate Card'!$AJ$22)))))))*(1+'Rate Card'!$C$6),2)*(IF('Rate Card'!$G$6="YES",'Rate Card'!$E$6,0)+IF('Rate Card'!$K$6="YES",'Rate Card'!$I$6,0)),2)</f>
        <v/>
      </c>
      <c r="H8" s="23">
        <f>IF(4&lt;=2,'Rate Card'!$AD$23,IF(4&lt;=5,'Rate Card'!$AE$23,IF(4&lt;=10,'Rate Card'!$AF$23,IF(4&lt;=15,'Rate Card'!$AG$23,IF(4&lt;=20,'Rate Card'!$AH$23,IF(4&lt;=35,'Rate Card'!$AH$23+(4-20)*'Rate Card'!$AI$23,'Rate Card'!$AK$23+(4-35)*'Rate Card'!$AJ$23))))))</f>
        <v/>
      </c>
      <c r="I8" s="23">
        <f>ROUND((IF(4&lt;=2,'Rate Card'!$AD$23,IF(4&lt;=5,'Rate Card'!$AE$23,IF(4&lt;=10,'Rate Card'!$AF$23,IF(4&lt;=15,'Rate Card'!$AG$23,IF(4&lt;=20,'Rate Card'!$AH$23,IF(4&lt;=35,'Rate Card'!$AH$23+(4-20)*'Rate Card'!$AI$23,'Rate Card'!$AK$23+(4-35)*'Rate Card'!$AJ$23)))))))*(1+'Rate Card'!$C$6),2)+ROUND(ROUND((IF(4&lt;=2,'Rate Card'!$AD$23,IF(4&lt;=5,'Rate Card'!$AE$23,IF(4&lt;=10,'Rate Card'!$AF$23,IF(4&lt;=15,'Rate Card'!$AG$23,IF(4&lt;=20,'Rate Card'!$AH$23,IF(4&lt;=35,'Rate Card'!$AH$23+(4-20)*'Rate Card'!$AI$23,'Rate Card'!$AK$23+(4-35)*'Rate Card'!$AJ$23)))))))*(1+'Rate Card'!$C$6),2)*(IF('Rate Card'!$G$6="YES",'Rate Card'!$E$6,0)+IF('Rate Card'!$K$6="YES",'Rate Card'!$I$6,0)),2)</f>
        <v/>
      </c>
      <c r="J8" s="23">
        <f>IF(4&lt;=5,'Rate Card'!$AD$117,'Rate Card'!$AD$117+(4-5)*'Rate Card'!$AE$117)</f>
        <v/>
      </c>
      <c r="K8" s="23">
        <f>ROUND((IF(4&lt;=5,'Rate Card'!$AD$117,'Rate Card'!$AD$117+(4-5)*'Rate Card'!$AE$117))*(1+'Rate Card'!$C$6),2)+ROUND(ROUND((IF(4&lt;=5,'Rate Card'!$AD$117,'Rate Card'!$AD$117+(4-5)*'Rate Card'!$AE$117))*(1+'Rate Card'!$C$6),2)*(IF('Rate Card'!$G$6="YES",'Rate Card'!$E$6,0)+IF('Rate Card'!$K$6="YES",'Rate Card'!$I$6,0)),2)</f>
        <v/>
      </c>
      <c r="L8" s="23">
        <f>IF(4&lt;=15,'Rate Card'!$AD$118,'Rate Card'!$AD$118+(4-15)*'Rate Card'!$AE$118)</f>
        <v/>
      </c>
      <c r="M8" s="23">
        <f>ROUND((IF(4&lt;=15,'Rate Card'!$AD$118,'Rate Card'!$AD$118+(4-15)*'Rate Card'!$AE$118))*(1+'Rate Card'!$C$6),2)+ROUND(ROUND((IF(4&lt;=15,'Rate Card'!$AD$118,'Rate Card'!$AD$118+(4-15)*'Rate Card'!$AE$118))*(1+'Rate Card'!$C$6),2)*(IF('Rate Card'!$G$6="YES",'Rate Card'!$E$6,0)+IF('Rate Card'!$K$6="YES",'Rate Card'!$I$6,0)),2)</f>
        <v/>
      </c>
      <c r="N8" s="23">
        <f>IF(4&lt;=2,'Rate Card'!$AD$119,IF(4&lt;=5,'Rate Card'!$AE$119,IF(4&lt;=10,'Rate Card'!$AF$119,IF(4&lt;=15,'Rate Card'!$AG$119,IF(4&lt;=20,'Rate Card'!$AH$119,IF(4&lt;=35,'Rate Card'!$AH$119+(4-20)*'Rate Card'!$AI$119,'Rate Card'!$AK$119+(4-35)*'Rate Card'!$AJ$119))))))</f>
        <v/>
      </c>
      <c r="O8" s="23">
        <f>ROUND((IF(4&lt;=2,'Rate Card'!$AD$119,IF(4&lt;=5,'Rate Card'!$AE$119,IF(4&lt;=10,'Rate Card'!$AF$119,IF(4&lt;=15,'Rate Card'!$AG$119,IF(4&lt;=20,'Rate Card'!$AH$119,IF(4&lt;=35,'Rate Card'!$AH$119+(4-20)*'Rate Card'!$AI$119,'Rate Card'!$AK$119+(4-35)*'Rate Card'!$AJ$119)))))))*(1+'Rate Card'!$C$6),2)+ROUND(ROUND((IF(4&lt;=2,'Rate Card'!$AD$119,IF(4&lt;=5,'Rate Card'!$AE$119,IF(4&lt;=10,'Rate Card'!$AF$119,IF(4&lt;=15,'Rate Card'!$AG$119,IF(4&lt;=20,'Rate Card'!$AH$119,IF(4&lt;=35,'Rate Card'!$AH$119+(4-20)*'Rate Card'!$AI$119,'Rate Card'!$AK$119+(4-35)*'Rate Card'!$AJ$119)))))))*(1+'Rate Card'!$C$6),2)*(IF('Rate Card'!$G$6="YES",'Rate Card'!$E$6,0)+IF('Rate Card'!$K$6="YES",'Rate Card'!$I$6,0)),2)</f>
        <v/>
      </c>
      <c r="P8" s="23">
        <f>IF(4&lt;=2,'Rate Card'!$AD$120,IF(4&lt;=5,'Rate Card'!$AE$120,IF(4&lt;=10,'Rate Card'!$AF$120,IF(4&lt;=15,'Rate Card'!$AG$120,IF(4&lt;=20,'Rate Card'!$AH$120,IF(4&lt;=35,'Rate Card'!$AH$120+(4-20)*'Rate Card'!$AI$120,'Rate Card'!$AK$120+(4-35)*'Rate Card'!$AJ$120))))))</f>
        <v/>
      </c>
      <c r="Q8" s="12">
        <f>ROUND((IF(4&lt;=2,'Rate Card'!$AD$120,IF(4&lt;=5,'Rate Card'!$AE$120,IF(4&lt;=10,'Rate Card'!$AF$120,IF(4&lt;=15,'Rate Card'!$AG$120,IF(4&lt;=20,'Rate Card'!$AH$120,IF(4&lt;=35,'Rate Card'!$AH$120+(4-20)*'Rate Card'!$AI$120,'Rate Card'!$AK$120+(4-35)*'Rate Card'!$AJ$120)))))))*(1+'Rate Card'!$C$6),2)+ROUND(ROUND((IF(4&lt;=2,'Rate Card'!$AD$120,IF(4&lt;=5,'Rate Card'!$AE$120,IF(4&lt;=10,'Rate Card'!$AF$120,IF(4&lt;=15,'Rate Card'!$AG$120,IF(4&lt;=20,'Rate Card'!$AH$120,IF(4&lt;=35,'Rate Card'!$AH$120+(4-20)*'Rate Card'!$AI$120,'Rate Card'!$AK$120+(4-35)*'Rate Card'!$AJ$120)))))))*(1+'Rate Card'!$C$6),2)*(IF('Rate Card'!$G$6="YES",'Rate Card'!$E$6,0)+IF('Rate Card'!$K$6="YES",'Rate Card'!$I$6,0)),2)</f>
        <v/>
      </c>
    </row>
    <row r="9">
      <c r="A9" s="75" t="n">
        <v>5</v>
      </c>
      <c r="B9" s="23">
        <f>IF(5&lt;=5,'Rate Card'!$AD$20,'Rate Card'!$AD$20+(5-5)*'Rate Card'!$AE$20)</f>
        <v/>
      </c>
      <c r="C9" s="23">
        <f>ROUND((IF(5&lt;=5,'Rate Card'!$AD$20,'Rate Card'!$AD$20+(5-5)*'Rate Card'!$AE$20))*(1+'Rate Card'!$C$6),2)+ROUND(ROUND((IF(5&lt;=5,'Rate Card'!$AD$20,'Rate Card'!$AD$20+(5-5)*'Rate Card'!$AE$20))*(1+'Rate Card'!$C$6),2)*(IF('Rate Card'!$G$6="YES",'Rate Card'!$E$6,0)+IF('Rate Card'!$K$6="YES",'Rate Card'!$I$6,0)),2)</f>
        <v/>
      </c>
      <c r="D9" s="23">
        <f>IF(5&lt;=15,'Rate Card'!$AD$21,'Rate Card'!$AD$21+(5-15)*'Rate Card'!$AE$21)</f>
        <v/>
      </c>
      <c r="E9" s="23">
        <f>ROUND((IF(5&lt;=15,'Rate Card'!$AD$21,'Rate Card'!$AD$21+(5-15)*'Rate Card'!$AE$21))*(1+'Rate Card'!$C$6),2)+ROUND(ROUND((IF(5&lt;=15,'Rate Card'!$AD$21,'Rate Card'!$AD$21+(5-15)*'Rate Card'!$AE$21))*(1+'Rate Card'!$C$6),2)*(IF('Rate Card'!$G$6="YES",'Rate Card'!$E$6,0)+IF('Rate Card'!$K$6="YES",'Rate Card'!$I$6,0)),2)</f>
        <v/>
      </c>
      <c r="F9" s="23">
        <f>IF(5&lt;=2,'Rate Card'!$AD$22,IF(5&lt;=5,'Rate Card'!$AE$22,IF(5&lt;=10,'Rate Card'!$AF$22,IF(5&lt;=15,'Rate Card'!$AG$22,IF(5&lt;=20,'Rate Card'!$AH$22,IF(5&lt;=35,'Rate Card'!$AH$22+(5-20)*'Rate Card'!$AI$22,'Rate Card'!$AK$22+(5-35)*'Rate Card'!$AJ$22))))))</f>
        <v/>
      </c>
      <c r="G9" s="23">
        <f>ROUND((IF(5&lt;=2,'Rate Card'!$AD$22,IF(5&lt;=5,'Rate Card'!$AE$22,IF(5&lt;=10,'Rate Card'!$AF$22,IF(5&lt;=15,'Rate Card'!$AG$22,IF(5&lt;=20,'Rate Card'!$AH$22,IF(5&lt;=35,'Rate Card'!$AH$22+(5-20)*'Rate Card'!$AI$22,'Rate Card'!$AK$22+(5-35)*'Rate Card'!$AJ$22)))))))*(1+'Rate Card'!$C$6),2)+ROUND(ROUND((IF(5&lt;=2,'Rate Card'!$AD$22,IF(5&lt;=5,'Rate Card'!$AE$22,IF(5&lt;=10,'Rate Card'!$AF$22,IF(5&lt;=15,'Rate Card'!$AG$22,IF(5&lt;=20,'Rate Card'!$AH$22,IF(5&lt;=35,'Rate Card'!$AH$22+(5-20)*'Rate Card'!$AI$22,'Rate Card'!$AK$22+(5-35)*'Rate Card'!$AJ$22)))))))*(1+'Rate Card'!$C$6),2)*(IF('Rate Card'!$G$6="YES",'Rate Card'!$E$6,0)+IF('Rate Card'!$K$6="YES",'Rate Card'!$I$6,0)),2)</f>
        <v/>
      </c>
      <c r="H9" s="23">
        <f>IF(5&lt;=2,'Rate Card'!$AD$23,IF(5&lt;=5,'Rate Card'!$AE$23,IF(5&lt;=10,'Rate Card'!$AF$23,IF(5&lt;=15,'Rate Card'!$AG$23,IF(5&lt;=20,'Rate Card'!$AH$23,IF(5&lt;=35,'Rate Card'!$AH$23+(5-20)*'Rate Card'!$AI$23,'Rate Card'!$AK$23+(5-35)*'Rate Card'!$AJ$23))))))</f>
        <v/>
      </c>
      <c r="I9" s="23">
        <f>ROUND((IF(5&lt;=2,'Rate Card'!$AD$23,IF(5&lt;=5,'Rate Card'!$AE$23,IF(5&lt;=10,'Rate Card'!$AF$23,IF(5&lt;=15,'Rate Card'!$AG$23,IF(5&lt;=20,'Rate Card'!$AH$23,IF(5&lt;=35,'Rate Card'!$AH$23+(5-20)*'Rate Card'!$AI$23,'Rate Card'!$AK$23+(5-35)*'Rate Card'!$AJ$23)))))))*(1+'Rate Card'!$C$6),2)+ROUND(ROUND((IF(5&lt;=2,'Rate Card'!$AD$23,IF(5&lt;=5,'Rate Card'!$AE$23,IF(5&lt;=10,'Rate Card'!$AF$23,IF(5&lt;=15,'Rate Card'!$AG$23,IF(5&lt;=20,'Rate Card'!$AH$23,IF(5&lt;=35,'Rate Card'!$AH$23+(5-20)*'Rate Card'!$AI$23,'Rate Card'!$AK$23+(5-35)*'Rate Card'!$AJ$23)))))))*(1+'Rate Card'!$C$6),2)*(IF('Rate Card'!$G$6="YES",'Rate Card'!$E$6,0)+IF('Rate Card'!$K$6="YES",'Rate Card'!$I$6,0)),2)</f>
        <v/>
      </c>
      <c r="J9" s="23">
        <f>IF(5&lt;=5,'Rate Card'!$AD$117,'Rate Card'!$AD$117+(5-5)*'Rate Card'!$AE$117)</f>
        <v/>
      </c>
      <c r="K9" s="23">
        <f>ROUND((IF(5&lt;=5,'Rate Card'!$AD$117,'Rate Card'!$AD$117+(5-5)*'Rate Card'!$AE$117))*(1+'Rate Card'!$C$6),2)+ROUND(ROUND((IF(5&lt;=5,'Rate Card'!$AD$117,'Rate Card'!$AD$117+(5-5)*'Rate Card'!$AE$117))*(1+'Rate Card'!$C$6),2)*(IF('Rate Card'!$G$6="YES",'Rate Card'!$E$6,0)+IF('Rate Card'!$K$6="YES",'Rate Card'!$I$6,0)),2)</f>
        <v/>
      </c>
      <c r="L9" s="23">
        <f>IF(5&lt;=15,'Rate Card'!$AD$118,'Rate Card'!$AD$118+(5-15)*'Rate Card'!$AE$118)</f>
        <v/>
      </c>
      <c r="M9" s="23">
        <f>ROUND((IF(5&lt;=15,'Rate Card'!$AD$118,'Rate Card'!$AD$118+(5-15)*'Rate Card'!$AE$118))*(1+'Rate Card'!$C$6),2)+ROUND(ROUND((IF(5&lt;=15,'Rate Card'!$AD$118,'Rate Card'!$AD$118+(5-15)*'Rate Card'!$AE$118))*(1+'Rate Card'!$C$6),2)*(IF('Rate Card'!$G$6="YES",'Rate Card'!$E$6,0)+IF('Rate Card'!$K$6="YES",'Rate Card'!$I$6,0)),2)</f>
        <v/>
      </c>
      <c r="N9" s="23">
        <f>IF(5&lt;=2,'Rate Card'!$AD$119,IF(5&lt;=5,'Rate Card'!$AE$119,IF(5&lt;=10,'Rate Card'!$AF$119,IF(5&lt;=15,'Rate Card'!$AG$119,IF(5&lt;=20,'Rate Card'!$AH$119,IF(5&lt;=35,'Rate Card'!$AH$119+(5-20)*'Rate Card'!$AI$119,'Rate Card'!$AK$119+(5-35)*'Rate Card'!$AJ$119))))))</f>
        <v/>
      </c>
      <c r="O9" s="23">
        <f>ROUND((IF(5&lt;=2,'Rate Card'!$AD$119,IF(5&lt;=5,'Rate Card'!$AE$119,IF(5&lt;=10,'Rate Card'!$AF$119,IF(5&lt;=15,'Rate Card'!$AG$119,IF(5&lt;=20,'Rate Card'!$AH$119,IF(5&lt;=35,'Rate Card'!$AH$119+(5-20)*'Rate Card'!$AI$119,'Rate Card'!$AK$119+(5-35)*'Rate Card'!$AJ$119)))))))*(1+'Rate Card'!$C$6),2)+ROUND(ROUND((IF(5&lt;=2,'Rate Card'!$AD$119,IF(5&lt;=5,'Rate Card'!$AE$119,IF(5&lt;=10,'Rate Card'!$AF$119,IF(5&lt;=15,'Rate Card'!$AG$119,IF(5&lt;=20,'Rate Card'!$AH$119,IF(5&lt;=35,'Rate Card'!$AH$119+(5-20)*'Rate Card'!$AI$119,'Rate Card'!$AK$119+(5-35)*'Rate Card'!$AJ$119)))))))*(1+'Rate Card'!$C$6),2)*(IF('Rate Card'!$G$6="YES",'Rate Card'!$E$6,0)+IF('Rate Card'!$K$6="YES",'Rate Card'!$I$6,0)),2)</f>
        <v/>
      </c>
      <c r="P9" s="23">
        <f>IF(5&lt;=2,'Rate Card'!$AD$120,IF(5&lt;=5,'Rate Card'!$AE$120,IF(5&lt;=10,'Rate Card'!$AF$120,IF(5&lt;=15,'Rate Card'!$AG$120,IF(5&lt;=20,'Rate Card'!$AH$120,IF(5&lt;=35,'Rate Card'!$AH$120+(5-20)*'Rate Card'!$AI$120,'Rate Card'!$AK$120+(5-35)*'Rate Card'!$AJ$120))))))</f>
        <v/>
      </c>
      <c r="Q9" s="12">
        <f>ROUND((IF(5&lt;=2,'Rate Card'!$AD$120,IF(5&lt;=5,'Rate Card'!$AE$120,IF(5&lt;=10,'Rate Card'!$AF$120,IF(5&lt;=15,'Rate Card'!$AG$120,IF(5&lt;=20,'Rate Card'!$AH$120,IF(5&lt;=35,'Rate Card'!$AH$120+(5-20)*'Rate Card'!$AI$120,'Rate Card'!$AK$120+(5-35)*'Rate Card'!$AJ$120)))))))*(1+'Rate Card'!$C$6),2)+ROUND(ROUND((IF(5&lt;=2,'Rate Card'!$AD$120,IF(5&lt;=5,'Rate Card'!$AE$120,IF(5&lt;=10,'Rate Card'!$AF$120,IF(5&lt;=15,'Rate Card'!$AG$120,IF(5&lt;=20,'Rate Card'!$AH$120,IF(5&lt;=35,'Rate Card'!$AH$120+(5-20)*'Rate Card'!$AI$120,'Rate Card'!$AK$120+(5-35)*'Rate Card'!$AJ$120)))))))*(1+'Rate Card'!$C$6),2)*(IF('Rate Card'!$G$6="YES",'Rate Card'!$E$6,0)+IF('Rate Card'!$K$6="YES",'Rate Card'!$I$6,0)),2)</f>
        <v/>
      </c>
    </row>
    <row r="10">
      <c r="A10" s="75" t="n">
        <v>6</v>
      </c>
      <c r="B10" s="23">
        <f>IF(6&lt;=5,'Rate Card'!$AD$20,'Rate Card'!$AD$20+(6-5)*'Rate Card'!$AE$20)</f>
        <v/>
      </c>
      <c r="C10" s="23">
        <f>ROUND((IF(6&lt;=5,'Rate Card'!$AD$20,'Rate Card'!$AD$20+(6-5)*'Rate Card'!$AE$20))*(1+'Rate Card'!$C$6),2)+ROUND(ROUND((IF(6&lt;=5,'Rate Card'!$AD$20,'Rate Card'!$AD$20+(6-5)*'Rate Card'!$AE$20))*(1+'Rate Card'!$C$6),2)*(IF('Rate Card'!$G$6="YES",'Rate Card'!$E$6,0)+IF('Rate Card'!$K$6="YES",'Rate Card'!$I$6,0)),2)</f>
        <v/>
      </c>
      <c r="D10" s="23">
        <f>IF(6&lt;=15,'Rate Card'!$AD$21,'Rate Card'!$AD$21+(6-15)*'Rate Card'!$AE$21)</f>
        <v/>
      </c>
      <c r="E10" s="23">
        <f>ROUND((IF(6&lt;=15,'Rate Card'!$AD$21,'Rate Card'!$AD$21+(6-15)*'Rate Card'!$AE$21))*(1+'Rate Card'!$C$6),2)+ROUND(ROUND((IF(6&lt;=15,'Rate Card'!$AD$21,'Rate Card'!$AD$21+(6-15)*'Rate Card'!$AE$21))*(1+'Rate Card'!$C$6),2)*(IF('Rate Card'!$G$6="YES",'Rate Card'!$E$6,0)+IF('Rate Card'!$K$6="YES",'Rate Card'!$I$6,0)),2)</f>
        <v/>
      </c>
      <c r="F10" s="23">
        <f>IF(6&lt;=2,'Rate Card'!$AD$22,IF(6&lt;=5,'Rate Card'!$AE$22,IF(6&lt;=10,'Rate Card'!$AF$22,IF(6&lt;=15,'Rate Card'!$AG$22,IF(6&lt;=20,'Rate Card'!$AH$22,IF(6&lt;=35,'Rate Card'!$AH$22+(6-20)*'Rate Card'!$AI$22,'Rate Card'!$AK$22+(6-35)*'Rate Card'!$AJ$22))))))</f>
        <v/>
      </c>
      <c r="G10" s="23">
        <f>ROUND((IF(6&lt;=2,'Rate Card'!$AD$22,IF(6&lt;=5,'Rate Card'!$AE$22,IF(6&lt;=10,'Rate Card'!$AF$22,IF(6&lt;=15,'Rate Card'!$AG$22,IF(6&lt;=20,'Rate Card'!$AH$22,IF(6&lt;=35,'Rate Card'!$AH$22+(6-20)*'Rate Card'!$AI$22,'Rate Card'!$AK$22+(6-35)*'Rate Card'!$AJ$22)))))))*(1+'Rate Card'!$C$6),2)+ROUND(ROUND((IF(6&lt;=2,'Rate Card'!$AD$22,IF(6&lt;=5,'Rate Card'!$AE$22,IF(6&lt;=10,'Rate Card'!$AF$22,IF(6&lt;=15,'Rate Card'!$AG$22,IF(6&lt;=20,'Rate Card'!$AH$22,IF(6&lt;=35,'Rate Card'!$AH$22+(6-20)*'Rate Card'!$AI$22,'Rate Card'!$AK$22+(6-35)*'Rate Card'!$AJ$22)))))))*(1+'Rate Card'!$C$6),2)*(IF('Rate Card'!$G$6="YES",'Rate Card'!$E$6,0)+IF('Rate Card'!$K$6="YES",'Rate Card'!$I$6,0)),2)</f>
        <v/>
      </c>
      <c r="H10" s="23">
        <f>IF(6&lt;=2,'Rate Card'!$AD$23,IF(6&lt;=5,'Rate Card'!$AE$23,IF(6&lt;=10,'Rate Card'!$AF$23,IF(6&lt;=15,'Rate Card'!$AG$23,IF(6&lt;=20,'Rate Card'!$AH$23,IF(6&lt;=35,'Rate Card'!$AH$23+(6-20)*'Rate Card'!$AI$23,'Rate Card'!$AK$23+(6-35)*'Rate Card'!$AJ$23))))))</f>
        <v/>
      </c>
      <c r="I10" s="23">
        <f>ROUND((IF(6&lt;=2,'Rate Card'!$AD$23,IF(6&lt;=5,'Rate Card'!$AE$23,IF(6&lt;=10,'Rate Card'!$AF$23,IF(6&lt;=15,'Rate Card'!$AG$23,IF(6&lt;=20,'Rate Card'!$AH$23,IF(6&lt;=35,'Rate Card'!$AH$23+(6-20)*'Rate Card'!$AI$23,'Rate Card'!$AK$23+(6-35)*'Rate Card'!$AJ$23)))))))*(1+'Rate Card'!$C$6),2)+ROUND(ROUND((IF(6&lt;=2,'Rate Card'!$AD$23,IF(6&lt;=5,'Rate Card'!$AE$23,IF(6&lt;=10,'Rate Card'!$AF$23,IF(6&lt;=15,'Rate Card'!$AG$23,IF(6&lt;=20,'Rate Card'!$AH$23,IF(6&lt;=35,'Rate Card'!$AH$23+(6-20)*'Rate Card'!$AI$23,'Rate Card'!$AK$23+(6-35)*'Rate Card'!$AJ$23)))))))*(1+'Rate Card'!$C$6),2)*(IF('Rate Card'!$G$6="YES",'Rate Card'!$E$6,0)+IF('Rate Card'!$K$6="YES",'Rate Card'!$I$6,0)),2)</f>
        <v/>
      </c>
      <c r="J10" s="23">
        <f>IF(6&lt;=5,'Rate Card'!$AD$117,'Rate Card'!$AD$117+(6-5)*'Rate Card'!$AE$117)</f>
        <v/>
      </c>
      <c r="K10" s="23">
        <f>ROUND((IF(6&lt;=5,'Rate Card'!$AD$117,'Rate Card'!$AD$117+(6-5)*'Rate Card'!$AE$117))*(1+'Rate Card'!$C$6),2)+ROUND(ROUND((IF(6&lt;=5,'Rate Card'!$AD$117,'Rate Card'!$AD$117+(6-5)*'Rate Card'!$AE$117))*(1+'Rate Card'!$C$6),2)*(IF('Rate Card'!$G$6="YES",'Rate Card'!$E$6,0)+IF('Rate Card'!$K$6="YES",'Rate Card'!$I$6,0)),2)</f>
        <v/>
      </c>
      <c r="L10" s="23">
        <f>IF(6&lt;=15,'Rate Card'!$AD$118,'Rate Card'!$AD$118+(6-15)*'Rate Card'!$AE$118)</f>
        <v/>
      </c>
      <c r="M10" s="23">
        <f>ROUND((IF(6&lt;=15,'Rate Card'!$AD$118,'Rate Card'!$AD$118+(6-15)*'Rate Card'!$AE$118))*(1+'Rate Card'!$C$6),2)+ROUND(ROUND((IF(6&lt;=15,'Rate Card'!$AD$118,'Rate Card'!$AD$118+(6-15)*'Rate Card'!$AE$118))*(1+'Rate Card'!$C$6),2)*(IF('Rate Card'!$G$6="YES",'Rate Card'!$E$6,0)+IF('Rate Card'!$K$6="YES",'Rate Card'!$I$6,0)),2)</f>
        <v/>
      </c>
      <c r="N10" s="23">
        <f>IF(6&lt;=2,'Rate Card'!$AD$119,IF(6&lt;=5,'Rate Card'!$AE$119,IF(6&lt;=10,'Rate Card'!$AF$119,IF(6&lt;=15,'Rate Card'!$AG$119,IF(6&lt;=20,'Rate Card'!$AH$119,IF(6&lt;=35,'Rate Card'!$AH$119+(6-20)*'Rate Card'!$AI$119,'Rate Card'!$AK$119+(6-35)*'Rate Card'!$AJ$119))))))</f>
        <v/>
      </c>
      <c r="O10" s="23">
        <f>ROUND((IF(6&lt;=2,'Rate Card'!$AD$119,IF(6&lt;=5,'Rate Card'!$AE$119,IF(6&lt;=10,'Rate Card'!$AF$119,IF(6&lt;=15,'Rate Card'!$AG$119,IF(6&lt;=20,'Rate Card'!$AH$119,IF(6&lt;=35,'Rate Card'!$AH$119+(6-20)*'Rate Card'!$AI$119,'Rate Card'!$AK$119+(6-35)*'Rate Card'!$AJ$119)))))))*(1+'Rate Card'!$C$6),2)+ROUND(ROUND((IF(6&lt;=2,'Rate Card'!$AD$119,IF(6&lt;=5,'Rate Card'!$AE$119,IF(6&lt;=10,'Rate Card'!$AF$119,IF(6&lt;=15,'Rate Card'!$AG$119,IF(6&lt;=20,'Rate Card'!$AH$119,IF(6&lt;=35,'Rate Card'!$AH$119+(6-20)*'Rate Card'!$AI$119,'Rate Card'!$AK$119+(6-35)*'Rate Card'!$AJ$119)))))))*(1+'Rate Card'!$C$6),2)*(IF('Rate Card'!$G$6="YES",'Rate Card'!$E$6,0)+IF('Rate Card'!$K$6="YES",'Rate Card'!$I$6,0)),2)</f>
        <v/>
      </c>
      <c r="P10" s="23">
        <f>IF(6&lt;=2,'Rate Card'!$AD$120,IF(6&lt;=5,'Rate Card'!$AE$120,IF(6&lt;=10,'Rate Card'!$AF$120,IF(6&lt;=15,'Rate Card'!$AG$120,IF(6&lt;=20,'Rate Card'!$AH$120,IF(6&lt;=35,'Rate Card'!$AH$120+(6-20)*'Rate Card'!$AI$120,'Rate Card'!$AK$120+(6-35)*'Rate Card'!$AJ$120))))))</f>
        <v/>
      </c>
      <c r="Q10" s="12">
        <f>ROUND((IF(6&lt;=2,'Rate Card'!$AD$120,IF(6&lt;=5,'Rate Card'!$AE$120,IF(6&lt;=10,'Rate Card'!$AF$120,IF(6&lt;=15,'Rate Card'!$AG$120,IF(6&lt;=20,'Rate Card'!$AH$120,IF(6&lt;=35,'Rate Card'!$AH$120+(6-20)*'Rate Card'!$AI$120,'Rate Card'!$AK$120+(6-35)*'Rate Card'!$AJ$120)))))))*(1+'Rate Card'!$C$6),2)+ROUND(ROUND((IF(6&lt;=2,'Rate Card'!$AD$120,IF(6&lt;=5,'Rate Card'!$AE$120,IF(6&lt;=10,'Rate Card'!$AF$120,IF(6&lt;=15,'Rate Card'!$AG$120,IF(6&lt;=20,'Rate Card'!$AH$120,IF(6&lt;=35,'Rate Card'!$AH$120+(6-20)*'Rate Card'!$AI$120,'Rate Card'!$AK$120+(6-35)*'Rate Card'!$AJ$120)))))))*(1+'Rate Card'!$C$6),2)*(IF('Rate Card'!$G$6="YES",'Rate Card'!$E$6,0)+IF('Rate Card'!$K$6="YES",'Rate Card'!$I$6,0)),2)</f>
        <v/>
      </c>
    </row>
    <row r="11">
      <c r="A11" s="75" t="n">
        <v>7</v>
      </c>
      <c r="B11" s="23">
        <f>IF(7&lt;=5,'Rate Card'!$AD$20,'Rate Card'!$AD$20+(7-5)*'Rate Card'!$AE$20)</f>
        <v/>
      </c>
      <c r="C11" s="23">
        <f>ROUND((IF(7&lt;=5,'Rate Card'!$AD$20,'Rate Card'!$AD$20+(7-5)*'Rate Card'!$AE$20))*(1+'Rate Card'!$C$6),2)+ROUND(ROUND((IF(7&lt;=5,'Rate Card'!$AD$20,'Rate Card'!$AD$20+(7-5)*'Rate Card'!$AE$20))*(1+'Rate Card'!$C$6),2)*(IF('Rate Card'!$G$6="YES",'Rate Card'!$E$6,0)+IF('Rate Card'!$K$6="YES",'Rate Card'!$I$6,0)),2)</f>
        <v/>
      </c>
      <c r="D11" s="23">
        <f>IF(7&lt;=15,'Rate Card'!$AD$21,'Rate Card'!$AD$21+(7-15)*'Rate Card'!$AE$21)</f>
        <v/>
      </c>
      <c r="E11" s="23">
        <f>ROUND((IF(7&lt;=15,'Rate Card'!$AD$21,'Rate Card'!$AD$21+(7-15)*'Rate Card'!$AE$21))*(1+'Rate Card'!$C$6),2)+ROUND(ROUND((IF(7&lt;=15,'Rate Card'!$AD$21,'Rate Card'!$AD$21+(7-15)*'Rate Card'!$AE$21))*(1+'Rate Card'!$C$6),2)*(IF('Rate Card'!$G$6="YES",'Rate Card'!$E$6,0)+IF('Rate Card'!$K$6="YES",'Rate Card'!$I$6,0)),2)</f>
        <v/>
      </c>
      <c r="F11" s="23">
        <f>IF(7&lt;=2,'Rate Card'!$AD$22,IF(7&lt;=5,'Rate Card'!$AE$22,IF(7&lt;=10,'Rate Card'!$AF$22,IF(7&lt;=15,'Rate Card'!$AG$22,IF(7&lt;=20,'Rate Card'!$AH$22,IF(7&lt;=35,'Rate Card'!$AH$22+(7-20)*'Rate Card'!$AI$22,'Rate Card'!$AK$22+(7-35)*'Rate Card'!$AJ$22))))))</f>
        <v/>
      </c>
      <c r="G11" s="23">
        <f>ROUND((IF(7&lt;=2,'Rate Card'!$AD$22,IF(7&lt;=5,'Rate Card'!$AE$22,IF(7&lt;=10,'Rate Card'!$AF$22,IF(7&lt;=15,'Rate Card'!$AG$22,IF(7&lt;=20,'Rate Card'!$AH$22,IF(7&lt;=35,'Rate Card'!$AH$22+(7-20)*'Rate Card'!$AI$22,'Rate Card'!$AK$22+(7-35)*'Rate Card'!$AJ$22)))))))*(1+'Rate Card'!$C$6),2)+ROUND(ROUND((IF(7&lt;=2,'Rate Card'!$AD$22,IF(7&lt;=5,'Rate Card'!$AE$22,IF(7&lt;=10,'Rate Card'!$AF$22,IF(7&lt;=15,'Rate Card'!$AG$22,IF(7&lt;=20,'Rate Card'!$AH$22,IF(7&lt;=35,'Rate Card'!$AH$22+(7-20)*'Rate Card'!$AI$22,'Rate Card'!$AK$22+(7-35)*'Rate Card'!$AJ$22)))))))*(1+'Rate Card'!$C$6),2)*(IF('Rate Card'!$G$6="YES",'Rate Card'!$E$6,0)+IF('Rate Card'!$K$6="YES",'Rate Card'!$I$6,0)),2)</f>
        <v/>
      </c>
      <c r="H11" s="23">
        <f>IF(7&lt;=2,'Rate Card'!$AD$23,IF(7&lt;=5,'Rate Card'!$AE$23,IF(7&lt;=10,'Rate Card'!$AF$23,IF(7&lt;=15,'Rate Card'!$AG$23,IF(7&lt;=20,'Rate Card'!$AH$23,IF(7&lt;=35,'Rate Card'!$AH$23+(7-20)*'Rate Card'!$AI$23,'Rate Card'!$AK$23+(7-35)*'Rate Card'!$AJ$23))))))</f>
        <v/>
      </c>
      <c r="I11" s="23">
        <f>ROUND((IF(7&lt;=2,'Rate Card'!$AD$23,IF(7&lt;=5,'Rate Card'!$AE$23,IF(7&lt;=10,'Rate Card'!$AF$23,IF(7&lt;=15,'Rate Card'!$AG$23,IF(7&lt;=20,'Rate Card'!$AH$23,IF(7&lt;=35,'Rate Card'!$AH$23+(7-20)*'Rate Card'!$AI$23,'Rate Card'!$AK$23+(7-35)*'Rate Card'!$AJ$23)))))))*(1+'Rate Card'!$C$6),2)+ROUND(ROUND((IF(7&lt;=2,'Rate Card'!$AD$23,IF(7&lt;=5,'Rate Card'!$AE$23,IF(7&lt;=10,'Rate Card'!$AF$23,IF(7&lt;=15,'Rate Card'!$AG$23,IF(7&lt;=20,'Rate Card'!$AH$23,IF(7&lt;=35,'Rate Card'!$AH$23+(7-20)*'Rate Card'!$AI$23,'Rate Card'!$AK$23+(7-35)*'Rate Card'!$AJ$23)))))))*(1+'Rate Card'!$C$6),2)*(IF('Rate Card'!$G$6="YES",'Rate Card'!$E$6,0)+IF('Rate Card'!$K$6="YES",'Rate Card'!$I$6,0)),2)</f>
        <v/>
      </c>
      <c r="J11" s="23">
        <f>IF(7&lt;=5,'Rate Card'!$AD$117,'Rate Card'!$AD$117+(7-5)*'Rate Card'!$AE$117)</f>
        <v/>
      </c>
      <c r="K11" s="23">
        <f>ROUND((IF(7&lt;=5,'Rate Card'!$AD$117,'Rate Card'!$AD$117+(7-5)*'Rate Card'!$AE$117))*(1+'Rate Card'!$C$6),2)+ROUND(ROUND((IF(7&lt;=5,'Rate Card'!$AD$117,'Rate Card'!$AD$117+(7-5)*'Rate Card'!$AE$117))*(1+'Rate Card'!$C$6),2)*(IF('Rate Card'!$G$6="YES",'Rate Card'!$E$6,0)+IF('Rate Card'!$K$6="YES",'Rate Card'!$I$6,0)),2)</f>
        <v/>
      </c>
      <c r="L11" s="23">
        <f>IF(7&lt;=15,'Rate Card'!$AD$118,'Rate Card'!$AD$118+(7-15)*'Rate Card'!$AE$118)</f>
        <v/>
      </c>
      <c r="M11" s="23">
        <f>ROUND((IF(7&lt;=15,'Rate Card'!$AD$118,'Rate Card'!$AD$118+(7-15)*'Rate Card'!$AE$118))*(1+'Rate Card'!$C$6),2)+ROUND(ROUND((IF(7&lt;=15,'Rate Card'!$AD$118,'Rate Card'!$AD$118+(7-15)*'Rate Card'!$AE$118))*(1+'Rate Card'!$C$6),2)*(IF('Rate Card'!$G$6="YES",'Rate Card'!$E$6,0)+IF('Rate Card'!$K$6="YES",'Rate Card'!$I$6,0)),2)</f>
        <v/>
      </c>
      <c r="N11" s="23">
        <f>IF(7&lt;=2,'Rate Card'!$AD$119,IF(7&lt;=5,'Rate Card'!$AE$119,IF(7&lt;=10,'Rate Card'!$AF$119,IF(7&lt;=15,'Rate Card'!$AG$119,IF(7&lt;=20,'Rate Card'!$AH$119,IF(7&lt;=35,'Rate Card'!$AH$119+(7-20)*'Rate Card'!$AI$119,'Rate Card'!$AK$119+(7-35)*'Rate Card'!$AJ$119))))))</f>
        <v/>
      </c>
      <c r="O11" s="23">
        <f>ROUND((IF(7&lt;=2,'Rate Card'!$AD$119,IF(7&lt;=5,'Rate Card'!$AE$119,IF(7&lt;=10,'Rate Card'!$AF$119,IF(7&lt;=15,'Rate Card'!$AG$119,IF(7&lt;=20,'Rate Card'!$AH$119,IF(7&lt;=35,'Rate Card'!$AH$119+(7-20)*'Rate Card'!$AI$119,'Rate Card'!$AK$119+(7-35)*'Rate Card'!$AJ$119)))))))*(1+'Rate Card'!$C$6),2)+ROUND(ROUND((IF(7&lt;=2,'Rate Card'!$AD$119,IF(7&lt;=5,'Rate Card'!$AE$119,IF(7&lt;=10,'Rate Card'!$AF$119,IF(7&lt;=15,'Rate Card'!$AG$119,IF(7&lt;=20,'Rate Card'!$AH$119,IF(7&lt;=35,'Rate Card'!$AH$119+(7-20)*'Rate Card'!$AI$119,'Rate Card'!$AK$119+(7-35)*'Rate Card'!$AJ$119)))))))*(1+'Rate Card'!$C$6),2)*(IF('Rate Card'!$G$6="YES",'Rate Card'!$E$6,0)+IF('Rate Card'!$K$6="YES",'Rate Card'!$I$6,0)),2)</f>
        <v/>
      </c>
      <c r="P11" s="23">
        <f>IF(7&lt;=2,'Rate Card'!$AD$120,IF(7&lt;=5,'Rate Card'!$AE$120,IF(7&lt;=10,'Rate Card'!$AF$120,IF(7&lt;=15,'Rate Card'!$AG$120,IF(7&lt;=20,'Rate Card'!$AH$120,IF(7&lt;=35,'Rate Card'!$AH$120+(7-20)*'Rate Card'!$AI$120,'Rate Card'!$AK$120+(7-35)*'Rate Card'!$AJ$120))))))</f>
        <v/>
      </c>
      <c r="Q11" s="12">
        <f>ROUND((IF(7&lt;=2,'Rate Card'!$AD$120,IF(7&lt;=5,'Rate Card'!$AE$120,IF(7&lt;=10,'Rate Card'!$AF$120,IF(7&lt;=15,'Rate Card'!$AG$120,IF(7&lt;=20,'Rate Card'!$AH$120,IF(7&lt;=35,'Rate Card'!$AH$120+(7-20)*'Rate Card'!$AI$120,'Rate Card'!$AK$120+(7-35)*'Rate Card'!$AJ$120)))))))*(1+'Rate Card'!$C$6),2)+ROUND(ROUND((IF(7&lt;=2,'Rate Card'!$AD$120,IF(7&lt;=5,'Rate Card'!$AE$120,IF(7&lt;=10,'Rate Card'!$AF$120,IF(7&lt;=15,'Rate Card'!$AG$120,IF(7&lt;=20,'Rate Card'!$AH$120,IF(7&lt;=35,'Rate Card'!$AH$120+(7-20)*'Rate Card'!$AI$120,'Rate Card'!$AK$120+(7-35)*'Rate Card'!$AJ$120)))))))*(1+'Rate Card'!$C$6),2)*(IF('Rate Card'!$G$6="YES",'Rate Card'!$E$6,0)+IF('Rate Card'!$K$6="YES",'Rate Card'!$I$6,0)),2)</f>
        <v/>
      </c>
    </row>
    <row r="12">
      <c r="A12" s="75" t="n">
        <v>8</v>
      </c>
      <c r="B12" s="23">
        <f>IF(8&lt;=5,'Rate Card'!$AD$20,'Rate Card'!$AD$20+(8-5)*'Rate Card'!$AE$20)</f>
        <v/>
      </c>
      <c r="C12" s="23">
        <f>ROUND((IF(8&lt;=5,'Rate Card'!$AD$20,'Rate Card'!$AD$20+(8-5)*'Rate Card'!$AE$20))*(1+'Rate Card'!$C$6),2)+ROUND(ROUND((IF(8&lt;=5,'Rate Card'!$AD$20,'Rate Card'!$AD$20+(8-5)*'Rate Card'!$AE$20))*(1+'Rate Card'!$C$6),2)*(IF('Rate Card'!$G$6="YES",'Rate Card'!$E$6,0)+IF('Rate Card'!$K$6="YES",'Rate Card'!$I$6,0)),2)</f>
        <v/>
      </c>
      <c r="D12" s="23">
        <f>IF(8&lt;=15,'Rate Card'!$AD$21,'Rate Card'!$AD$21+(8-15)*'Rate Card'!$AE$21)</f>
        <v/>
      </c>
      <c r="E12" s="23">
        <f>ROUND((IF(8&lt;=15,'Rate Card'!$AD$21,'Rate Card'!$AD$21+(8-15)*'Rate Card'!$AE$21))*(1+'Rate Card'!$C$6),2)+ROUND(ROUND((IF(8&lt;=15,'Rate Card'!$AD$21,'Rate Card'!$AD$21+(8-15)*'Rate Card'!$AE$21))*(1+'Rate Card'!$C$6),2)*(IF('Rate Card'!$G$6="YES",'Rate Card'!$E$6,0)+IF('Rate Card'!$K$6="YES",'Rate Card'!$I$6,0)),2)</f>
        <v/>
      </c>
      <c r="F12" s="23">
        <f>IF(8&lt;=2,'Rate Card'!$AD$22,IF(8&lt;=5,'Rate Card'!$AE$22,IF(8&lt;=10,'Rate Card'!$AF$22,IF(8&lt;=15,'Rate Card'!$AG$22,IF(8&lt;=20,'Rate Card'!$AH$22,IF(8&lt;=35,'Rate Card'!$AH$22+(8-20)*'Rate Card'!$AI$22,'Rate Card'!$AK$22+(8-35)*'Rate Card'!$AJ$22))))))</f>
        <v/>
      </c>
      <c r="G12" s="23">
        <f>ROUND((IF(8&lt;=2,'Rate Card'!$AD$22,IF(8&lt;=5,'Rate Card'!$AE$22,IF(8&lt;=10,'Rate Card'!$AF$22,IF(8&lt;=15,'Rate Card'!$AG$22,IF(8&lt;=20,'Rate Card'!$AH$22,IF(8&lt;=35,'Rate Card'!$AH$22+(8-20)*'Rate Card'!$AI$22,'Rate Card'!$AK$22+(8-35)*'Rate Card'!$AJ$22)))))))*(1+'Rate Card'!$C$6),2)+ROUND(ROUND((IF(8&lt;=2,'Rate Card'!$AD$22,IF(8&lt;=5,'Rate Card'!$AE$22,IF(8&lt;=10,'Rate Card'!$AF$22,IF(8&lt;=15,'Rate Card'!$AG$22,IF(8&lt;=20,'Rate Card'!$AH$22,IF(8&lt;=35,'Rate Card'!$AH$22+(8-20)*'Rate Card'!$AI$22,'Rate Card'!$AK$22+(8-35)*'Rate Card'!$AJ$22)))))))*(1+'Rate Card'!$C$6),2)*(IF('Rate Card'!$G$6="YES",'Rate Card'!$E$6,0)+IF('Rate Card'!$K$6="YES",'Rate Card'!$I$6,0)),2)</f>
        <v/>
      </c>
      <c r="H12" s="23">
        <f>IF(8&lt;=2,'Rate Card'!$AD$23,IF(8&lt;=5,'Rate Card'!$AE$23,IF(8&lt;=10,'Rate Card'!$AF$23,IF(8&lt;=15,'Rate Card'!$AG$23,IF(8&lt;=20,'Rate Card'!$AH$23,IF(8&lt;=35,'Rate Card'!$AH$23+(8-20)*'Rate Card'!$AI$23,'Rate Card'!$AK$23+(8-35)*'Rate Card'!$AJ$23))))))</f>
        <v/>
      </c>
      <c r="I12" s="23">
        <f>ROUND((IF(8&lt;=2,'Rate Card'!$AD$23,IF(8&lt;=5,'Rate Card'!$AE$23,IF(8&lt;=10,'Rate Card'!$AF$23,IF(8&lt;=15,'Rate Card'!$AG$23,IF(8&lt;=20,'Rate Card'!$AH$23,IF(8&lt;=35,'Rate Card'!$AH$23+(8-20)*'Rate Card'!$AI$23,'Rate Card'!$AK$23+(8-35)*'Rate Card'!$AJ$23)))))))*(1+'Rate Card'!$C$6),2)+ROUND(ROUND((IF(8&lt;=2,'Rate Card'!$AD$23,IF(8&lt;=5,'Rate Card'!$AE$23,IF(8&lt;=10,'Rate Card'!$AF$23,IF(8&lt;=15,'Rate Card'!$AG$23,IF(8&lt;=20,'Rate Card'!$AH$23,IF(8&lt;=35,'Rate Card'!$AH$23+(8-20)*'Rate Card'!$AI$23,'Rate Card'!$AK$23+(8-35)*'Rate Card'!$AJ$23)))))))*(1+'Rate Card'!$C$6),2)*(IF('Rate Card'!$G$6="YES",'Rate Card'!$E$6,0)+IF('Rate Card'!$K$6="YES",'Rate Card'!$I$6,0)),2)</f>
        <v/>
      </c>
      <c r="J12" s="23">
        <f>IF(8&lt;=5,'Rate Card'!$AD$117,'Rate Card'!$AD$117+(8-5)*'Rate Card'!$AE$117)</f>
        <v/>
      </c>
      <c r="K12" s="23">
        <f>ROUND((IF(8&lt;=5,'Rate Card'!$AD$117,'Rate Card'!$AD$117+(8-5)*'Rate Card'!$AE$117))*(1+'Rate Card'!$C$6),2)+ROUND(ROUND((IF(8&lt;=5,'Rate Card'!$AD$117,'Rate Card'!$AD$117+(8-5)*'Rate Card'!$AE$117))*(1+'Rate Card'!$C$6),2)*(IF('Rate Card'!$G$6="YES",'Rate Card'!$E$6,0)+IF('Rate Card'!$K$6="YES",'Rate Card'!$I$6,0)),2)</f>
        <v/>
      </c>
      <c r="L12" s="23">
        <f>IF(8&lt;=15,'Rate Card'!$AD$118,'Rate Card'!$AD$118+(8-15)*'Rate Card'!$AE$118)</f>
        <v/>
      </c>
      <c r="M12" s="23">
        <f>ROUND((IF(8&lt;=15,'Rate Card'!$AD$118,'Rate Card'!$AD$118+(8-15)*'Rate Card'!$AE$118))*(1+'Rate Card'!$C$6),2)+ROUND(ROUND((IF(8&lt;=15,'Rate Card'!$AD$118,'Rate Card'!$AD$118+(8-15)*'Rate Card'!$AE$118))*(1+'Rate Card'!$C$6),2)*(IF('Rate Card'!$G$6="YES",'Rate Card'!$E$6,0)+IF('Rate Card'!$K$6="YES",'Rate Card'!$I$6,0)),2)</f>
        <v/>
      </c>
      <c r="N12" s="23">
        <f>IF(8&lt;=2,'Rate Card'!$AD$119,IF(8&lt;=5,'Rate Card'!$AE$119,IF(8&lt;=10,'Rate Card'!$AF$119,IF(8&lt;=15,'Rate Card'!$AG$119,IF(8&lt;=20,'Rate Card'!$AH$119,IF(8&lt;=35,'Rate Card'!$AH$119+(8-20)*'Rate Card'!$AI$119,'Rate Card'!$AK$119+(8-35)*'Rate Card'!$AJ$119))))))</f>
        <v/>
      </c>
      <c r="O12" s="23">
        <f>ROUND((IF(8&lt;=2,'Rate Card'!$AD$119,IF(8&lt;=5,'Rate Card'!$AE$119,IF(8&lt;=10,'Rate Card'!$AF$119,IF(8&lt;=15,'Rate Card'!$AG$119,IF(8&lt;=20,'Rate Card'!$AH$119,IF(8&lt;=35,'Rate Card'!$AH$119+(8-20)*'Rate Card'!$AI$119,'Rate Card'!$AK$119+(8-35)*'Rate Card'!$AJ$119)))))))*(1+'Rate Card'!$C$6),2)+ROUND(ROUND((IF(8&lt;=2,'Rate Card'!$AD$119,IF(8&lt;=5,'Rate Card'!$AE$119,IF(8&lt;=10,'Rate Card'!$AF$119,IF(8&lt;=15,'Rate Card'!$AG$119,IF(8&lt;=20,'Rate Card'!$AH$119,IF(8&lt;=35,'Rate Card'!$AH$119+(8-20)*'Rate Card'!$AI$119,'Rate Card'!$AK$119+(8-35)*'Rate Card'!$AJ$119)))))))*(1+'Rate Card'!$C$6),2)*(IF('Rate Card'!$G$6="YES",'Rate Card'!$E$6,0)+IF('Rate Card'!$K$6="YES",'Rate Card'!$I$6,0)),2)</f>
        <v/>
      </c>
      <c r="P12" s="23">
        <f>IF(8&lt;=2,'Rate Card'!$AD$120,IF(8&lt;=5,'Rate Card'!$AE$120,IF(8&lt;=10,'Rate Card'!$AF$120,IF(8&lt;=15,'Rate Card'!$AG$120,IF(8&lt;=20,'Rate Card'!$AH$120,IF(8&lt;=35,'Rate Card'!$AH$120+(8-20)*'Rate Card'!$AI$120,'Rate Card'!$AK$120+(8-35)*'Rate Card'!$AJ$120))))))</f>
        <v/>
      </c>
      <c r="Q12" s="12">
        <f>ROUND((IF(8&lt;=2,'Rate Card'!$AD$120,IF(8&lt;=5,'Rate Card'!$AE$120,IF(8&lt;=10,'Rate Card'!$AF$120,IF(8&lt;=15,'Rate Card'!$AG$120,IF(8&lt;=20,'Rate Card'!$AH$120,IF(8&lt;=35,'Rate Card'!$AH$120+(8-20)*'Rate Card'!$AI$120,'Rate Card'!$AK$120+(8-35)*'Rate Card'!$AJ$120)))))))*(1+'Rate Card'!$C$6),2)+ROUND(ROUND((IF(8&lt;=2,'Rate Card'!$AD$120,IF(8&lt;=5,'Rate Card'!$AE$120,IF(8&lt;=10,'Rate Card'!$AF$120,IF(8&lt;=15,'Rate Card'!$AG$120,IF(8&lt;=20,'Rate Card'!$AH$120,IF(8&lt;=35,'Rate Card'!$AH$120+(8-20)*'Rate Card'!$AI$120,'Rate Card'!$AK$120+(8-35)*'Rate Card'!$AJ$120)))))))*(1+'Rate Card'!$C$6),2)*(IF('Rate Card'!$G$6="YES",'Rate Card'!$E$6,0)+IF('Rate Card'!$K$6="YES",'Rate Card'!$I$6,0)),2)</f>
        <v/>
      </c>
    </row>
    <row r="13">
      <c r="A13" s="75" t="n">
        <v>9</v>
      </c>
      <c r="B13" s="23">
        <f>IF(9&lt;=5,'Rate Card'!$AD$20,'Rate Card'!$AD$20+(9-5)*'Rate Card'!$AE$20)</f>
        <v/>
      </c>
      <c r="C13" s="23">
        <f>ROUND((IF(9&lt;=5,'Rate Card'!$AD$20,'Rate Card'!$AD$20+(9-5)*'Rate Card'!$AE$20))*(1+'Rate Card'!$C$6),2)+ROUND(ROUND((IF(9&lt;=5,'Rate Card'!$AD$20,'Rate Card'!$AD$20+(9-5)*'Rate Card'!$AE$20))*(1+'Rate Card'!$C$6),2)*(IF('Rate Card'!$G$6="YES",'Rate Card'!$E$6,0)+IF('Rate Card'!$K$6="YES",'Rate Card'!$I$6,0)),2)</f>
        <v/>
      </c>
      <c r="D13" s="23">
        <f>IF(9&lt;=15,'Rate Card'!$AD$21,'Rate Card'!$AD$21+(9-15)*'Rate Card'!$AE$21)</f>
        <v/>
      </c>
      <c r="E13" s="23">
        <f>ROUND((IF(9&lt;=15,'Rate Card'!$AD$21,'Rate Card'!$AD$21+(9-15)*'Rate Card'!$AE$21))*(1+'Rate Card'!$C$6),2)+ROUND(ROUND((IF(9&lt;=15,'Rate Card'!$AD$21,'Rate Card'!$AD$21+(9-15)*'Rate Card'!$AE$21))*(1+'Rate Card'!$C$6),2)*(IF('Rate Card'!$G$6="YES",'Rate Card'!$E$6,0)+IF('Rate Card'!$K$6="YES",'Rate Card'!$I$6,0)),2)</f>
        <v/>
      </c>
      <c r="F13" s="23">
        <f>IF(9&lt;=2,'Rate Card'!$AD$22,IF(9&lt;=5,'Rate Card'!$AE$22,IF(9&lt;=10,'Rate Card'!$AF$22,IF(9&lt;=15,'Rate Card'!$AG$22,IF(9&lt;=20,'Rate Card'!$AH$22,IF(9&lt;=35,'Rate Card'!$AH$22+(9-20)*'Rate Card'!$AI$22,'Rate Card'!$AK$22+(9-35)*'Rate Card'!$AJ$22))))))</f>
        <v/>
      </c>
      <c r="G13" s="23">
        <f>ROUND((IF(9&lt;=2,'Rate Card'!$AD$22,IF(9&lt;=5,'Rate Card'!$AE$22,IF(9&lt;=10,'Rate Card'!$AF$22,IF(9&lt;=15,'Rate Card'!$AG$22,IF(9&lt;=20,'Rate Card'!$AH$22,IF(9&lt;=35,'Rate Card'!$AH$22+(9-20)*'Rate Card'!$AI$22,'Rate Card'!$AK$22+(9-35)*'Rate Card'!$AJ$22)))))))*(1+'Rate Card'!$C$6),2)+ROUND(ROUND((IF(9&lt;=2,'Rate Card'!$AD$22,IF(9&lt;=5,'Rate Card'!$AE$22,IF(9&lt;=10,'Rate Card'!$AF$22,IF(9&lt;=15,'Rate Card'!$AG$22,IF(9&lt;=20,'Rate Card'!$AH$22,IF(9&lt;=35,'Rate Card'!$AH$22+(9-20)*'Rate Card'!$AI$22,'Rate Card'!$AK$22+(9-35)*'Rate Card'!$AJ$22)))))))*(1+'Rate Card'!$C$6),2)*(IF('Rate Card'!$G$6="YES",'Rate Card'!$E$6,0)+IF('Rate Card'!$K$6="YES",'Rate Card'!$I$6,0)),2)</f>
        <v/>
      </c>
      <c r="H13" s="23">
        <f>IF(9&lt;=2,'Rate Card'!$AD$23,IF(9&lt;=5,'Rate Card'!$AE$23,IF(9&lt;=10,'Rate Card'!$AF$23,IF(9&lt;=15,'Rate Card'!$AG$23,IF(9&lt;=20,'Rate Card'!$AH$23,IF(9&lt;=35,'Rate Card'!$AH$23+(9-20)*'Rate Card'!$AI$23,'Rate Card'!$AK$23+(9-35)*'Rate Card'!$AJ$23))))))</f>
        <v/>
      </c>
      <c r="I13" s="23">
        <f>ROUND((IF(9&lt;=2,'Rate Card'!$AD$23,IF(9&lt;=5,'Rate Card'!$AE$23,IF(9&lt;=10,'Rate Card'!$AF$23,IF(9&lt;=15,'Rate Card'!$AG$23,IF(9&lt;=20,'Rate Card'!$AH$23,IF(9&lt;=35,'Rate Card'!$AH$23+(9-20)*'Rate Card'!$AI$23,'Rate Card'!$AK$23+(9-35)*'Rate Card'!$AJ$23)))))))*(1+'Rate Card'!$C$6),2)+ROUND(ROUND((IF(9&lt;=2,'Rate Card'!$AD$23,IF(9&lt;=5,'Rate Card'!$AE$23,IF(9&lt;=10,'Rate Card'!$AF$23,IF(9&lt;=15,'Rate Card'!$AG$23,IF(9&lt;=20,'Rate Card'!$AH$23,IF(9&lt;=35,'Rate Card'!$AH$23+(9-20)*'Rate Card'!$AI$23,'Rate Card'!$AK$23+(9-35)*'Rate Card'!$AJ$23)))))))*(1+'Rate Card'!$C$6),2)*(IF('Rate Card'!$G$6="YES",'Rate Card'!$E$6,0)+IF('Rate Card'!$K$6="YES",'Rate Card'!$I$6,0)),2)</f>
        <v/>
      </c>
      <c r="J13" s="23">
        <f>IF(9&lt;=5,'Rate Card'!$AD$117,'Rate Card'!$AD$117+(9-5)*'Rate Card'!$AE$117)</f>
        <v/>
      </c>
      <c r="K13" s="23">
        <f>ROUND((IF(9&lt;=5,'Rate Card'!$AD$117,'Rate Card'!$AD$117+(9-5)*'Rate Card'!$AE$117))*(1+'Rate Card'!$C$6),2)+ROUND(ROUND((IF(9&lt;=5,'Rate Card'!$AD$117,'Rate Card'!$AD$117+(9-5)*'Rate Card'!$AE$117))*(1+'Rate Card'!$C$6),2)*(IF('Rate Card'!$G$6="YES",'Rate Card'!$E$6,0)+IF('Rate Card'!$K$6="YES",'Rate Card'!$I$6,0)),2)</f>
        <v/>
      </c>
      <c r="L13" s="23">
        <f>IF(9&lt;=15,'Rate Card'!$AD$118,'Rate Card'!$AD$118+(9-15)*'Rate Card'!$AE$118)</f>
        <v/>
      </c>
      <c r="M13" s="23">
        <f>ROUND((IF(9&lt;=15,'Rate Card'!$AD$118,'Rate Card'!$AD$118+(9-15)*'Rate Card'!$AE$118))*(1+'Rate Card'!$C$6),2)+ROUND(ROUND((IF(9&lt;=15,'Rate Card'!$AD$118,'Rate Card'!$AD$118+(9-15)*'Rate Card'!$AE$118))*(1+'Rate Card'!$C$6),2)*(IF('Rate Card'!$G$6="YES",'Rate Card'!$E$6,0)+IF('Rate Card'!$K$6="YES",'Rate Card'!$I$6,0)),2)</f>
        <v/>
      </c>
      <c r="N13" s="23">
        <f>IF(9&lt;=2,'Rate Card'!$AD$119,IF(9&lt;=5,'Rate Card'!$AE$119,IF(9&lt;=10,'Rate Card'!$AF$119,IF(9&lt;=15,'Rate Card'!$AG$119,IF(9&lt;=20,'Rate Card'!$AH$119,IF(9&lt;=35,'Rate Card'!$AH$119+(9-20)*'Rate Card'!$AI$119,'Rate Card'!$AK$119+(9-35)*'Rate Card'!$AJ$119))))))</f>
        <v/>
      </c>
      <c r="O13" s="23">
        <f>ROUND((IF(9&lt;=2,'Rate Card'!$AD$119,IF(9&lt;=5,'Rate Card'!$AE$119,IF(9&lt;=10,'Rate Card'!$AF$119,IF(9&lt;=15,'Rate Card'!$AG$119,IF(9&lt;=20,'Rate Card'!$AH$119,IF(9&lt;=35,'Rate Card'!$AH$119+(9-20)*'Rate Card'!$AI$119,'Rate Card'!$AK$119+(9-35)*'Rate Card'!$AJ$119)))))))*(1+'Rate Card'!$C$6),2)+ROUND(ROUND((IF(9&lt;=2,'Rate Card'!$AD$119,IF(9&lt;=5,'Rate Card'!$AE$119,IF(9&lt;=10,'Rate Card'!$AF$119,IF(9&lt;=15,'Rate Card'!$AG$119,IF(9&lt;=20,'Rate Card'!$AH$119,IF(9&lt;=35,'Rate Card'!$AH$119+(9-20)*'Rate Card'!$AI$119,'Rate Card'!$AK$119+(9-35)*'Rate Card'!$AJ$119)))))))*(1+'Rate Card'!$C$6),2)*(IF('Rate Card'!$G$6="YES",'Rate Card'!$E$6,0)+IF('Rate Card'!$K$6="YES",'Rate Card'!$I$6,0)),2)</f>
        <v/>
      </c>
      <c r="P13" s="23">
        <f>IF(9&lt;=2,'Rate Card'!$AD$120,IF(9&lt;=5,'Rate Card'!$AE$120,IF(9&lt;=10,'Rate Card'!$AF$120,IF(9&lt;=15,'Rate Card'!$AG$120,IF(9&lt;=20,'Rate Card'!$AH$120,IF(9&lt;=35,'Rate Card'!$AH$120+(9-20)*'Rate Card'!$AI$120,'Rate Card'!$AK$120+(9-35)*'Rate Card'!$AJ$120))))))</f>
        <v/>
      </c>
      <c r="Q13" s="12">
        <f>ROUND((IF(9&lt;=2,'Rate Card'!$AD$120,IF(9&lt;=5,'Rate Card'!$AE$120,IF(9&lt;=10,'Rate Card'!$AF$120,IF(9&lt;=15,'Rate Card'!$AG$120,IF(9&lt;=20,'Rate Card'!$AH$120,IF(9&lt;=35,'Rate Card'!$AH$120+(9-20)*'Rate Card'!$AI$120,'Rate Card'!$AK$120+(9-35)*'Rate Card'!$AJ$120)))))))*(1+'Rate Card'!$C$6),2)+ROUND(ROUND((IF(9&lt;=2,'Rate Card'!$AD$120,IF(9&lt;=5,'Rate Card'!$AE$120,IF(9&lt;=10,'Rate Card'!$AF$120,IF(9&lt;=15,'Rate Card'!$AG$120,IF(9&lt;=20,'Rate Card'!$AH$120,IF(9&lt;=35,'Rate Card'!$AH$120+(9-20)*'Rate Card'!$AI$120,'Rate Card'!$AK$120+(9-35)*'Rate Card'!$AJ$120)))))))*(1+'Rate Card'!$C$6),2)*(IF('Rate Card'!$G$6="YES",'Rate Card'!$E$6,0)+IF('Rate Card'!$K$6="YES",'Rate Card'!$I$6,0)),2)</f>
        <v/>
      </c>
    </row>
    <row r="14">
      <c r="A14" s="75" t="n">
        <v>10</v>
      </c>
      <c r="B14" s="23">
        <f>IF(10&lt;=5,'Rate Card'!$AD$20,'Rate Card'!$AD$20+(10-5)*'Rate Card'!$AE$20)</f>
        <v/>
      </c>
      <c r="C14" s="23">
        <f>ROUND((IF(10&lt;=5,'Rate Card'!$AD$20,'Rate Card'!$AD$20+(10-5)*'Rate Card'!$AE$20))*(1+'Rate Card'!$C$6),2)+ROUND(ROUND((IF(10&lt;=5,'Rate Card'!$AD$20,'Rate Card'!$AD$20+(10-5)*'Rate Card'!$AE$20))*(1+'Rate Card'!$C$6),2)*(IF('Rate Card'!$G$6="YES",'Rate Card'!$E$6,0)+IF('Rate Card'!$K$6="YES",'Rate Card'!$I$6,0)),2)</f>
        <v/>
      </c>
      <c r="D14" s="23">
        <f>IF(10&lt;=15,'Rate Card'!$AD$21,'Rate Card'!$AD$21+(10-15)*'Rate Card'!$AE$21)</f>
        <v/>
      </c>
      <c r="E14" s="23">
        <f>ROUND((IF(10&lt;=15,'Rate Card'!$AD$21,'Rate Card'!$AD$21+(10-15)*'Rate Card'!$AE$21))*(1+'Rate Card'!$C$6),2)+ROUND(ROUND((IF(10&lt;=15,'Rate Card'!$AD$21,'Rate Card'!$AD$21+(10-15)*'Rate Card'!$AE$21))*(1+'Rate Card'!$C$6),2)*(IF('Rate Card'!$G$6="YES",'Rate Card'!$E$6,0)+IF('Rate Card'!$K$6="YES",'Rate Card'!$I$6,0)),2)</f>
        <v/>
      </c>
      <c r="F14" s="23">
        <f>IF(10&lt;=2,'Rate Card'!$AD$22,IF(10&lt;=5,'Rate Card'!$AE$22,IF(10&lt;=10,'Rate Card'!$AF$22,IF(10&lt;=15,'Rate Card'!$AG$22,IF(10&lt;=20,'Rate Card'!$AH$22,IF(10&lt;=35,'Rate Card'!$AH$22+(10-20)*'Rate Card'!$AI$22,'Rate Card'!$AK$22+(10-35)*'Rate Card'!$AJ$22))))))</f>
        <v/>
      </c>
      <c r="G14" s="23">
        <f>ROUND((IF(10&lt;=2,'Rate Card'!$AD$22,IF(10&lt;=5,'Rate Card'!$AE$22,IF(10&lt;=10,'Rate Card'!$AF$22,IF(10&lt;=15,'Rate Card'!$AG$22,IF(10&lt;=20,'Rate Card'!$AH$22,IF(10&lt;=35,'Rate Card'!$AH$22+(10-20)*'Rate Card'!$AI$22,'Rate Card'!$AK$22+(10-35)*'Rate Card'!$AJ$22)))))))*(1+'Rate Card'!$C$6),2)+ROUND(ROUND((IF(10&lt;=2,'Rate Card'!$AD$22,IF(10&lt;=5,'Rate Card'!$AE$22,IF(10&lt;=10,'Rate Card'!$AF$22,IF(10&lt;=15,'Rate Card'!$AG$22,IF(10&lt;=20,'Rate Card'!$AH$22,IF(10&lt;=35,'Rate Card'!$AH$22+(10-20)*'Rate Card'!$AI$22,'Rate Card'!$AK$22+(10-35)*'Rate Card'!$AJ$22)))))))*(1+'Rate Card'!$C$6),2)*(IF('Rate Card'!$G$6="YES",'Rate Card'!$E$6,0)+IF('Rate Card'!$K$6="YES",'Rate Card'!$I$6,0)),2)</f>
        <v/>
      </c>
      <c r="H14" s="23">
        <f>IF(10&lt;=2,'Rate Card'!$AD$23,IF(10&lt;=5,'Rate Card'!$AE$23,IF(10&lt;=10,'Rate Card'!$AF$23,IF(10&lt;=15,'Rate Card'!$AG$23,IF(10&lt;=20,'Rate Card'!$AH$23,IF(10&lt;=35,'Rate Card'!$AH$23+(10-20)*'Rate Card'!$AI$23,'Rate Card'!$AK$23+(10-35)*'Rate Card'!$AJ$23))))))</f>
        <v/>
      </c>
      <c r="I14" s="23">
        <f>ROUND((IF(10&lt;=2,'Rate Card'!$AD$23,IF(10&lt;=5,'Rate Card'!$AE$23,IF(10&lt;=10,'Rate Card'!$AF$23,IF(10&lt;=15,'Rate Card'!$AG$23,IF(10&lt;=20,'Rate Card'!$AH$23,IF(10&lt;=35,'Rate Card'!$AH$23+(10-20)*'Rate Card'!$AI$23,'Rate Card'!$AK$23+(10-35)*'Rate Card'!$AJ$23)))))))*(1+'Rate Card'!$C$6),2)+ROUND(ROUND((IF(10&lt;=2,'Rate Card'!$AD$23,IF(10&lt;=5,'Rate Card'!$AE$23,IF(10&lt;=10,'Rate Card'!$AF$23,IF(10&lt;=15,'Rate Card'!$AG$23,IF(10&lt;=20,'Rate Card'!$AH$23,IF(10&lt;=35,'Rate Card'!$AH$23+(10-20)*'Rate Card'!$AI$23,'Rate Card'!$AK$23+(10-35)*'Rate Card'!$AJ$23)))))))*(1+'Rate Card'!$C$6),2)*(IF('Rate Card'!$G$6="YES",'Rate Card'!$E$6,0)+IF('Rate Card'!$K$6="YES",'Rate Card'!$I$6,0)),2)</f>
        <v/>
      </c>
      <c r="J14" s="23">
        <f>IF(10&lt;=5,'Rate Card'!$AD$117,'Rate Card'!$AD$117+(10-5)*'Rate Card'!$AE$117)</f>
        <v/>
      </c>
      <c r="K14" s="23">
        <f>ROUND((IF(10&lt;=5,'Rate Card'!$AD$117,'Rate Card'!$AD$117+(10-5)*'Rate Card'!$AE$117))*(1+'Rate Card'!$C$6),2)+ROUND(ROUND((IF(10&lt;=5,'Rate Card'!$AD$117,'Rate Card'!$AD$117+(10-5)*'Rate Card'!$AE$117))*(1+'Rate Card'!$C$6),2)*(IF('Rate Card'!$G$6="YES",'Rate Card'!$E$6,0)+IF('Rate Card'!$K$6="YES",'Rate Card'!$I$6,0)),2)</f>
        <v/>
      </c>
      <c r="L14" s="23">
        <f>IF(10&lt;=15,'Rate Card'!$AD$118,'Rate Card'!$AD$118+(10-15)*'Rate Card'!$AE$118)</f>
        <v/>
      </c>
      <c r="M14" s="23">
        <f>ROUND((IF(10&lt;=15,'Rate Card'!$AD$118,'Rate Card'!$AD$118+(10-15)*'Rate Card'!$AE$118))*(1+'Rate Card'!$C$6),2)+ROUND(ROUND((IF(10&lt;=15,'Rate Card'!$AD$118,'Rate Card'!$AD$118+(10-15)*'Rate Card'!$AE$118))*(1+'Rate Card'!$C$6),2)*(IF('Rate Card'!$G$6="YES",'Rate Card'!$E$6,0)+IF('Rate Card'!$K$6="YES",'Rate Card'!$I$6,0)),2)</f>
        <v/>
      </c>
      <c r="N14" s="23">
        <f>IF(10&lt;=2,'Rate Card'!$AD$119,IF(10&lt;=5,'Rate Card'!$AE$119,IF(10&lt;=10,'Rate Card'!$AF$119,IF(10&lt;=15,'Rate Card'!$AG$119,IF(10&lt;=20,'Rate Card'!$AH$119,IF(10&lt;=35,'Rate Card'!$AH$119+(10-20)*'Rate Card'!$AI$119,'Rate Card'!$AK$119+(10-35)*'Rate Card'!$AJ$119))))))</f>
        <v/>
      </c>
      <c r="O14" s="23">
        <f>ROUND((IF(10&lt;=2,'Rate Card'!$AD$119,IF(10&lt;=5,'Rate Card'!$AE$119,IF(10&lt;=10,'Rate Card'!$AF$119,IF(10&lt;=15,'Rate Card'!$AG$119,IF(10&lt;=20,'Rate Card'!$AH$119,IF(10&lt;=35,'Rate Card'!$AH$119+(10-20)*'Rate Card'!$AI$119,'Rate Card'!$AK$119+(10-35)*'Rate Card'!$AJ$119)))))))*(1+'Rate Card'!$C$6),2)+ROUND(ROUND((IF(10&lt;=2,'Rate Card'!$AD$119,IF(10&lt;=5,'Rate Card'!$AE$119,IF(10&lt;=10,'Rate Card'!$AF$119,IF(10&lt;=15,'Rate Card'!$AG$119,IF(10&lt;=20,'Rate Card'!$AH$119,IF(10&lt;=35,'Rate Card'!$AH$119+(10-20)*'Rate Card'!$AI$119,'Rate Card'!$AK$119+(10-35)*'Rate Card'!$AJ$119)))))))*(1+'Rate Card'!$C$6),2)*(IF('Rate Card'!$G$6="YES",'Rate Card'!$E$6,0)+IF('Rate Card'!$K$6="YES",'Rate Card'!$I$6,0)),2)</f>
        <v/>
      </c>
      <c r="P14" s="23">
        <f>IF(10&lt;=2,'Rate Card'!$AD$120,IF(10&lt;=5,'Rate Card'!$AE$120,IF(10&lt;=10,'Rate Card'!$AF$120,IF(10&lt;=15,'Rate Card'!$AG$120,IF(10&lt;=20,'Rate Card'!$AH$120,IF(10&lt;=35,'Rate Card'!$AH$120+(10-20)*'Rate Card'!$AI$120,'Rate Card'!$AK$120+(10-35)*'Rate Card'!$AJ$120))))))</f>
        <v/>
      </c>
      <c r="Q14" s="12">
        <f>ROUND((IF(10&lt;=2,'Rate Card'!$AD$120,IF(10&lt;=5,'Rate Card'!$AE$120,IF(10&lt;=10,'Rate Card'!$AF$120,IF(10&lt;=15,'Rate Card'!$AG$120,IF(10&lt;=20,'Rate Card'!$AH$120,IF(10&lt;=35,'Rate Card'!$AH$120+(10-20)*'Rate Card'!$AI$120,'Rate Card'!$AK$120+(10-35)*'Rate Card'!$AJ$120)))))))*(1+'Rate Card'!$C$6),2)+ROUND(ROUND((IF(10&lt;=2,'Rate Card'!$AD$120,IF(10&lt;=5,'Rate Card'!$AE$120,IF(10&lt;=10,'Rate Card'!$AF$120,IF(10&lt;=15,'Rate Card'!$AG$120,IF(10&lt;=20,'Rate Card'!$AH$120,IF(10&lt;=35,'Rate Card'!$AH$120+(10-20)*'Rate Card'!$AI$120,'Rate Card'!$AK$120+(10-35)*'Rate Card'!$AJ$120)))))))*(1+'Rate Card'!$C$6),2)*(IF('Rate Card'!$G$6="YES",'Rate Card'!$E$6,0)+IF('Rate Card'!$K$6="YES",'Rate Card'!$I$6,0)),2)</f>
        <v/>
      </c>
    </row>
    <row r="15">
      <c r="A15" s="75" t="n">
        <v>11</v>
      </c>
      <c r="B15" s="23">
        <f>IF(11&lt;=5,'Rate Card'!$AD$20,'Rate Card'!$AD$20+(11-5)*'Rate Card'!$AE$20)</f>
        <v/>
      </c>
      <c r="C15" s="23">
        <f>ROUND((IF(11&lt;=5,'Rate Card'!$AD$20,'Rate Card'!$AD$20+(11-5)*'Rate Card'!$AE$20))*(1+'Rate Card'!$C$6),2)+ROUND(ROUND((IF(11&lt;=5,'Rate Card'!$AD$20,'Rate Card'!$AD$20+(11-5)*'Rate Card'!$AE$20))*(1+'Rate Card'!$C$6),2)*(IF('Rate Card'!$G$6="YES",'Rate Card'!$E$6,0)+IF('Rate Card'!$K$6="YES",'Rate Card'!$I$6,0)),2)</f>
        <v/>
      </c>
      <c r="D15" s="23">
        <f>IF(11&lt;=15,'Rate Card'!$AD$21,'Rate Card'!$AD$21+(11-15)*'Rate Card'!$AE$21)</f>
        <v/>
      </c>
      <c r="E15" s="23">
        <f>ROUND((IF(11&lt;=15,'Rate Card'!$AD$21,'Rate Card'!$AD$21+(11-15)*'Rate Card'!$AE$21))*(1+'Rate Card'!$C$6),2)+ROUND(ROUND((IF(11&lt;=15,'Rate Card'!$AD$21,'Rate Card'!$AD$21+(11-15)*'Rate Card'!$AE$21))*(1+'Rate Card'!$C$6),2)*(IF('Rate Card'!$G$6="YES",'Rate Card'!$E$6,0)+IF('Rate Card'!$K$6="YES",'Rate Card'!$I$6,0)),2)</f>
        <v/>
      </c>
      <c r="F15" s="23">
        <f>IF(11&lt;=2,'Rate Card'!$AD$22,IF(11&lt;=5,'Rate Card'!$AE$22,IF(11&lt;=10,'Rate Card'!$AF$22,IF(11&lt;=15,'Rate Card'!$AG$22,IF(11&lt;=20,'Rate Card'!$AH$22,IF(11&lt;=35,'Rate Card'!$AH$22+(11-20)*'Rate Card'!$AI$22,'Rate Card'!$AK$22+(11-35)*'Rate Card'!$AJ$22))))))</f>
        <v/>
      </c>
      <c r="G15" s="23">
        <f>ROUND((IF(11&lt;=2,'Rate Card'!$AD$22,IF(11&lt;=5,'Rate Card'!$AE$22,IF(11&lt;=10,'Rate Card'!$AF$22,IF(11&lt;=15,'Rate Card'!$AG$22,IF(11&lt;=20,'Rate Card'!$AH$22,IF(11&lt;=35,'Rate Card'!$AH$22+(11-20)*'Rate Card'!$AI$22,'Rate Card'!$AK$22+(11-35)*'Rate Card'!$AJ$22)))))))*(1+'Rate Card'!$C$6),2)+ROUND(ROUND((IF(11&lt;=2,'Rate Card'!$AD$22,IF(11&lt;=5,'Rate Card'!$AE$22,IF(11&lt;=10,'Rate Card'!$AF$22,IF(11&lt;=15,'Rate Card'!$AG$22,IF(11&lt;=20,'Rate Card'!$AH$22,IF(11&lt;=35,'Rate Card'!$AH$22+(11-20)*'Rate Card'!$AI$22,'Rate Card'!$AK$22+(11-35)*'Rate Card'!$AJ$22)))))))*(1+'Rate Card'!$C$6),2)*(IF('Rate Card'!$G$6="YES",'Rate Card'!$E$6,0)+IF('Rate Card'!$K$6="YES",'Rate Card'!$I$6,0)),2)</f>
        <v/>
      </c>
      <c r="H15" s="23">
        <f>IF(11&lt;=2,'Rate Card'!$AD$23,IF(11&lt;=5,'Rate Card'!$AE$23,IF(11&lt;=10,'Rate Card'!$AF$23,IF(11&lt;=15,'Rate Card'!$AG$23,IF(11&lt;=20,'Rate Card'!$AH$23,IF(11&lt;=35,'Rate Card'!$AH$23+(11-20)*'Rate Card'!$AI$23,'Rate Card'!$AK$23+(11-35)*'Rate Card'!$AJ$23))))))</f>
        <v/>
      </c>
      <c r="I15" s="23">
        <f>ROUND((IF(11&lt;=2,'Rate Card'!$AD$23,IF(11&lt;=5,'Rate Card'!$AE$23,IF(11&lt;=10,'Rate Card'!$AF$23,IF(11&lt;=15,'Rate Card'!$AG$23,IF(11&lt;=20,'Rate Card'!$AH$23,IF(11&lt;=35,'Rate Card'!$AH$23+(11-20)*'Rate Card'!$AI$23,'Rate Card'!$AK$23+(11-35)*'Rate Card'!$AJ$23)))))))*(1+'Rate Card'!$C$6),2)+ROUND(ROUND((IF(11&lt;=2,'Rate Card'!$AD$23,IF(11&lt;=5,'Rate Card'!$AE$23,IF(11&lt;=10,'Rate Card'!$AF$23,IF(11&lt;=15,'Rate Card'!$AG$23,IF(11&lt;=20,'Rate Card'!$AH$23,IF(11&lt;=35,'Rate Card'!$AH$23+(11-20)*'Rate Card'!$AI$23,'Rate Card'!$AK$23+(11-35)*'Rate Card'!$AJ$23)))))))*(1+'Rate Card'!$C$6),2)*(IF('Rate Card'!$G$6="YES",'Rate Card'!$E$6,0)+IF('Rate Card'!$K$6="YES",'Rate Card'!$I$6,0)),2)</f>
        <v/>
      </c>
      <c r="J15" s="23">
        <f>IF(11&lt;=5,'Rate Card'!$AD$117,'Rate Card'!$AD$117+(11-5)*'Rate Card'!$AE$117)</f>
        <v/>
      </c>
      <c r="K15" s="23">
        <f>ROUND((IF(11&lt;=5,'Rate Card'!$AD$117,'Rate Card'!$AD$117+(11-5)*'Rate Card'!$AE$117))*(1+'Rate Card'!$C$6),2)+ROUND(ROUND((IF(11&lt;=5,'Rate Card'!$AD$117,'Rate Card'!$AD$117+(11-5)*'Rate Card'!$AE$117))*(1+'Rate Card'!$C$6),2)*(IF('Rate Card'!$G$6="YES",'Rate Card'!$E$6,0)+IF('Rate Card'!$K$6="YES",'Rate Card'!$I$6,0)),2)</f>
        <v/>
      </c>
      <c r="L15" s="23">
        <f>IF(11&lt;=15,'Rate Card'!$AD$118,'Rate Card'!$AD$118+(11-15)*'Rate Card'!$AE$118)</f>
        <v/>
      </c>
      <c r="M15" s="23">
        <f>ROUND((IF(11&lt;=15,'Rate Card'!$AD$118,'Rate Card'!$AD$118+(11-15)*'Rate Card'!$AE$118))*(1+'Rate Card'!$C$6),2)+ROUND(ROUND((IF(11&lt;=15,'Rate Card'!$AD$118,'Rate Card'!$AD$118+(11-15)*'Rate Card'!$AE$118))*(1+'Rate Card'!$C$6),2)*(IF('Rate Card'!$G$6="YES",'Rate Card'!$E$6,0)+IF('Rate Card'!$K$6="YES",'Rate Card'!$I$6,0)),2)</f>
        <v/>
      </c>
      <c r="N15" s="23">
        <f>IF(11&lt;=2,'Rate Card'!$AD$119,IF(11&lt;=5,'Rate Card'!$AE$119,IF(11&lt;=10,'Rate Card'!$AF$119,IF(11&lt;=15,'Rate Card'!$AG$119,IF(11&lt;=20,'Rate Card'!$AH$119,IF(11&lt;=35,'Rate Card'!$AH$119+(11-20)*'Rate Card'!$AI$119,'Rate Card'!$AK$119+(11-35)*'Rate Card'!$AJ$119))))))</f>
        <v/>
      </c>
      <c r="O15" s="23">
        <f>ROUND((IF(11&lt;=2,'Rate Card'!$AD$119,IF(11&lt;=5,'Rate Card'!$AE$119,IF(11&lt;=10,'Rate Card'!$AF$119,IF(11&lt;=15,'Rate Card'!$AG$119,IF(11&lt;=20,'Rate Card'!$AH$119,IF(11&lt;=35,'Rate Card'!$AH$119+(11-20)*'Rate Card'!$AI$119,'Rate Card'!$AK$119+(11-35)*'Rate Card'!$AJ$119)))))))*(1+'Rate Card'!$C$6),2)+ROUND(ROUND((IF(11&lt;=2,'Rate Card'!$AD$119,IF(11&lt;=5,'Rate Card'!$AE$119,IF(11&lt;=10,'Rate Card'!$AF$119,IF(11&lt;=15,'Rate Card'!$AG$119,IF(11&lt;=20,'Rate Card'!$AH$119,IF(11&lt;=35,'Rate Card'!$AH$119+(11-20)*'Rate Card'!$AI$119,'Rate Card'!$AK$119+(11-35)*'Rate Card'!$AJ$119)))))))*(1+'Rate Card'!$C$6),2)*(IF('Rate Card'!$G$6="YES",'Rate Card'!$E$6,0)+IF('Rate Card'!$K$6="YES",'Rate Card'!$I$6,0)),2)</f>
        <v/>
      </c>
      <c r="P15" s="23">
        <f>IF(11&lt;=2,'Rate Card'!$AD$120,IF(11&lt;=5,'Rate Card'!$AE$120,IF(11&lt;=10,'Rate Card'!$AF$120,IF(11&lt;=15,'Rate Card'!$AG$120,IF(11&lt;=20,'Rate Card'!$AH$120,IF(11&lt;=35,'Rate Card'!$AH$120+(11-20)*'Rate Card'!$AI$120,'Rate Card'!$AK$120+(11-35)*'Rate Card'!$AJ$120))))))</f>
        <v/>
      </c>
      <c r="Q15" s="12">
        <f>ROUND((IF(11&lt;=2,'Rate Card'!$AD$120,IF(11&lt;=5,'Rate Card'!$AE$120,IF(11&lt;=10,'Rate Card'!$AF$120,IF(11&lt;=15,'Rate Card'!$AG$120,IF(11&lt;=20,'Rate Card'!$AH$120,IF(11&lt;=35,'Rate Card'!$AH$120+(11-20)*'Rate Card'!$AI$120,'Rate Card'!$AK$120+(11-35)*'Rate Card'!$AJ$120)))))))*(1+'Rate Card'!$C$6),2)+ROUND(ROUND((IF(11&lt;=2,'Rate Card'!$AD$120,IF(11&lt;=5,'Rate Card'!$AE$120,IF(11&lt;=10,'Rate Card'!$AF$120,IF(11&lt;=15,'Rate Card'!$AG$120,IF(11&lt;=20,'Rate Card'!$AH$120,IF(11&lt;=35,'Rate Card'!$AH$120+(11-20)*'Rate Card'!$AI$120,'Rate Card'!$AK$120+(11-35)*'Rate Card'!$AJ$120)))))))*(1+'Rate Card'!$C$6),2)*(IF('Rate Card'!$G$6="YES",'Rate Card'!$E$6,0)+IF('Rate Card'!$K$6="YES",'Rate Card'!$I$6,0)),2)</f>
        <v/>
      </c>
    </row>
    <row r="16">
      <c r="A16" s="75" t="n">
        <v>12</v>
      </c>
      <c r="B16" s="23">
        <f>IF(12&lt;=5,'Rate Card'!$AD$20,'Rate Card'!$AD$20+(12-5)*'Rate Card'!$AE$20)</f>
        <v/>
      </c>
      <c r="C16" s="23">
        <f>ROUND((IF(12&lt;=5,'Rate Card'!$AD$20,'Rate Card'!$AD$20+(12-5)*'Rate Card'!$AE$20))*(1+'Rate Card'!$C$6),2)+ROUND(ROUND((IF(12&lt;=5,'Rate Card'!$AD$20,'Rate Card'!$AD$20+(12-5)*'Rate Card'!$AE$20))*(1+'Rate Card'!$C$6),2)*(IF('Rate Card'!$G$6="YES",'Rate Card'!$E$6,0)+IF('Rate Card'!$K$6="YES",'Rate Card'!$I$6,0)),2)</f>
        <v/>
      </c>
      <c r="D16" s="23">
        <f>IF(12&lt;=15,'Rate Card'!$AD$21,'Rate Card'!$AD$21+(12-15)*'Rate Card'!$AE$21)</f>
        <v/>
      </c>
      <c r="E16" s="23">
        <f>ROUND((IF(12&lt;=15,'Rate Card'!$AD$21,'Rate Card'!$AD$21+(12-15)*'Rate Card'!$AE$21))*(1+'Rate Card'!$C$6),2)+ROUND(ROUND((IF(12&lt;=15,'Rate Card'!$AD$21,'Rate Card'!$AD$21+(12-15)*'Rate Card'!$AE$21))*(1+'Rate Card'!$C$6),2)*(IF('Rate Card'!$G$6="YES",'Rate Card'!$E$6,0)+IF('Rate Card'!$K$6="YES",'Rate Card'!$I$6,0)),2)</f>
        <v/>
      </c>
      <c r="F16" s="23">
        <f>IF(12&lt;=2,'Rate Card'!$AD$22,IF(12&lt;=5,'Rate Card'!$AE$22,IF(12&lt;=10,'Rate Card'!$AF$22,IF(12&lt;=15,'Rate Card'!$AG$22,IF(12&lt;=20,'Rate Card'!$AH$22,IF(12&lt;=35,'Rate Card'!$AH$22+(12-20)*'Rate Card'!$AI$22,'Rate Card'!$AK$22+(12-35)*'Rate Card'!$AJ$22))))))</f>
        <v/>
      </c>
      <c r="G16" s="23">
        <f>ROUND((IF(12&lt;=2,'Rate Card'!$AD$22,IF(12&lt;=5,'Rate Card'!$AE$22,IF(12&lt;=10,'Rate Card'!$AF$22,IF(12&lt;=15,'Rate Card'!$AG$22,IF(12&lt;=20,'Rate Card'!$AH$22,IF(12&lt;=35,'Rate Card'!$AH$22+(12-20)*'Rate Card'!$AI$22,'Rate Card'!$AK$22+(12-35)*'Rate Card'!$AJ$22)))))))*(1+'Rate Card'!$C$6),2)+ROUND(ROUND((IF(12&lt;=2,'Rate Card'!$AD$22,IF(12&lt;=5,'Rate Card'!$AE$22,IF(12&lt;=10,'Rate Card'!$AF$22,IF(12&lt;=15,'Rate Card'!$AG$22,IF(12&lt;=20,'Rate Card'!$AH$22,IF(12&lt;=35,'Rate Card'!$AH$22+(12-20)*'Rate Card'!$AI$22,'Rate Card'!$AK$22+(12-35)*'Rate Card'!$AJ$22)))))))*(1+'Rate Card'!$C$6),2)*(IF('Rate Card'!$G$6="YES",'Rate Card'!$E$6,0)+IF('Rate Card'!$K$6="YES",'Rate Card'!$I$6,0)),2)</f>
        <v/>
      </c>
      <c r="H16" s="23">
        <f>IF(12&lt;=2,'Rate Card'!$AD$23,IF(12&lt;=5,'Rate Card'!$AE$23,IF(12&lt;=10,'Rate Card'!$AF$23,IF(12&lt;=15,'Rate Card'!$AG$23,IF(12&lt;=20,'Rate Card'!$AH$23,IF(12&lt;=35,'Rate Card'!$AH$23+(12-20)*'Rate Card'!$AI$23,'Rate Card'!$AK$23+(12-35)*'Rate Card'!$AJ$23))))))</f>
        <v/>
      </c>
      <c r="I16" s="23">
        <f>ROUND((IF(12&lt;=2,'Rate Card'!$AD$23,IF(12&lt;=5,'Rate Card'!$AE$23,IF(12&lt;=10,'Rate Card'!$AF$23,IF(12&lt;=15,'Rate Card'!$AG$23,IF(12&lt;=20,'Rate Card'!$AH$23,IF(12&lt;=35,'Rate Card'!$AH$23+(12-20)*'Rate Card'!$AI$23,'Rate Card'!$AK$23+(12-35)*'Rate Card'!$AJ$23)))))))*(1+'Rate Card'!$C$6),2)+ROUND(ROUND((IF(12&lt;=2,'Rate Card'!$AD$23,IF(12&lt;=5,'Rate Card'!$AE$23,IF(12&lt;=10,'Rate Card'!$AF$23,IF(12&lt;=15,'Rate Card'!$AG$23,IF(12&lt;=20,'Rate Card'!$AH$23,IF(12&lt;=35,'Rate Card'!$AH$23+(12-20)*'Rate Card'!$AI$23,'Rate Card'!$AK$23+(12-35)*'Rate Card'!$AJ$23)))))))*(1+'Rate Card'!$C$6),2)*(IF('Rate Card'!$G$6="YES",'Rate Card'!$E$6,0)+IF('Rate Card'!$K$6="YES",'Rate Card'!$I$6,0)),2)</f>
        <v/>
      </c>
      <c r="J16" s="23">
        <f>IF(12&lt;=5,'Rate Card'!$AD$117,'Rate Card'!$AD$117+(12-5)*'Rate Card'!$AE$117)</f>
        <v/>
      </c>
      <c r="K16" s="23">
        <f>ROUND((IF(12&lt;=5,'Rate Card'!$AD$117,'Rate Card'!$AD$117+(12-5)*'Rate Card'!$AE$117))*(1+'Rate Card'!$C$6),2)+ROUND(ROUND((IF(12&lt;=5,'Rate Card'!$AD$117,'Rate Card'!$AD$117+(12-5)*'Rate Card'!$AE$117))*(1+'Rate Card'!$C$6),2)*(IF('Rate Card'!$G$6="YES",'Rate Card'!$E$6,0)+IF('Rate Card'!$K$6="YES",'Rate Card'!$I$6,0)),2)</f>
        <v/>
      </c>
      <c r="L16" s="23">
        <f>IF(12&lt;=15,'Rate Card'!$AD$118,'Rate Card'!$AD$118+(12-15)*'Rate Card'!$AE$118)</f>
        <v/>
      </c>
      <c r="M16" s="23">
        <f>ROUND((IF(12&lt;=15,'Rate Card'!$AD$118,'Rate Card'!$AD$118+(12-15)*'Rate Card'!$AE$118))*(1+'Rate Card'!$C$6),2)+ROUND(ROUND((IF(12&lt;=15,'Rate Card'!$AD$118,'Rate Card'!$AD$118+(12-15)*'Rate Card'!$AE$118))*(1+'Rate Card'!$C$6),2)*(IF('Rate Card'!$G$6="YES",'Rate Card'!$E$6,0)+IF('Rate Card'!$K$6="YES",'Rate Card'!$I$6,0)),2)</f>
        <v/>
      </c>
      <c r="N16" s="23">
        <f>IF(12&lt;=2,'Rate Card'!$AD$119,IF(12&lt;=5,'Rate Card'!$AE$119,IF(12&lt;=10,'Rate Card'!$AF$119,IF(12&lt;=15,'Rate Card'!$AG$119,IF(12&lt;=20,'Rate Card'!$AH$119,IF(12&lt;=35,'Rate Card'!$AH$119+(12-20)*'Rate Card'!$AI$119,'Rate Card'!$AK$119+(12-35)*'Rate Card'!$AJ$119))))))</f>
        <v/>
      </c>
      <c r="O16" s="23">
        <f>ROUND((IF(12&lt;=2,'Rate Card'!$AD$119,IF(12&lt;=5,'Rate Card'!$AE$119,IF(12&lt;=10,'Rate Card'!$AF$119,IF(12&lt;=15,'Rate Card'!$AG$119,IF(12&lt;=20,'Rate Card'!$AH$119,IF(12&lt;=35,'Rate Card'!$AH$119+(12-20)*'Rate Card'!$AI$119,'Rate Card'!$AK$119+(12-35)*'Rate Card'!$AJ$119)))))))*(1+'Rate Card'!$C$6),2)+ROUND(ROUND((IF(12&lt;=2,'Rate Card'!$AD$119,IF(12&lt;=5,'Rate Card'!$AE$119,IF(12&lt;=10,'Rate Card'!$AF$119,IF(12&lt;=15,'Rate Card'!$AG$119,IF(12&lt;=20,'Rate Card'!$AH$119,IF(12&lt;=35,'Rate Card'!$AH$119+(12-20)*'Rate Card'!$AI$119,'Rate Card'!$AK$119+(12-35)*'Rate Card'!$AJ$119)))))))*(1+'Rate Card'!$C$6),2)*(IF('Rate Card'!$G$6="YES",'Rate Card'!$E$6,0)+IF('Rate Card'!$K$6="YES",'Rate Card'!$I$6,0)),2)</f>
        <v/>
      </c>
      <c r="P16" s="23">
        <f>IF(12&lt;=2,'Rate Card'!$AD$120,IF(12&lt;=5,'Rate Card'!$AE$120,IF(12&lt;=10,'Rate Card'!$AF$120,IF(12&lt;=15,'Rate Card'!$AG$120,IF(12&lt;=20,'Rate Card'!$AH$120,IF(12&lt;=35,'Rate Card'!$AH$120+(12-20)*'Rate Card'!$AI$120,'Rate Card'!$AK$120+(12-35)*'Rate Card'!$AJ$120))))))</f>
        <v/>
      </c>
      <c r="Q16" s="12">
        <f>ROUND((IF(12&lt;=2,'Rate Card'!$AD$120,IF(12&lt;=5,'Rate Card'!$AE$120,IF(12&lt;=10,'Rate Card'!$AF$120,IF(12&lt;=15,'Rate Card'!$AG$120,IF(12&lt;=20,'Rate Card'!$AH$120,IF(12&lt;=35,'Rate Card'!$AH$120+(12-20)*'Rate Card'!$AI$120,'Rate Card'!$AK$120+(12-35)*'Rate Card'!$AJ$120)))))))*(1+'Rate Card'!$C$6),2)+ROUND(ROUND((IF(12&lt;=2,'Rate Card'!$AD$120,IF(12&lt;=5,'Rate Card'!$AE$120,IF(12&lt;=10,'Rate Card'!$AF$120,IF(12&lt;=15,'Rate Card'!$AG$120,IF(12&lt;=20,'Rate Card'!$AH$120,IF(12&lt;=35,'Rate Card'!$AH$120+(12-20)*'Rate Card'!$AI$120,'Rate Card'!$AK$120+(12-35)*'Rate Card'!$AJ$120)))))))*(1+'Rate Card'!$C$6),2)*(IF('Rate Card'!$G$6="YES",'Rate Card'!$E$6,0)+IF('Rate Card'!$K$6="YES",'Rate Card'!$I$6,0)),2)</f>
        <v/>
      </c>
    </row>
    <row r="17">
      <c r="A17" s="75" t="n">
        <v>13</v>
      </c>
      <c r="B17" s="23">
        <f>IF(13&lt;=5,'Rate Card'!$AD$20,'Rate Card'!$AD$20+(13-5)*'Rate Card'!$AE$20)</f>
        <v/>
      </c>
      <c r="C17" s="23">
        <f>ROUND((IF(13&lt;=5,'Rate Card'!$AD$20,'Rate Card'!$AD$20+(13-5)*'Rate Card'!$AE$20))*(1+'Rate Card'!$C$6),2)+ROUND(ROUND((IF(13&lt;=5,'Rate Card'!$AD$20,'Rate Card'!$AD$20+(13-5)*'Rate Card'!$AE$20))*(1+'Rate Card'!$C$6),2)*(IF('Rate Card'!$G$6="YES",'Rate Card'!$E$6,0)+IF('Rate Card'!$K$6="YES",'Rate Card'!$I$6,0)),2)</f>
        <v/>
      </c>
      <c r="D17" s="23">
        <f>IF(13&lt;=15,'Rate Card'!$AD$21,'Rate Card'!$AD$21+(13-15)*'Rate Card'!$AE$21)</f>
        <v/>
      </c>
      <c r="E17" s="23">
        <f>ROUND((IF(13&lt;=15,'Rate Card'!$AD$21,'Rate Card'!$AD$21+(13-15)*'Rate Card'!$AE$21))*(1+'Rate Card'!$C$6),2)+ROUND(ROUND((IF(13&lt;=15,'Rate Card'!$AD$21,'Rate Card'!$AD$21+(13-15)*'Rate Card'!$AE$21))*(1+'Rate Card'!$C$6),2)*(IF('Rate Card'!$G$6="YES",'Rate Card'!$E$6,0)+IF('Rate Card'!$K$6="YES",'Rate Card'!$I$6,0)),2)</f>
        <v/>
      </c>
      <c r="F17" s="23">
        <f>IF(13&lt;=2,'Rate Card'!$AD$22,IF(13&lt;=5,'Rate Card'!$AE$22,IF(13&lt;=10,'Rate Card'!$AF$22,IF(13&lt;=15,'Rate Card'!$AG$22,IF(13&lt;=20,'Rate Card'!$AH$22,IF(13&lt;=35,'Rate Card'!$AH$22+(13-20)*'Rate Card'!$AI$22,'Rate Card'!$AK$22+(13-35)*'Rate Card'!$AJ$22))))))</f>
        <v/>
      </c>
      <c r="G17" s="23">
        <f>ROUND((IF(13&lt;=2,'Rate Card'!$AD$22,IF(13&lt;=5,'Rate Card'!$AE$22,IF(13&lt;=10,'Rate Card'!$AF$22,IF(13&lt;=15,'Rate Card'!$AG$22,IF(13&lt;=20,'Rate Card'!$AH$22,IF(13&lt;=35,'Rate Card'!$AH$22+(13-20)*'Rate Card'!$AI$22,'Rate Card'!$AK$22+(13-35)*'Rate Card'!$AJ$22)))))))*(1+'Rate Card'!$C$6),2)+ROUND(ROUND((IF(13&lt;=2,'Rate Card'!$AD$22,IF(13&lt;=5,'Rate Card'!$AE$22,IF(13&lt;=10,'Rate Card'!$AF$22,IF(13&lt;=15,'Rate Card'!$AG$22,IF(13&lt;=20,'Rate Card'!$AH$22,IF(13&lt;=35,'Rate Card'!$AH$22+(13-20)*'Rate Card'!$AI$22,'Rate Card'!$AK$22+(13-35)*'Rate Card'!$AJ$22)))))))*(1+'Rate Card'!$C$6),2)*(IF('Rate Card'!$G$6="YES",'Rate Card'!$E$6,0)+IF('Rate Card'!$K$6="YES",'Rate Card'!$I$6,0)),2)</f>
        <v/>
      </c>
      <c r="H17" s="23">
        <f>IF(13&lt;=2,'Rate Card'!$AD$23,IF(13&lt;=5,'Rate Card'!$AE$23,IF(13&lt;=10,'Rate Card'!$AF$23,IF(13&lt;=15,'Rate Card'!$AG$23,IF(13&lt;=20,'Rate Card'!$AH$23,IF(13&lt;=35,'Rate Card'!$AH$23+(13-20)*'Rate Card'!$AI$23,'Rate Card'!$AK$23+(13-35)*'Rate Card'!$AJ$23))))))</f>
        <v/>
      </c>
      <c r="I17" s="23">
        <f>ROUND((IF(13&lt;=2,'Rate Card'!$AD$23,IF(13&lt;=5,'Rate Card'!$AE$23,IF(13&lt;=10,'Rate Card'!$AF$23,IF(13&lt;=15,'Rate Card'!$AG$23,IF(13&lt;=20,'Rate Card'!$AH$23,IF(13&lt;=35,'Rate Card'!$AH$23+(13-20)*'Rate Card'!$AI$23,'Rate Card'!$AK$23+(13-35)*'Rate Card'!$AJ$23)))))))*(1+'Rate Card'!$C$6),2)+ROUND(ROUND((IF(13&lt;=2,'Rate Card'!$AD$23,IF(13&lt;=5,'Rate Card'!$AE$23,IF(13&lt;=10,'Rate Card'!$AF$23,IF(13&lt;=15,'Rate Card'!$AG$23,IF(13&lt;=20,'Rate Card'!$AH$23,IF(13&lt;=35,'Rate Card'!$AH$23+(13-20)*'Rate Card'!$AI$23,'Rate Card'!$AK$23+(13-35)*'Rate Card'!$AJ$23)))))))*(1+'Rate Card'!$C$6),2)*(IF('Rate Card'!$G$6="YES",'Rate Card'!$E$6,0)+IF('Rate Card'!$K$6="YES",'Rate Card'!$I$6,0)),2)</f>
        <v/>
      </c>
      <c r="J17" s="23">
        <f>IF(13&lt;=5,'Rate Card'!$AD$117,'Rate Card'!$AD$117+(13-5)*'Rate Card'!$AE$117)</f>
        <v/>
      </c>
      <c r="K17" s="23">
        <f>ROUND((IF(13&lt;=5,'Rate Card'!$AD$117,'Rate Card'!$AD$117+(13-5)*'Rate Card'!$AE$117))*(1+'Rate Card'!$C$6),2)+ROUND(ROUND((IF(13&lt;=5,'Rate Card'!$AD$117,'Rate Card'!$AD$117+(13-5)*'Rate Card'!$AE$117))*(1+'Rate Card'!$C$6),2)*(IF('Rate Card'!$G$6="YES",'Rate Card'!$E$6,0)+IF('Rate Card'!$K$6="YES",'Rate Card'!$I$6,0)),2)</f>
        <v/>
      </c>
      <c r="L17" s="23">
        <f>IF(13&lt;=15,'Rate Card'!$AD$118,'Rate Card'!$AD$118+(13-15)*'Rate Card'!$AE$118)</f>
        <v/>
      </c>
      <c r="M17" s="23">
        <f>ROUND((IF(13&lt;=15,'Rate Card'!$AD$118,'Rate Card'!$AD$118+(13-15)*'Rate Card'!$AE$118))*(1+'Rate Card'!$C$6),2)+ROUND(ROUND((IF(13&lt;=15,'Rate Card'!$AD$118,'Rate Card'!$AD$118+(13-15)*'Rate Card'!$AE$118))*(1+'Rate Card'!$C$6),2)*(IF('Rate Card'!$G$6="YES",'Rate Card'!$E$6,0)+IF('Rate Card'!$K$6="YES",'Rate Card'!$I$6,0)),2)</f>
        <v/>
      </c>
      <c r="N17" s="23">
        <f>IF(13&lt;=2,'Rate Card'!$AD$119,IF(13&lt;=5,'Rate Card'!$AE$119,IF(13&lt;=10,'Rate Card'!$AF$119,IF(13&lt;=15,'Rate Card'!$AG$119,IF(13&lt;=20,'Rate Card'!$AH$119,IF(13&lt;=35,'Rate Card'!$AH$119+(13-20)*'Rate Card'!$AI$119,'Rate Card'!$AK$119+(13-35)*'Rate Card'!$AJ$119))))))</f>
        <v/>
      </c>
      <c r="O17" s="23">
        <f>ROUND((IF(13&lt;=2,'Rate Card'!$AD$119,IF(13&lt;=5,'Rate Card'!$AE$119,IF(13&lt;=10,'Rate Card'!$AF$119,IF(13&lt;=15,'Rate Card'!$AG$119,IF(13&lt;=20,'Rate Card'!$AH$119,IF(13&lt;=35,'Rate Card'!$AH$119+(13-20)*'Rate Card'!$AI$119,'Rate Card'!$AK$119+(13-35)*'Rate Card'!$AJ$119)))))))*(1+'Rate Card'!$C$6),2)+ROUND(ROUND((IF(13&lt;=2,'Rate Card'!$AD$119,IF(13&lt;=5,'Rate Card'!$AE$119,IF(13&lt;=10,'Rate Card'!$AF$119,IF(13&lt;=15,'Rate Card'!$AG$119,IF(13&lt;=20,'Rate Card'!$AH$119,IF(13&lt;=35,'Rate Card'!$AH$119+(13-20)*'Rate Card'!$AI$119,'Rate Card'!$AK$119+(13-35)*'Rate Card'!$AJ$119)))))))*(1+'Rate Card'!$C$6),2)*(IF('Rate Card'!$G$6="YES",'Rate Card'!$E$6,0)+IF('Rate Card'!$K$6="YES",'Rate Card'!$I$6,0)),2)</f>
        <v/>
      </c>
      <c r="P17" s="23">
        <f>IF(13&lt;=2,'Rate Card'!$AD$120,IF(13&lt;=5,'Rate Card'!$AE$120,IF(13&lt;=10,'Rate Card'!$AF$120,IF(13&lt;=15,'Rate Card'!$AG$120,IF(13&lt;=20,'Rate Card'!$AH$120,IF(13&lt;=35,'Rate Card'!$AH$120+(13-20)*'Rate Card'!$AI$120,'Rate Card'!$AK$120+(13-35)*'Rate Card'!$AJ$120))))))</f>
        <v/>
      </c>
      <c r="Q17" s="12">
        <f>ROUND((IF(13&lt;=2,'Rate Card'!$AD$120,IF(13&lt;=5,'Rate Card'!$AE$120,IF(13&lt;=10,'Rate Card'!$AF$120,IF(13&lt;=15,'Rate Card'!$AG$120,IF(13&lt;=20,'Rate Card'!$AH$120,IF(13&lt;=35,'Rate Card'!$AH$120+(13-20)*'Rate Card'!$AI$120,'Rate Card'!$AK$120+(13-35)*'Rate Card'!$AJ$120)))))))*(1+'Rate Card'!$C$6),2)+ROUND(ROUND((IF(13&lt;=2,'Rate Card'!$AD$120,IF(13&lt;=5,'Rate Card'!$AE$120,IF(13&lt;=10,'Rate Card'!$AF$120,IF(13&lt;=15,'Rate Card'!$AG$120,IF(13&lt;=20,'Rate Card'!$AH$120,IF(13&lt;=35,'Rate Card'!$AH$120+(13-20)*'Rate Card'!$AI$120,'Rate Card'!$AK$120+(13-35)*'Rate Card'!$AJ$120)))))))*(1+'Rate Card'!$C$6),2)*(IF('Rate Card'!$G$6="YES",'Rate Card'!$E$6,0)+IF('Rate Card'!$K$6="YES",'Rate Card'!$I$6,0)),2)</f>
        <v/>
      </c>
    </row>
    <row r="18">
      <c r="A18" s="75" t="n">
        <v>14</v>
      </c>
      <c r="B18" s="23">
        <f>IF(14&lt;=5,'Rate Card'!$AD$20,'Rate Card'!$AD$20+(14-5)*'Rate Card'!$AE$20)</f>
        <v/>
      </c>
      <c r="C18" s="23">
        <f>ROUND((IF(14&lt;=5,'Rate Card'!$AD$20,'Rate Card'!$AD$20+(14-5)*'Rate Card'!$AE$20))*(1+'Rate Card'!$C$6),2)+ROUND(ROUND((IF(14&lt;=5,'Rate Card'!$AD$20,'Rate Card'!$AD$20+(14-5)*'Rate Card'!$AE$20))*(1+'Rate Card'!$C$6),2)*(IF('Rate Card'!$G$6="YES",'Rate Card'!$E$6,0)+IF('Rate Card'!$K$6="YES",'Rate Card'!$I$6,0)),2)</f>
        <v/>
      </c>
      <c r="D18" s="23">
        <f>IF(14&lt;=15,'Rate Card'!$AD$21,'Rate Card'!$AD$21+(14-15)*'Rate Card'!$AE$21)</f>
        <v/>
      </c>
      <c r="E18" s="23">
        <f>ROUND((IF(14&lt;=15,'Rate Card'!$AD$21,'Rate Card'!$AD$21+(14-15)*'Rate Card'!$AE$21))*(1+'Rate Card'!$C$6),2)+ROUND(ROUND((IF(14&lt;=15,'Rate Card'!$AD$21,'Rate Card'!$AD$21+(14-15)*'Rate Card'!$AE$21))*(1+'Rate Card'!$C$6),2)*(IF('Rate Card'!$G$6="YES",'Rate Card'!$E$6,0)+IF('Rate Card'!$K$6="YES",'Rate Card'!$I$6,0)),2)</f>
        <v/>
      </c>
      <c r="F18" s="23">
        <f>IF(14&lt;=2,'Rate Card'!$AD$22,IF(14&lt;=5,'Rate Card'!$AE$22,IF(14&lt;=10,'Rate Card'!$AF$22,IF(14&lt;=15,'Rate Card'!$AG$22,IF(14&lt;=20,'Rate Card'!$AH$22,IF(14&lt;=35,'Rate Card'!$AH$22+(14-20)*'Rate Card'!$AI$22,'Rate Card'!$AK$22+(14-35)*'Rate Card'!$AJ$22))))))</f>
        <v/>
      </c>
      <c r="G18" s="23">
        <f>ROUND((IF(14&lt;=2,'Rate Card'!$AD$22,IF(14&lt;=5,'Rate Card'!$AE$22,IF(14&lt;=10,'Rate Card'!$AF$22,IF(14&lt;=15,'Rate Card'!$AG$22,IF(14&lt;=20,'Rate Card'!$AH$22,IF(14&lt;=35,'Rate Card'!$AH$22+(14-20)*'Rate Card'!$AI$22,'Rate Card'!$AK$22+(14-35)*'Rate Card'!$AJ$22)))))))*(1+'Rate Card'!$C$6),2)+ROUND(ROUND((IF(14&lt;=2,'Rate Card'!$AD$22,IF(14&lt;=5,'Rate Card'!$AE$22,IF(14&lt;=10,'Rate Card'!$AF$22,IF(14&lt;=15,'Rate Card'!$AG$22,IF(14&lt;=20,'Rate Card'!$AH$22,IF(14&lt;=35,'Rate Card'!$AH$22+(14-20)*'Rate Card'!$AI$22,'Rate Card'!$AK$22+(14-35)*'Rate Card'!$AJ$22)))))))*(1+'Rate Card'!$C$6),2)*(IF('Rate Card'!$G$6="YES",'Rate Card'!$E$6,0)+IF('Rate Card'!$K$6="YES",'Rate Card'!$I$6,0)),2)</f>
        <v/>
      </c>
      <c r="H18" s="23">
        <f>IF(14&lt;=2,'Rate Card'!$AD$23,IF(14&lt;=5,'Rate Card'!$AE$23,IF(14&lt;=10,'Rate Card'!$AF$23,IF(14&lt;=15,'Rate Card'!$AG$23,IF(14&lt;=20,'Rate Card'!$AH$23,IF(14&lt;=35,'Rate Card'!$AH$23+(14-20)*'Rate Card'!$AI$23,'Rate Card'!$AK$23+(14-35)*'Rate Card'!$AJ$23))))))</f>
        <v/>
      </c>
      <c r="I18" s="23">
        <f>ROUND((IF(14&lt;=2,'Rate Card'!$AD$23,IF(14&lt;=5,'Rate Card'!$AE$23,IF(14&lt;=10,'Rate Card'!$AF$23,IF(14&lt;=15,'Rate Card'!$AG$23,IF(14&lt;=20,'Rate Card'!$AH$23,IF(14&lt;=35,'Rate Card'!$AH$23+(14-20)*'Rate Card'!$AI$23,'Rate Card'!$AK$23+(14-35)*'Rate Card'!$AJ$23)))))))*(1+'Rate Card'!$C$6),2)+ROUND(ROUND((IF(14&lt;=2,'Rate Card'!$AD$23,IF(14&lt;=5,'Rate Card'!$AE$23,IF(14&lt;=10,'Rate Card'!$AF$23,IF(14&lt;=15,'Rate Card'!$AG$23,IF(14&lt;=20,'Rate Card'!$AH$23,IF(14&lt;=35,'Rate Card'!$AH$23+(14-20)*'Rate Card'!$AI$23,'Rate Card'!$AK$23+(14-35)*'Rate Card'!$AJ$23)))))))*(1+'Rate Card'!$C$6),2)*(IF('Rate Card'!$G$6="YES",'Rate Card'!$E$6,0)+IF('Rate Card'!$K$6="YES",'Rate Card'!$I$6,0)),2)</f>
        <v/>
      </c>
      <c r="J18" s="23">
        <f>IF(14&lt;=5,'Rate Card'!$AD$117,'Rate Card'!$AD$117+(14-5)*'Rate Card'!$AE$117)</f>
        <v/>
      </c>
      <c r="K18" s="23">
        <f>ROUND((IF(14&lt;=5,'Rate Card'!$AD$117,'Rate Card'!$AD$117+(14-5)*'Rate Card'!$AE$117))*(1+'Rate Card'!$C$6),2)+ROUND(ROUND((IF(14&lt;=5,'Rate Card'!$AD$117,'Rate Card'!$AD$117+(14-5)*'Rate Card'!$AE$117))*(1+'Rate Card'!$C$6),2)*(IF('Rate Card'!$G$6="YES",'Rate Card'!$E$6,0)+IF('Rate Card'!$K$6="YES",'Rate Card'!$I$6,0)),2)</f>
        <v/>
      </c>
      <c r="L18" s="23">
        <f>IF(14&lt;=15,'Rate Card'!$AD$118,'Rate Card'!$AD$118+(14-15)*'Rate Card'!$AE$118)</f>
        <v/>
      </c>
      <c r="M18" s="23">
        <f>ROUND((IF(14&lt;=15,'Rate Card'!$AD$118,'Rate Card'!$AD$118+(14-15)*'Rate Card'!$AE$118))*(1+'Rate Card'!$C$6),2)+ROUND(ROUND((IF(14&lt;=15,'Rate Card'!$AD$118,'Rate Card'!$AD$118+(14-15)*'Rate Card'!$AE$118))*(1+'Rate Card'!$C$6),2)*(IF('Rate Card'!$G$6="YES",'Rate Card'!$E$6,0)+IF('Rate Card'!$K$6="YES",'Rate Card'!$I$6,0)),2)</f>
        <v/>
      </c>
      <c r="N18" s="23">
        <f>IF(14&lt;=2,'Rate Card'!$AD$119,IF(14&lt;=5,'Rate Card'!$AE$119,IF(14&lt;=10,'Rate Card'!$AF$119,IF(14&lt;=15,'Rate Card'!$AG$119,IF(14&lt;=20,'Rate Card'!$AH$119,IF(14&lt;=35,'Rate Card'!$AH$119+(14-20)*'Rate Card'!$AI$119,'Rate Card'!$AK$119+(14-35)*'Rate Card'!$AJ$119))))))</f>
        <v/>
      </c>
      <c r="O18" s="23">
        <f>ROUND((IF(14&lt;=2,'Rate Card'!$AD$119,IF(14&lt;=5,'Rate Card'!$AE$119,IF(14&lt;=10,'Rate Card'!$AF$119,IF(14&lt;=15,'Rate Card'!$AG$119,IF(14&lt;=20,'Rate Card'!$AH$119,IF(14&lt;=35,'Rate Card'!$AH$119+(14-20)*'Rate Card'!$AI$119,'Rate Card'!$AK$119+(14-35)*'Rate Card'!$AJ$119)))))))*(1+'Rate Card'!$C$6),2)+ROUND(ROUND((IF(14&lt;=2,'Rate Card'!$AD$119,IF(14&lt;=5,'Rate Card'!$AE$119,IF(14&lt;=10,'Rate Card'!$AF$119,IF(14&lt;=15,'Rate Card'!$AG$119,IF(14&lt;=20,'Rate Card'!$AH$119,IF(14&lt;=35,'Rate Card'!$AH$119+(14-20)*'Rate Card'!$AI$119,'Rate Card'!$AK$119+(14-35)*'Rate Card'!$AJ$119)))))))*(1+'Rate Card'!$C$6),2)*(IF('Rate Card'!$G$6="YES",'Rate Card'!$E$6,0)+IF('Rate Card'!$K$6="YES",'Rate Card'!$I$6,0)),2)</f>
        <v/>
      </c>
      <c r="P18" s="23">
        <f>IF(14&lt;=2,'Rate Card'!$AD$120,IF(14&lt;=5,'Rate Card'!$AE$120,IF(14&lt;=10,'Rate Card'!$AF$120,IF(14&lt;=15,'Rate Card'!$AG$120,IF(14&lt;=20,'Rate Card'!$AH$120,IF(14&lt;=35,'Rate Card'!$AH$120+(14-20)*'Rate Card'!$AI$120,'Rate Card'!$AK$120+(14-35)*'Rate Card'!$AJ$120))))))</f>
        <v/>
      </c>
      <c r="Q18" s="12">
        <f>ROUND((IF(14&lt;=2,'Rate Card'!$AD$120,IF(14&lt;=5,'Rate Card'!$AE$120,IF(14&lt;=10,'Rate Card'!$AF$120,IF(14&lt;=15,'Rate Card'!$AG$120,IF(14&lt;=20,'Rate Card'!$AH$120,IF(14&lt;=35,'Rate Card'!$AH$120+(14-20)*'Rate Card'!$AI$120,'Rate Card'!$AK$120+(14-35)*'Rate Card'!$AJ$120)))))))*(1+'Rate Card'!$C$6),2)+ROUND(ROUND((IF(14&lt;=2,'Rate Card'!$AD$120,IF(14&lt;=5,'Rate Card'!$AE$120,IF(14&lt;=10,'Rate Card'!$AF$120,IF(14&lt;=15,'Rate Card'!$AG$120,IF(14&lt;=20,'Rate Card'!$AH$120,IF(14&lt;=35,'Rate Card'!$AH$120+(14-20)*'Rate Card'!$AI$120,'Rate Card'!$AK$120+(14-35)*'Rate Card'!$AJ$120)))))))*(1+'Rate Card'!$C$6),2)*(IF('Rate Card'!$G$6="YES",'Rate Card'!$E$6,0)+IF('Rate Card'!$K$6="YES",'Rate Card'!$I$6,0)),2)</f>
        <v/>
      </c>
    </row>
    <row r="19">
      <c r="A19" s="75" t="n">
        <v>15</v>
      </c>
      <c r="B19" s="23">
        <f>IF(15&lt;=5,'Rate Card'!$AD$20,'Rate Card'!$AD$20+(15-5)*'Rate Card'!$AE$20)</f>
        <v/>
      </c>
      <c r="C19" s="23">
        <f>ROUND((IF(15&lt;=5,'Rate Card'!$AD$20,'Rate Card'!$AD$20+(15-5)*'Rate Card'!$AE$20))*(1+'Rate Card'!$C$6),2)+ROUND(ROUND((IF(15&lt;=5,'Rate Card'!$AD$20,'Rate Card'!$AD$20+(15-5)*'Rate Card'!$AE$20))*(1+'Rate Card'!$C$6),2)*(IF('Rate Card'!$G$6="YES",'Rate Card'!$E$6,0)+IF('Rate Card'!$K$6="YES",'Rate Card'!$I$6,0)),2)</f>
        <v/>
      </c>
      <c r="D19" s="23">
        <f>IF(15&lt;=15,'Rate Card'!$AD$21,'Rate Card'!$AD$21+(15-15)*'Rate Card'!$AE$21)</f>
        <v/>
      </c>
      <c r="E19" s="23">
        <f>ROUND((IF(15&lt;=15,'Rate Card'!$AD$21,'Rate Card'!$AD$21+(15-15)*'Rate Card'!$AE$21))*(1+'Rate Card'!$C$6),2)+ROUND(ROUND((IF(15&lt;=15,'Rate Card'!$AD$21,'Rate Card'!$AD$21+(15-15)*'Rate Card'!$AE$21))*(1+'Rate Card'!$C$6),2)*(IF('Rate Card'!$G$6="YES",'Rate Card'!$E$6,0)+IF('Rate Card'!$K$6="YES",'Rate Card'!$I$6,0)),2)</f>
        <v/>
      </c>
      <c r="F19" s="23">
        <f>IF(15&lt;=2,'Rate Card'!$AD$22,IF(15&lt;=5,'Rate Card'!$AE$22,IF(15&lt;=10,'Rate Card'!$AF$22,IF(15&lt;=15,'Rate Card'!$AG$22,IF(15&lt;=20,'Rate Card'!$AH$22,IF(15&lt;=35,'Rate Card'!$AH$22+(15-20)*'Rate Card'!$AI$22,'Rate Card'!$AK$22+(15-35)*'Rate Card'!$AJ$22))))))</f>
        <v/>
      </c>
      <c r="G19" s="23">
        <f>ROUND((IF(15&lt;=2,'Rate Card'!$AD$22,IF(15&lt;=5,'Rate Card'!$AE$22,IF(15&lt;=10,'Rate Card'!$AF$22,IF(15&lt;=15,'Rate Card'!$AG$22,IF(15&lt;=20,'Rate Card'!$AH$22,IF(15&lt;=35,'Rate Card'!$AH$22+(15-20)*'Rate Card'!$AI$22,'Rate Card'!$AK$22+(15-35)*'Rate Card'!$AJ$22)))))))*(1+'Rate Card'!$C$6),2)+ROUND(ROUND((IF(15&lt;=2,'Rate Card'!$AD$22,IF(15&lt;=5,'Rate Card'!$AE$22,IF(15&lt;=10,'Rate Card'!$AF$22,IF(15&lt;=15,'Rate Card'!$AG$22,IF(15&lt;=20,'Rate Card'!$AH$22,IF(15&lt;=35,'Rate Card'!$AH$22+(15-20)*'Rate Card'!$AI$22,'Rate Card'!$AK$22+(15-35)*'Rate Card'!$AJ$22)))))))*(1+'Rate Card'!$C$6),2)*(IF('Rate Card'!$G$6="YES",'Rate Card'!$E$6,0)+IF('Rate Card'!$K$6="YES",'Rate Card'!$I$6,0)),2)</f>
        <v/>
      </c>
      <c r="H19" s="23">
        <f>IF(15&lt;=2,'Rate Card'!$AD$23,IF(15&lt;=5,'Rate Card'!$AE$23,IF(15&lt;=10,'Rate Card'!$AF$23,IF(15&lt;=15,'Rate Card'!$AG$23,IF(15&lt;=20,'Rate Card'!$AH$23,IF(15&lt;=35,'Rate Card'!$AH$23+(15-20)*'Rate Card'!$AI$23,'Rate Card'!$AK$23+(15-35)*'Rate Card'!$AJ$23))))))</f>
        <v/>
      </c>
      <c r="I19" s="23">
        <f>ROUND((IF(15&lt;=2,'Rate Card'!$AD$23,IF(15&lt;=5,'Rate Card'!$AE$23,IF(15&lt;=10,'Rate Card'!$AF$23,IF(15&lt;=15,'Rate Card'!$AG$23,IF(15&lt;=20,'Rate Card'!$AH$23,IF(15&lt;=35,'Rate Card'!$AH$23+(15-20)*'Rate Card'!$AI$23,'Rate Card'!$AK$23+(15-35)*'Rate Card'!$AJ$23)))))))*(1+'Rate Card'!$C$6),2)+ROUND(ROUND((IF(15&lt;=2,'Rate Card'!$AD$23,IF(15&lt;=5,'Rate Card'!$AE$23,IF(15&lt;=10,'Rate Card'!$AF$23,IF(15&lt;=15,'Rate Card'!$AG$23,IF(15&lt;=20,'Rate Card'!$AH$23,IF(15&lt;=35,'Rate Card'!$AH$23+(15-20)*'Rate Card'!$AI$23,'Rate Card'!$AK$23+(15-35)*'Rate Card'!$AJ$23)))))))*(1+'Rate Card'!$C$6),2)*(IF('Rate Card'!$G$6="YES",'Rate Card'!$E$6,0)+IF('Rate Card'!$K$6="YES",'Rate Card'!$I$6,0)),2)</f>
        <v/>
      </c>
      <c r="J19" s="23">
        <f>IF(15&lt;=5,'Rate Card'!$AD$117,'Rate Card'!$AD$117+(15-5)*'Rate Card'!$AE$117)</f>
        <v/>
      </c>
      <c r="K19" s="23">
        <f>ROUND((IF(15&lt;=5,'Rate Card'!$AD$117,'Rate Card'!$AD$117+(15-5)*'Rate Card'!$AE$117))*(1+'Rate Card'!$C$6),2)+ROUND(ROUND((IF(15&lt;=5,'Rate Card'!$AD$117,'Rate Card'!$AD$117+(15-5)*'Rate Card'!$AE$117))*(1+'Rate Card'!$C$6),2)*(IF('Rate Card'!$G$6="YES",'Rate Card'!$E$6,0)+IF('Rate Card'!$K$6="YES",'Rate Card'!$I$6,0)),2)</f>
        <v/>
      </c>
      <c r="L19" s="23">
        <f>IF(15&lt;=15,'Rate Card'!$AD$118,'Rate Card'!$AD$118+(15-15)*'Rate Card'!$AE$118)</f>
        <v/>
      </c>
      <c r="M19" s="23">
        <f>ROUND((IF(15&lt;=15,'Rate Card'!$AD$118,'Rate Card'!$AD$118+(15-15)*'Rate Card'!$AE$118))*(1+'Rate Card'!$C$6),2)+ROUND(ROUND((IF(15&lt;=15,'Rate Card'!$AD$118,'Rate Card'!$AD$118+(15-15)*'Rate Card'!$AE$118))*(1+'Rate Card'!$C$6),2)*(IF('Rate Card'!$G$6="YES",'Rate Card'!$E$6,0)+IF('Rate Card'!$K$6="YES",'Rate Card'!$I$6,0)),2)</f>
        <v/>
      </c>
      <c r="N19" s="23">
        <f>IF(15&lt;=2,'Rate Card'!$AD$119,IF(15&lt;=5,'Rate Card'!$AE$119,IF(15&lt;=10,'Rate Card'!$AF$119,IF(15&lt;=15,'Rate Card'!$AG$119,IF(15&lt;=20,'Rate Card'!$AH$119,IF(15&lt;=35,'Rate Card'!$AH$119+(15-20)*'Rate Card'!$AI$119,'Rate Card'!$AK$119+(15-35)*'Rate Card'!$AJ$119))))))</f>
        <v/>
      </c>
      <c r="O19" s="23">
        <f>ROUND((IF(15&lt;=2,'Rate Card'!$AD$119,IF(15&lt;=5,'Rate Card'!$AE$119,IF(15&lt;=10,'Rate Card'!$AF$119,IF(15&lt;=15,'Rate Card'!$AG$119,IF(15&lt;=20,'Rate Card'!$AH$119,IF(15&lt;=35,'Rate Card'!$AH$119+(15-20)*'Rate Card'!$AI$119,'Rate Card'!$AK$119+(15-35)*'Rate Card'!$AJ$119)))))))*(1+'Rate Card'!$C$6),2)+ROUND(ROUND((IF(15&lt;=2,'Rate Card'!$AD$119,IF(15&lt;=5,'Rate Card'!$AE$119,IF(15&lt;=10,'Rate Card'!$AF$119,IF(15&lt;=15,'Rate Card'!$AG$119,IF(15&lt;=20,'Rate Card'!$AH$119,IF(15&lt;=35,'Rate Card'!$AH$119+(15-20)*'Rate Card'!$AI$119,'Rate Card'!$AK$119+(15-35)*'Rate Card'!$AJ$119)))))))*(1+'Rate Card'!$C$6),2)*(IF('Rate Card'!$G$6="YES",'Rate Card'!$E$6,0)+IF('Rate Card'!$K$6="YES",'Rate Card'!$I$6,0)),2)</f>
        <v/>
      </c>
      <c r="P19" s="23">
        <f>IF(15&lt;=2,'Rate Card'!$AD$120,IF(15&lt;=5,'Rate Card'!$AE$120,IF(15&lt;=10,'Rate Card'!$AF$120,IF(15&lt;=15,'Rate Card'!$AG$120,IF(15&lt;=20,'Rate Card'!$AH$120,IF(15&lt;=35,'Rate Card'!$AH$120+(15-20)*'Rate Card'!$AI$120,'Rate Card'!$AK$120+(15-35)*'Rate Card'!$AJ$120))))))</f>
        <v/>
      </c>
      <c r="Q19" s="12">
        <f>ROUND((IF(15&lt;=2,'Rate Card'!$AD$120,IF(15&lt;=5,'Rate Card'!$AE$120,IF(15&lt;=10,'Rate Card'!$AF$120,IF(15&lt;=15,'Rate Card'!$AG$120,IF(15&lt;=20,'Rate Card'!$AH$120,IF(15&lt;=35,'Rate Card'!$AH$120+(15-20)*'Rate Card'!$AI$120,'Rate Card'!$AK$120+(15-35)*'Rate Card'!$AJ$120)))))))*(1+'Rate Card'!$C$6),2)+ROUND(ROUND((IF(15&lt;=2,'Rate Card'!$AD$120,IF(15&lt;=5,'Rate Card'!$AE$120,IF(15&lt;=10,'Rate Card'!$AF$120,IF(15&lt;=15,'Rate Card'!$AG$120,IF(15&lt;=20,'Rate Card'!$AH$120,IF(15&lt;=35,'Rate Card'!$AH$120+(15-20)*'Rate Card'!$AI$120,'Rate Card'!$AK$120+(15-35)*'Rate Card'!$AJ$120)))))))*(1+'Rate Card'!$C$6),2)*(IF('Rate Card'!$G$6="YES",'Rate Card'!$E$6,0)+IF('Rate Card'!$K$6="YES",'Rate Card'!$I$6,0)),2)</f>
        <v/>
      </c>
    </row>
    <row r="20">
      <c r="A20" s="75" t="n">
        <v>16</v>
      </c>
      <c r="B20" s="23">
        <f>IF(16&lt;=5,'Rate Card'!$AD$20,'Rate Card'!$AD$20+(16-5)*'Rate Card'!$AE$20)</f>
        <v/>
      </c>
      <c r="C20" s="23">
        <f>ROUND((IF(16&lt;=5,'Rate Card'!$AD$20,'Rate Card'!$AD$20+(16-5)*'Rate Card'!$AE$20))*(1+'Rate Card'!$C$6),2)+ROUND(ROUND((IF(16&lt;=5,'Rate Card'!$AD$20,'Rate Card'!$AD$20+(16-5)*'Rate Card'!$AE$20))*(1+'Rate Card'!$C$6),2)*(IF('Rate Card'!$G$6="YES",'Rate Card'!$E$6,0)+IF('Rate Card'!$K$6="YES",'Rate Card'!$I$6,0)),2)</f>
        <v/>
      </c>
      <c r="D20" s="23">
        <f>IF(16&lt;=15,'Rate Card'!$AD$21,'Rate Card'!$AD$21+(16-15)*'Rate Card'!$AE$21)</f>
        <v/>
      </c>
      <c r="E20" s="23">
        <f>ROUND((IF(16&lt;=15,'Rate Card'!$AD$21,'Rate Card'!$AD$21+(16-15)*'Rate Card'!$AE$21))*(1+'Rate Card'!$C$6),2)+ROUND(ROUND((IF(16&lt;=15,'Rate Card'!$AD$21,'Rate Card'!$AD$21+(16-15)*'Rate Card'!$AE$21))*(1+'Rate Card'!$C$6),2)*(IF('Rate Card'!$G$6="YES",'Rate Card'!$E$6,0)+IF('Rate Card'!$K$6="YES",'Rate Card'!$I$6,0)),2)</f>
        <v/>
      </c>
      <c r="F20" s="23">
        <f>IF(16&lt;=2,'Rate Card'!$AD$22,IF(16&lt;=5,'Rate Card'!$AE$22,IF(16&lt;=10,'Rate Card'!$AF$22,IF(16&lt;=15,'Rate Card'!$AG$22,IF(16&lt;=20,'Rate Card'!$AH$22,IF(16&lt;=35,'Rate Card'!$AH$22+(16-20)*'Rate Card'!$AI$22,'Rate Card'!$AK$22+(16-35)*'Rate Card'!$AJ$22))))))</f>
        <v/>
      </c>
      <c r="G20" s="23">
        <f>ROUND((IF(16&lt;=2,'Rate Card'!$AD$22,IF(16&lt;=5,'Rate Card'!$AE$22,IF(16&lt;=10,'Rate Card'!$AF$22,IF(16&lt;=15,'Rate Card'!$AG$22,IF(16&lt;=20,'Rate Card'!$AH$22,IF(16&lt;=35,'Rate Card'!$AH$22+(16-20)*'Rate Card'!$AI$22,'Rate Card'!$AK$22+(16-35)*'Rate Card'!$AJ$22)))))))*(1+'Rate Card'!$C$6),2)+ROUND(ROUND((IF(16&lt;=2,'Rate Card'!$AD$22,IF(16&lt;=5,'Rate Card'!$AE$22,IF(16&lt;=10,'Rate Card'!$AF$22,IF(16&lt;=15,'Rate Card'!$AG$22,IF(16&lt;=20,'Rate Card'!$AH$22,IF(16&lt;=35,'Rate Card'!$AH$22+(16-20)*'Rate Card'!$AI$22,'Rate Card'!$AK$22+(16-35)*'Rate Card'!$AJ$22)))))))*(1+'Rate Card'!$C$6),2)*(IF('Rate Card'!$G$6="YES",'Rate Card'!$E$6,0)+IF('Rate Card'!$K$6="YES",'Rate Card'!$I$6,0)),2)</f>
        <v/>
      </c>
      <c r="H20" s="23">
        <f>IF(16&lt;=2,'Rate Card'!$AD$23,IF(16&lt;=5,'Rate Card'!$AE$23,IF(16&lt;=10,'Rate Card'!$AF$23,IF(16&lt;=15,'Rate Card'!$AG$23,IF(16&lt;=20,'Rate Card'!$AH$23,IF(16&lt;=35,'Rate Card'!$AH$23+(16-20)*'Rate Card'!$AI$23,'Rate Card'!$AK$23+(16-35)*'Rate Card'!$AJ$23))))))</f>
        <v/>
      </c>
      <c r="I20" s="23">
        <f>ROUND((IF(16&lt;=2,'Rate Card'!$AD$23,IF(16&lt;=5,'Rate Card'!$AE$23,IF(16&lt;=10,'Rate Card'!$AF$23,IF(16&lt;=15,'Rate Card'!$AG$23,IF(16&lt;=20,'Rate Card'!$AH$23,IF(16&lt;=35,'Rate Card'!$AH$23+(16-20)*'Rate Card'!$AI$23,'Rate Card'!$AK$23+(16-35)*'Rate Card'!$AJ$23)))))))*(1+'Rate Card'!$C$6),2)+ROUND(ROUND((IF(16&lt;=2,'Rate Card'!$AD$23,IF(16&lt;=5,'Rate Card'!$AE$23,IF(16&lt;=10,'Rate Card'!$AF$23,IF(16&lt;=15,'Rate Card'!$AG$23,IF(16&lt;=20,'Rate Card'!$AH$23,IF(16&lt;=35,'Rate Card'!$AH$23+(16-20)*'Rate Card'!$AI$23,'Rate Card'!$AK$23+(16-35)*'Rate Card'!$AJ$23)))))))*(1+'Rate Card'!$C$6),2)*(IF('Rate Card'!$G$6="YES",'Rate Card'!$E$6,0)+IF('Rate Card'!$K$6="YES",'Rate Card'!$I$6,0)),2)</f>
        <v/>
      </c>
      <c r="J20" s="23">
        <f>IF(16&lt;=5,'Rate Card'!$AD$117,'Rate Card'!$AD$117+(16-5)*'Rate Card'!$AE$117)</f>
        <v/>
      </c>
      <c r="K20" s="23">
        <f>ROUND((IF(16&lt;=5,'Rate Card'!$AD$117,'Rate Card'!$AD$117+(16-5)*'Rate Card'!$AE$117))*(1+'Rate Card'!$C$6),2)+ROUND(ROUND((IF(16&lt;=5,'Rate Card'!$AD$117,'Rate Card'!$AD$117+(16-5)*'Rate Card'!$AE$117))*(1+'Rate Card'!$C$6),2)*(IF('Rate Card'!$G$6="YES",'Rate Card'!$E$6,0)+IF('Rate Card'!$K$6="YES",'Rate Card'!$I$6,0)),2)</f>
        <v/>
      </c>
      <c r="L20" s="23">
        <f>IF(16&lt;=15,'Rate Card'!$AD$118,'Rate Card'!$AD$118+(16-15)*'Rate Card'!$AE$118)</f>
        <v/>
      </c>
      <c r="M20" s="23">
        <f>ROUND((IF(16&lt;=15,'Rate Card'!$AD$118,'Rate Card'!$AD$118+(16-15)*'Rate Card'!$AE$118))*(1+'Rate Card'!$C$6),2)+ROUND(ROUND((IF(16&lt;=15,'Rate Card'!$AD$118,'Rate Card'!$AD$118+(16-15)*'Rate Card'!$AE$118))*(1+'Rate Card'!$C$6),2)*(IF('Rate Card'!$G$6="YES",'Rate Card'!$E$6,0)+IF('Rate Card'!$K$6="YES",'Rate Card'!$I$6,0)),2)</f>
        <v/>
      </c>
      <c r="N20" s="23">
        <f>IF(16&lt;=2,'Rate Card'!$AD$119,IF(16&lt;=5,'Rate Card'!$AE$119,IF(16&lt;=10,'Rate Card'!$AF$119,IF(16&lt;=15,'Rate Card'!$AG$119,IF(16&lt;=20,'Rate Card'!$AH$119,IF(16&lt;=35,'Rate Card'!$AH$119+(16-20)*'Rate Card'!$AI$119,'Rate Card'!$AK$119+(16-35)*'Rate Card'!$AJ$119))))))</f>
        <v/>
      </c>
      <c r="O20" s="23">
        <f>ROUND((IF(16&lt;=2,'Rate Card'!$AD$119,IF(16&lt;=5,'Rate Card'!$AE$119,IF(16&lt;=10,'Rate Card'!$AF$119,IF(16&lt;=15,'Rate Card'!$AG$119,IF(16&lt;=20,'Rate Card'!$AH$119,IF(16&lt;=35,'Rate Card'!$AH$119+(16-20)*'Rate Card'!$AI$119,'Rate Card'!$AK$119+(16-35)*'Rate Card'!$AJ$119)))))))*(1+'Rate Card'!$C$6),2)+ROUND(ROUND((IF(16&lt;=2,'Rate Card'!$AD$119,IF(16&lt;=5,'Rate Card'!$AE$119,IF(16&lt;=10,'Rate Card'!$AF$119,IF(16&lt;=15,'Rate Card'!$AG$119,IF(16&lt;=20,'Rate Card'!$AH$119,IF(16&lt;=35,'Rate Card'!$AH$119+(16-20)*'Rate Card'!$AI$119,'Rate Card'!$AK$119+(16-35)*'Rate Card'!$AJ$119)))))))*(1+'Rate Card'!$C$6),2)*(IF('Rate Card'!$G$6="YES",'Rate Card'!$E$6,0)+IF('Rate Card'!$K$6="YES",'Rate Card'!$I$6,0)),2)</f>
        <v/>
      </c>
      <c r="P20" s="23">
        <f>IF(16&lt;=2,'Rate Card'!$AD$120,IF(16&lt;=5,'Rate Card'!$AE$120,IF(16&lt;=10,'Rate Card'!$AF$120,IF(16&lt;=15,'Rate Card'!$AG$120,IF(16&lt;=20,'Rate Card'!$AH$120,IF(16&lt;=35,'Rate Card'!$AH$120+(16-20)*'Rate Card'!$AI$120,'Rate Card'!$AK$120+(16-35)*'Rate Card'!$AJ$120))))))</f>
        <v/>
      </c>
      <c r="Q20" s="12">
        <f>ROUND((IF(16&lt;=2,'Rate Card'!$AD$120,IF(16&lt;=5,'Rate Card'!$AE$120,IF(16&lt;=10,'Rate Card'!$AF$120,IF(16&lt;=15,'Rate Card'!$AG$120,IF(16&lt;=20,'Rate Card'!$AH$120,IF(16&lt;=35,'Rate Card'!$AH$120+(16-20)*'Rate Card'!$AI$120,'Rate Card'!$AK$120+(16-35)*'Rate Card'!$AJ$120)))))))*(1+'Rate Card'!$C$6),2)+ROUND(ROUND((IF(16&lt;=2,'Rate Card'!$AD$120,IF(16&lt;=5,'Rate Card'!$AE$120,IF(16&lt;=10,'Rate Card'!$AF$120,IF(16&lt;=15,'Rate Card'!$AG$120,IF(16&lt;=20,'Rate Card'!$AH$120,IF(16&lt;=35,'Rate Card'!$AH$120+(16-20)*'Rate Card'!$AI$120,'Rate Card'!$AK$120+(16-35)*'Rate Card'!$AJ$120)))))))*(1+'Rate Card'!$C$6),2)*(IF('Rate Card'!$G$6="YES",'Rate Card'!$E$6,0)+IF('Rate Card'!$K$6="YES",'Rate Card'!$I$6,0)),2)</f>
        <v/>
      </c>
    </row>
    <row r="21">
      <c r="A21" s="75" t="n">
        <v>17</v>
      </c>
      <c r="B21" s="23">
        <f>IF(17&lt;=5,'Rate Card'!$AD$20,'Rate Card'!$AD$20+(17-5)*'Rate Card'!$AE$20)</f>
        <v/>
      </c>
      <c r="C21" s="23">
        <f>ROUND((IF(17&lt;=5,'Rate Card'!$AD$20,'Rate Card'!$AD$20+(17-5)*'Rate Card'!$AE$20))*(1+'Rate Card'!$C$6),2)+ROUND(ROUND((IF(17&lt;=5,'Rate Card'!$AD$20,'Rate Card'!$AD$20+(17-5)*'Rate Card'!$AE$20))*(1+'Rate Card'!$C$6),2)*(IF('Rate Card'!$G$6="YES",'Rate Card'!$E$6,0)+IF('Rate Card'!$K$6="YES",'Rate Card'!$I$6,0)),2)</f>
        <v/>
      </c>
      <c r="D21" s="23">
        <f>IF(17&lt;=15,'Rate Card'!$AD$21,'Rate Card'!$AD$21+(17-15)*'Rate Card'!$AE$21)</f>
        <v/>
      </c>
      <c r="E21" s="23">
        <f>ROUND((IF(17&lt;=15,'Rate Card'!$AD$21,'Rate Card'!$AD$21+(17-15)*'Rate Card'!$AE$21))*(1+'Rate Card'!$C$6),2)+ROUND(ROUND((IF(17&lt;=15,'Rate Card'!$AD$21,'Rate Card'!$AD$21+(17-15)*'Rate Card'!$AE$21))*(1+'Rate Card'!$C$6),2)*(IF('Rate Card'!$G$6="YES",'Rate Card'!$E$6,0)+IF('Rate Card'!$K$6="YES",'Rate Card'!$I$6,0)),2)</f>
        <v/>
      </c>
      <c r="F21" s="23">
        <f>IF(17&lt;=2,'Rate Card'!$AD$22,IF(17&lt;=5,'Rate Card'!$AE$22,IF(17&lt;=10,'Rate Card'!$AF$22,IF(17&lt;=15,'Rate Card'!$AG$22,IF(17&lt;=20,'Rate Card'!$AH$22,IF(17&lt;=35,'Rate Card'!$AH$22+(17-20)*'Rate Card'!$AI$22,'Rate Card'!$AK$22+(17-35)*'Rate Card'!$AJ$22))))))</f>
        <v/>
      </c>
      <c r="G21" s="23">
        <f>ROUND((IF(17&lt;=2,'Rate Card'!$AD$22,IF(17&lt;=5,'Rate Card'!$AE$22,IF(17&lt;=10,'Rate Card'!$AF$22,IF(17&lt;=15,'Rate Card'!$AG$22,IF(17&lt;=20,'Rate Card'!$AH$22,IF(17&lt;=35,'Rate Card'!$AH$22+(17-20)*'Rate Card'!$AI$22,'Rate Card'!$AK$22+(17-35)*'Rate Card'!$AJ$22)))))))*(1+'Rate Card'!$C$6),2)+ROUND(ROUND((IF(17&lt;=2,'Rate Card'!$AD$22,IF(17&lt;=5,'Rate Card'!$AE$22,IF(17&lt;=10,'Rate Card'!$AF$22,IF(17&lt;=15,'Rate Card'!$AG$22,IF(17&lt;=20,'Rate Card'!$AH$22,IF(17&lt;=35,'Rate Card'!$AH$22+(17-20)*'Rate Card'!$AI$22,'Rate Card'!$AK$22+(17-35)*'Rate Card'!$AJ$22)))))))*(1+'Rate Card'!$C$6),2)*(IF('Rate Card'!$G$6="YES",'Rate Card'!$E$6,0)+IF('Rate Card'!$K$6="YES",'Rate Card'!$I$6,0)),2)</f>
        <v/>
      </c>
      <c r="H21" s="23">
        <f>IF(17&lt;=2,'Rate Card'!$AD$23,IF(17&lt;=5,'Rate Card'!$AE$23,IF(17&lt;=10,'Rate Card'!$AF$23,IF(17&lt;=15,'Rate Card'!$AG$23,IF(17&lt;=20,'Rate Card'!$AH$23,IF(17&lt;=35,'Rate Card'!$AH$23+(17-20)*'Rate Card'!$AI$23,'Rate Card'!$AK$23+(17-35)*'Rate Card'!$AJ$23))))))</f>
        <v/>
      </c>
      <c r="I21" s="23">
        <f>ROUND((IF(17&lt;=2,'Rate Card'!$AD$23,IF(17&lt;=5,'Rate Card'!$AE$23,IF(17&lt;=10,'Rate Card'!$AF$23,IF(17&lt;=15,'Rate Card'!$AG$23,IF(17&lt;=20,'Rate Card'!$AH$23,IF(17&lt;=35,'Rate Card'!$AH$23+(17-20)*'Rate Card'!$AI$23,'Rate Card'!$AK$23+(17-35)*'Rate Card'!$AJ$23)))))))*(1+'Rate Card'!$C$6),2)+ROUND(ROUND((IF(17&lt;=2,'Rate Card'!$AD$23,IF(17&lt;=5,'Rate Card'!$AE$23,IF(17&lt;=10,'Rate Card'!$AF$23,IF(17&lt;=15,'Rate Card'!$AG$23,IF(17&lt;=20,'Rate Card'!$AH$23,IF(17&lt;=35,'Rate Card'!$AH$23+(17-20)*'Rate Card'!$AI$23,'Rate Card'!$AK$23+(17-35)*'Rate Card'!$AJ$23)))))))*(1+'Rate Card'!$C$6),2)*(IF('Rate Card'!$G$6="YES",'Rate Card'!$E$6,0)+IF('Rate Card'!$K$6="YES",'Rate Card'!$I$6,0)),2)</f>
        <v/>
      </c>
      <c r="J21" s="23">
        <f>IF(17&lt;=5,'Rate Card'!$AD$117,'Rate Card'!$AD$117+(17-5)*'Rate Card'!$AE$117)</f>
        <v/>
      </c>
      <c r="K21" s="23">
        <f>ROUND((IF(17&lt;=5,'Rate Card'!$AD$117,'Rate Card'!$AD$117+(17-5)*'Rate Card'!$AE$117))*(1+'Rate Card'!$C$6),2)+ROUND(ROUND((IF(17&lt;=5,'Rate Card'!$AD$117,'Rate Card'!$AD$117+(17-5)*'Rate Card'!$AE$117))*(1+'Rate Card'!$C$6),2)*(IF('Rate Card'!$G$6="YES",'Rate Card'!$E$6,0)+IF('Rate Card'!$K$6="YES",'Rate Card'!$I$6,0)),2)</f>
        <v/>
      </c>
      <c r="L21" s="23">
        <f>IF(17&lt;=15,'Rate Card'!$AD$118,'Rate Card'!$AD$118+(17-15)*'Rate Card'!$AE$118)</f>
        <v/>
      </c>
      <c r="M21" s="23">
        <f>ROUND((IF(17&lt;=15,'Rate Card'!$AD$118,'Rate Card'!$AD$118+(17-15)*'Rate Card'!$AE$118))*(1+'Rate Card'!$C$6),2)+ROUND(ROUND((IF(17&lt;=15,'Rate Card'!$AD$118,'Rate Card'!$AD$118+(17-15)*'Rate Card'!$AE$118))*(1+'Rate Card'!$C$6),2)*(IF('Rate Card'!$G$6="YES",'Rate Card'!$E$6,0)+IF('Rate Card'!$K$6="YES",'Rate Card'!$I$6,0)),2)</f>
        <v/>
      </c>
      <c r="N21" s="23">
        <f>IF(17&lt;=2,'Rate Card'!$AD$119,IF(17&lt;=5,'Rate Card'!$AE$119,IF(17&lt;=10,'Rate Card'!$AF$119,IF(17&lt;=15,'Rate Card'!$AG$119,IF(17&lt;=20,'Rate Card'!$AH$119,IF(17&lt;=35,'Rate Card'!$AH$119+(17-20)*'Rate Card'!$AI$119,'Rate Card'!$AK$119+(17-35)*'Rate Card'!$AJ$119))))))</f>
        <v/>
      </c>
      <c r="O21" s="23">
        <f>ROUND((IF(17&lt;=2,'Rate Card'!$AD$119,IF(17&lt;=5,'Rate Card'!$AE$119,IF(17&lt;=10,'Rate Card'!$AF$119,IF(17&lt;=15,'Rate Card'!$AG$119,IF(17&lt;=20,'Rate Card'!$AH$119,IF(17&lt;=35,'Rate Card'!$AH$119+(17-20)*'Rate Card'!$AI$119,'Rate Card'!$AK$119+(17-35)*'Rate Card'!$AJ$119)))))))*(1+'Rate Card'!$C$6),2)+ROUND(ROUND((IF(17&lt;=2,'Rate Card'!$AD$119,IF(17&lt;=5,'Rate Card'!$AE$119,IF(17&lt;=10,'Rate Card'!$AF$119,IF(17&lt;=15,'Rate Card'!$AG$119,IF(17&lt;=20,'Rate Card'!$AH$119,IF(17&lt;=35,'Rate Card'!$AH$119+(17-20)*'Rate Card'!$AI$119,'Rate Card'!$AK$119+(17-35)*'Rate Card'!$AJ$119)))))))*(1+'Rate Card'!$C$6),2)*(IF('Rate Card'!$G$6="YES",'Rate Card'!$E$6,0)+IF('Rate Card'!$K$6="YES",'Rate Card'!$I$6,0)),2)</f>
        <v/>
      </c>
      <c r="P21" s="23">
        <f>IF(17&lt;=2,'Rate Card'!$AD$120,IF(17&lt;=5,'Rate Card'!$AE$120,IF(17&lt;=10,'Rate Card'!$AF$120,IF(17&lt;=15,'Rate Card'!$AG$120,IF(17&lt;=20,'Rate Card'!$AH$120,IF(17&lt;=35,'Rate Card'!$AH$120+(17-20)*'Rate Card'!$AI$120,'Rate Card'!$AK$120+(17-35)*'Rate Card'!$AJ$120))))))</f>
        <v/>
      </c>
      <c r="Q21" s="12">
        <f>ROUND((IF(17&lt;=2,'Rate Card'!$AD$120,IF(17&lt;=5,'Rate Card'!$AE$120,IF(17&lt;=10,'Rate Card'!$AF$120,IF(17&lt;=15,'Rate Card'!$AG$120,IF(17&lt;=20,'Rate Card'!$AH$120,IF(17&lt;=35,'Rate Card'!$AH$120+(17-20)*'Rate Card'!$AI$120,'Rate Card'!$AK$120+(17-35)*'Rate Card'!$AJ$120)))))))*(1+'Rate Card'!$C$6),2)+ROUND(ROUND((IF(17&lt;=2,'Rate Card'!$AD$120,IF(17&lt;=5,'Rate Card'!$AE$120,IF(17&lt;=10,'Rate Card'!$AF$120,IF(17&lt;=15,'Rate Card'!$AG$120,IF(17&lt;=20,'Rate Card'!$AH$120,IF(17&lt;=35,'Rate Card'!$AH$120+(17-20)*'Rate Card'!$AI$120,'Rate Card'!$AK$120+(17-35)*'Rate Card'!$AJ$120)))))))*(1+'Rate Card'!$C$6),2)*(IF('Rate Card'!$G$6="YES",'Rate Card'!$E$6,0)+IF('Rate Card'!$K$6="YES",'Rate Card'!$I$6,0)),2)</f>
        <v/>
      </c>
    </row>
    <row r="22">
      <c r="A22" s="75" t="n">
        <v>18</v>
      </c>
      <c r="B22" s="23">
        <f>IF(18&lt;=5,'Rate Card'!$AD$20,'Rate Card'!$AD$20+(18-5)*'Rate Card'!$AE$20)</f>
        <v/>
      </c>
      <c r="C22" s="23">
        <f>ROUND((IF(18&lt;=5,'Rate Card'!$AD$20,'Rate Card'!$AD$20+(18-5)*'Rate Card'!$AE$20))*(1+'Rate Card'!$C$6),2)+ROUND(ROUND((IF(18&lt;=5,'Rate Card'!$AD$20,'Rate Card'!$AD$20+(18-5)*'Rate Card'!$AE$20))*(1+'Rate Card'!$C$6),2)*(IF('Rate Card'!$G$6="YES",'Rate Card'!$E$6,0)+IF('Rate Card'!$K$6="YES",'Rate Card'!$I$6,0)),2)</f>
        <v/>
      </c>
      <c r="D22" s="23">
        <f>IF(18&lt;=15,'Rate Card'!$AD$21,'Rate Card'!$AD$21+(18-15)*'Rate Card'!$AE$21)</f>
        <v/>
      </c>
      <c r="E22" s="23">
        <f>ROUND((IF(18&lt;=15,'Rate Card'!$AD$21,'Rate Card'!$AD$21+(18-15)*'Rate Card'!$AE$21))*(1+'Rate Card'!$C$6),2)+ROUND(ROUND((IF(18&lt;=15,'Rate Card'!$AD$21,'Rate Card'!$AD$21+(18-15)*'Rate Card'!$AE$21))*(1+'Rate Card'!$C$6),2)*(IF('Rate Card'!$G$6="YES",'Rate Card'!$E$6,0)+IF('Rate Card'!$K$6="YES",'Rate Card'!$I$6,0)),2)</f>
        <v/>
      </c>
      <c r="F22" s="23">
        <f>IF(18&lt;=2,'Rate Card'!$AD$22,IF(18&lt;=5,'Rate Card'!$AE$22,IF(18&lt;=10,'Rate Card'!$AF$22,IF(18&lt;=15,'Rate Card'!$AG$22,IF(18&lt;=20,'Rate Card'!$AH$22,IF(18&lt;=35,'Rate Card'!$AH$22+(18-20)*'Rate Card'!$AI$22,'Rate Card'!$AK$22+(18-35)*'Rate Card'!$AJ$22))))))</f>
        <v/>
      </c>
      <c r="G22" s="23">
        <f>ROUND((IF(18&lt;=2,'Rate Card'!$AD$22,IF(18&lt;=5,'Rate Card'!$AE$22,IF(18&lt;=10,'Rate Card'!$AF$22,IF(18&lt;=15,'Rate Card'!$AG$22,IF(18&lt;=20,'Rate Card'!$AH$22,IF(18&lt;=35,'Rate Card'!$AH$22+(18-20)*'Rate Card'!$AI$22,'Rate Card'!$AK$22+(18-35)*'Rate Card'!$AJ$22)))))))*(1+'Rate Card'!$C$6),2)+ROUND(ROUND((IF(18&lt;=2,'Rate Card'!$AD$22,IF(18&lt;=5,'Rate Card'!$AE$22,IF(18&lt;=10,'Rate Card'!$AF$22,IF(18&lt;=15,'Rate Card'!$AG$22,IF(18&lt;=20,'Rate Card'!$AH$22,IF(18&lt;=35,'Rate Card'!$AH$22+(18-20)*'Rate Card'!$AI$22,'Rate Card'!$AK$22+(18-35)*'Rate Card'!$AJ$22)))))))*(1+'Rate Card'!$C$6),2)*(IF('Rate Card'!$G$6="YES",'Rate Card'!$E$6,0)+IF('Rate Card'!$K$6="YES",'Rate Card'!$I$6,0)),2)</f>
        <v/>
      </c>
      <c r="H22" s="23">
        <f>IF(18&lt;=2,'Rate Card'!$AD$23,IF(18&lt;=5,'Rate Card'!$AE$23,IF(18&lt;=10,'Rate Card'!$AF$23,IF(18&lt;=15,'Rate Card'!$AG$23,IF(18&lt;=20,'Rate Card'!$AH$23,IF(18&lt;=35,'Rate Card'!$AH$23+(18-20)*'Rate Card'!$AI$23,'Rate Card'!$AK$23+(18-35)*'Rate Card'!$AJ$23))))))</f>
        <v/>
      </c>
      <c r="I22" s="23">
        <f>ROUND((IF(18&lt;=2,'Rate Card'!$AD$23,IF(18&lt;=5,'Rate Card'!$AE$23,IF(18&lt;=10,'Rate Card'!$AF$23,IF(18&lt;=15,'Rate Card'!$AG$23,IF(18&lt;=20,'Rate Card'!$AH$23,IF(18&lt;=35,'Rate Card'!$AH$23+(18-20)*'Rate Card'!$AI$23,'Rate Card'!$AK$23+(18-35)*'Rate Card'!$AJ$23)))))))*(1+'Rate Card'!$C$6),2)+ROUND(ROUND((IF(18&lt;=2,'Rate Card'!$AD$23,IF(18&lt;=5,'Rate Card'!$AE$23,IF(18&lt;=10,'Rate Card'!$AF$23,IF(18&lt;=15,'Rate Card'!$AG$23,IF(18&lt;=20,'Rate Card'!$AH$23,IF(18&lt;=35,'Rate Card'!$AH$23+(18-20)*'Rate Card'!$AI$23,'Rate Card'!$AK$23+(18-35)*'Rate Card'!$AJ$23)))))))*(1+'Rate Card'!$C$6),2)*(IF('Rate Card'!$G$6="YES",'Rate Card'!$E$6,0)+IF('Rate Card'!$K$6="YES",'Rate Card'!$I$6,0)),2)</f>
        <v/>
      </c>
      <c r="J22" s="23">
        <f>IF(18&lt;=5,'Rate Card'!$AD$117,'Rate Card'!$AD$117+(18-5)*'Rate Card'!$AE$117)</f>
        <v/>
      </c>
      <c r="K22" s="23">
        <f>ROUND((IF(18&lt;=5,'Rate Card'!$AD$117,'Rate Card'!$AD$117+(18-5)*'Rate Card'!$AE$117))*(1+'Rate Card'!$C$6),2)+ROUND(ROUND((IF(18&lt;=5,'Rate Card'!$AD$117,'Rate Card'!$AD$117+(18-5)*'Rate Card'!$AE$117))*(1+'Rate Card'!$C$6),2)*(IF('Rate Card'!$G$6="YES",'Rate Card'!$E$6,0)+IF('Rate Card'!$K$6="YES",'Rate Card'!$I$6,0)),2)</f>
        <v/>
      </c>
      <c r="L22" s="23">
        <f>IF(18&lt;=15,'Rate Card'!$AD$118,'Rate Card'!$AD$118+(18-15)*'Rate Card'!$AE$118)</f>
        <v/>
      </c>
      <c r="M22" s="23">
        <f>ROUND((IF(18&lt;=15,'Rate Card'!$AD$118,'Rate Card'!$AD$118+(18-15)*'Rate Card'!$AE$118))*(1+'Rate Card'!$C$6),2)+ROUND(ROUND((IF(18&lt;=15,'Rate Card'!$AD$118,'Rate Card'!$AD$118+(18-15)*'Rate Card'!$AE$118))*(1+'Rate Card'!$C$6),2)*(IF('Rate Card'!$G$6="YES",'Rate Card'!$E$6,0)+IF('Rate Card'!$K$6="YES",'Rate Card'!$I$6,0)),2)</f>
        <v/>
      </c>
      <c r="N22" s="23">
        <f>IF(18&lt;=2,'Rate Card'!$AD$119,IF(18&lt;=5,'Rate Card'!$AE$119,IF(18&lt;=10,'Rate Card'!$AF$119,IF(18&lt;=15,'Rate Card'!$AG$119,IF(18&lt;=20,'Rate Card'!$AH$119,IF(18&lt;=35,'Rate Card'!$AH$119+(18-20)*'Rate Card'!$AI$119,'Rate Card'!$AK$119+(18-35)*'Rate Card'!$AJ$119))))))</f>
        <v/>
      </c>
      <c r="O22" s="23">
        <f>ROUND((IF(18&lt;=2,'Rate Card'!$AD$119,IF(18&lt;=5,'Rate Card'!$AE$119,IF(18&lt;=10,'Rate Card'!$AF$119,IF(18&lt;=15,'Rate Card'!$AG$119,IF(18&lt;=20,'Rate Card'!$AH$119,IF(18&lt;=35,'Rate Card'!$AH$119+(18-20)*'Rate Card'!$AI$119,'Rate Card'!$AK$119+(18-35)*'Rate Card'!$AJ$119)))))))*(1+'Rate Card'!$C$6),2)+ROUND(ROUND((IF(18&lt;=2,'Rate Card'!$AD$119,IF(18&lt;=5,'Rate Card'!$AE$119,IF(18&lt;=10,'Rate Card'!$AF$119,IF(18&lt;=15,'Rate Card'!$AG$119,IF(18&lt;=20,'Rate Card'!$AH$119,IF(18&lt;=35,'Rate Card'!$AH$119+(18-20)*'Rate Card'!$AI$119,'Rate Card'!$AK$119+(18-35)*'Rate Card'!$AJ$119)))))))*(1+'Rate Card'!$C$6),2)*(IF('Rate Card'!$G$6="YES",'Rate Card'!$E$6,0)+IF('Rate Card'!$K$6="YES",'Rate Card'!$I$6,0)),2)</f>
        <v/>
      </c>
      <c r="P22" s="23">
        <f>IF(18&lt;=2,'Rate Card'!$AD$120,IF(18&lt;=5,'Rate Card'!$AE$120,IF(18&lt;=10,'Rate Card'!$AF$120,IF(18&lt;=15,'Rate Card'!$AG$120,IF(18&lt;=20,'Rate Card'!$AH$120,IF(18&lt;=35,'Rate Card'!$AH$120+(18-20)*'Rate Card'!$AI$120,'Rate Card'!$AK$120+(18-35)*'Rate Card'!$AJ$120))))))</f>
        <v/>
      </c>
      <c r="Q22" s="12">
        <f>ROUND((IF(18&lt;=2,'Rate Card'!$AD$120,IF(18&lt;=5,'Rate Card'!$AE$120,IF(18&lt;=10,'Rate Card'!$AF$120,IF(18&lt;=15,'Rate Card'!$AG$120,IF(18&lt;=20,'Rate Card'!$AH$120,IF(18&lt;=35,'Rate Card'!$AH$120+(18-20)*'Rate Card'!$AI$120,'Rate Card'!$AK$120+(18-35)*'Rate Card'!$AJ$120)))))))*(1+'Rate Card'!$C$6),2)+ROUND(ROUND((IF(18&lt;=2,'Rate Card'!$AD$120,IF(18&lt;=5,'Rate Card'!$AE$120,IF(18&lt;=10,'Rate Card'!$AF$120,IF(18&lt;=15,'Rate Card'!$AG$120,IF(18&lt;=20,'Rate Card'!$AH$120,IF(18&lt;=35,'Rate Card'!$AH$120+(18-20)*'Rate Card'!$AI$120,'Rate Card'!$AK$120+(18-35)*'Rate Card'!$AJ$120)))))))*(1+'Rate Card'!$C$6),2)*(IF('Rate Card'!$G$6="YES",'Rate Card'!$E$6,0)+IF('Rate Card'!$K$6="YES",'Rate Card'!$I$6,0)),2)</f>
        <v/>
      </c>
    </row>
    <row r="23">
      <c r="A23" s="75" t="n">
        <v>19</v>
      </c>
      <c r="B23" s="23">
        <f>IF(19&lt;=5,'Rate Card'!$AD$20,'Rate Card'!$AD$20+(19-5)*'Rate Card'!$AE$20)</f>
        <v/>
      </c>
      <c r="C23" s="23">
        <f>ROUND((IF(19&lt;=5,'Rate Card'!$AD$20,'Rate Card'!$AD$20+(19-5)*'Rate Card'!$AE$20))*(1+'Rate Card'!$C$6),2)+ROUND(ROUND((IF(19&lt;=5,'Rate Card'!$AD$20,'Rate Card'!$AD$20+(19-5)*'Rate Card'!$AE$20))*(1+'Rate Card'!$C$6),2)*(IF('Rate Card'!$G$6="YES",'Rate Card'!$E$6,0)+IF('Rate Card'!$K$6="YES",'Rate Card'!$I$6,0)),2)</f>
        <v/>
      </c>
      <c r="D23" s="23">
        <f>IF(19&lt;=15,'Rate Card'!$AD$21,'Rate Card'!$AD$21+(19-15)*'Rate Card'!$AE$21)</f>
        <v/>
      </c>
      <c r="E23" s="23">
        <f>ROUND((IF(19&lt;=15,'Rate Card'!$AD$21,'Rate Card'!$AD$21+(19-15)*'Rate Card'!$AE$21))*(1+'Rate Card'!$C$6),2)+ROUND(ROUND((IF(19&lt;=15,'Rate Card'!$AD$21,'Rate Card'!$AD$21+(19-15)*'Rate Card'!$AE$21))*(1+'Rate Card'!$C$6),2)*(IF('Rate Card'!$G$6="YES",'Rate Card'!$E$6,0)+IF('Rate Card'!$K$6="YES",'Rate Card'!$I$6,0)),2)</f>
        <v/>
      </c>
      <c r="F23" s="23">
        <f>IF(19&lt;=2,'Rate Card'!$AD$22,IF(19&lt;=5,'Rate Card'!$AE$22,IF(19&lt;=10,'Rate Card'!$AF$22,IF(19&lt;=15,'Rate Card'!$AG$22,IF(19&lt;=20,'Rate Card'!$AH$22,IF(19&lt;=35,'Rate Card'!$AH$22+(19-20)*'Rate Card'!$AI$22,'Rate Card'!$AK$22+(19-35)*'Rate Card'!$AJ$22))))))</f>
        <v/>
      </c>
      <c r="G23" s="23">
        <f>ROUND((IF(19&lt;=2,'Rate Card'!$AD$22,IF(19&lt;=5,'Rate Card'!$AE$22,IF(19&lt;=10,'Rate Card'!$AF$22,IF(19&lt;=15,'Rate Card'!$AG$22,IF(19&lt;=20,'Rate Card'!$AH$22,IF(19&lt;=35,'Rate Card'!$AH$22+(19-20)*'Rate Card'!$AI$22,'Rate Card'!$AK$22+(19-35)*'Rate Card'!$AJ$22)))))))*(1+'Rate Card'!$C$6),2)+ROUND(ROUND((IF(19&lt;=2,'Rate Card'!$AD$22,IF(19&lt;=5,'Rate Card'!$AE$22,IF(19&lt;=10,'Rate Card'!$AF$22,IF(19&lt;=15,'Rate Card'!$AG$22,IF(19&lt;=20,'Rate Card'!$AH$22,IF(19&lt;=35,'Rate Card'!$AH$22+(19-20)*'Rate Card'!$AI$22,'Rate Card'!$AK$22+(19-35)*'Rate Card'!$AJ$22)))))))*(1+'Rate Card'!$C$6),2)*(IF('Rate Card'!$G$6="YES",'Rate Card'!$E$6,0)+IF('Rate Card'!$K$6="YES",'Rate Card'!$I$6,0)),2)</f>
        <v/>
      </c>
      <c r="H23" s="23">
        <f>IF(19&lt;=2,'Rate Card'!$AD$23,IF(19&lt;=5,'Rate Card'!$AE$23,IF(19&lt;=10,'Rate Card'!$AF$23,IF(19&lt;=15,'Rate Card'!$AG$23,IF(19&lt;=20,'Rate Card'!$AH$23,IF(19&lt;=35,'Rate Card'!$AH$23+(19-20)*'Rate Card'!$AI$23,'Rate Card'!$AK$23+(19-35)*'Rate Card'!$AJ$23))))))</f>
        <v/>
      </c>
      <c r="I23" s="23">
        <f>ROUND((IF(19&lt;=2,'Rate Card'!$AD$23,IF(19&lt;=5,'Rate Card'!$AE$23,IF(19&lt;=10,'Rate Card'!$AF$23,IF(19&lt;=15,'Rate Card'!$AG$23,IF(19&lt;=20,'Rate Card'!$AH$23,IF(19&lt;=35,'Rate Card'!$AH$23+(19-20)*'Rate Card'!$AI$23,'Rate Card'!$AK$23+(19-35)*'Rate Card'!$AJ$23)))))))*(1+'Rate Card'!$C$6),2)+ROUND(ROUND((IF(19&lt;=2,'Rate Card'!$AD$23,IF(19&lt;=5,'Rate Card'!$AE$23,IF(19&lt;=10,'Rate Card'!$AF$23,IF(19&lt;=15,'Rate Card'!$AG$23,IF(19&lt;=20,'Rate Card'!$AH$23,IF(19&lt;=35,'Rate Card'!$AH$23+(19-20)*'Rate Card'!$AI$23,'Rate Card'!$AK$23+(19-35)*'Rate Card'!$AJ$23)))))))*(1+'Rate Card'!$C$6),2)*(IF('Rate Card'!$G$6="YES",'Rate Card'!$E$6,0)+IF('Rate Card'!$K$6="YES",'Rate Card'!$I$6,0)),2)</f>
        <v/>
      </c>
      <c r="J23" s="23">
        <f>IF(19&lt;=5,'Rate Card'!$AD$117,'Rate Card'!$AD$117+(19-5)*'Rate Card'!$AE$117)</f>
        <v/>
      </c>
      <c r="K23" s="23">
        <f>ROUND((IF(19&lt;=5,'Rate Card'!$AD$117,'Rate Card'!$AD$117+(19-5)*'Rate Card'!$AE$117))*(1+'Rate Card'!$C$6),2)+ROUND(ROUND((IF(19&lt;=5,'Rate Card'!$AD$117,'Rate Card'!$AD$117+(19-5)*'Rate Card'!$AE$117))*(1+'Rate Card'!$C$6),2)*(IF('Rate Card'!$G$6="YES",'Rate Card'!$E$6,0)+IF('Rate Card'!$K$6="YES",'Rate Card'!$I$6,0)),2)</f>
        <v/>
      </c>
      <c r="L23" s="23">
        <f>IF(19&lt;=15,'Rate Card'!$AD$118,'Rate Card'!$AD$118+(19-15)*'Rate Card'!$AE$118)</f>
        <v/>
      </c>
      <c r="M23" s="23">
        <f>ROUND((IF(19&lt;=15,'Rate Card'!$AD$118,'Rate Card'!$AD$118+(19-15)*'Rate Card'!$AE$118))*(1+'Rate Card'!$C$6),2)+ROUND(ROUND((IF(19&lt;=15,'Rate Card'!$AD$118,'Rate Card'!$AD$118+(19-15)*'Rate Card'!$AE$118))*(1+'Rate Card'!$C$6),2)*(IF('Rate Card'!$G$6="YES",'Rate Card'!$E$6,0)+IF('Rate Card'!$K$6="YES",'Rate Card'!$I$6,0)),2)</f>
        <v/>
      </c>
      <c r="N23" s="23">
        <f>IF(19&lt;=2,'Rate Card'!$AD$119,IF(19&lt;=5,'Rate Card'!$AE$119,IF(19&lt;=10,'Rate Card'!$AF$119,IF(19&lt;=15,'Rate Card'!$AG$119,IF(19&lt;=20,'Rate Card'!$AH$119,IF(19&lt;=35,'Rate Card'!$AH$119+(19-20)*'Rate Card'!$AI$119,'Rate Card'!$AK$119+(19-35)*'Rate Card'!$AJ$119))))))</f>
        <v/>
      </c>
      <c r="O23" s="23">
        <f>ROUND((IF(19&lt;=2,'Rate Card'!$AD$119,IF(19&lt;=5,'Rate Card'!$AE$119,IF(19&lt;=10,'Rate Card'!$AF$119,IF(19&lt;=15,'Rate Card'!$AG$119,IF(19&lt;=20,'Rate Card'!$AH$119,IF(19&lt;=35,'Rate Card'!$AH$119+(19-20)*'Rate Card'!$AI$119,'Rate Card'!$AK$119+(19-35)*'Rate Card'!$AJ$119)))))))*(1+'Rate Card'!$C$6),2)+ROUND(ROUND((IF(19&lt;=2,'Rate Card'!$AD$119,IF(19&lt;=5,'Rate Card'!$AE$119,IF(19&lt;=10,'Rate Card'!$AF$119,IF(19&lt;=15,'Rate Card'!$AG$119,IF(19&lt;=20,'Rate Card'!$AH$119,IF(19&lt;=35,'Rate Card'!$AH$119+(19-20)*'Rate Card'!$AI$119,'Rate Card'!$AK$119+(19-35)*'Rate Card'!$AJ$119)))))))*(1+'Rate Card'!$C$6),2)*(IF('Rate Card'!$G$6="YES",'Rate Card'!$E$6,0)+IF('Rate Card'!$K$6="YES",'Rate Card'!$I$6,0)),2)</f>
        <v/>
      </c>
      <c r="P23" s="23">
        <f>IF(19&lt;=2,'Rate Card'!$AD$120,IF(19&lt;=5,'Rate Card'!$AE$120,IF(19&lt;=10,'Rate Card'!$AF$120,IF(19&lt;=15,'Rate Card'!$AG$120,IF(19&lt;=20,'Rate Card'!$AH$120,IF(19&lt;=35,'Rate Card'!$AH$120+(19-20)*'Rate Card'!$AI$120,'Rate Card'!$AK$120+(19-35)*'Rate Card'!$AJ$120))))))</f>
        <v/>
      </c>
      <c r="Q23" s="12">
        <f>ROUND((IF(19&lt;=2,'Rate Card'!$AD$120,IF(19&lt;=5,'Rate Card'!$AE$120,IF(19&lt;=10,'Rate Card'!$AF$120,IF(19&lt;=15,'Rate Card'!$AG$120,IF(19&lt;=20,'Rate Card'!$AH$120,IF(19&lt;=35,'Rate Card'!$AH$120+(19-20)*'Rate Card'!$AI$120,'Rate Card'!$AK$120+(19-35)*'Rate Card'!$AJ$120)))))))*(1+'Rate Card'!$C$6),2)+ROUND(ROUND((IF(19&lt;=2,'Rate Card'!$AD$120,IF(19&lt;=5,'Rate Card'!$AE$120,IF(19&lt;=10,'Rate Card'!$AF$120,IF(19&lt;=15,'Rate Card'!$AG$120,IF(19&lt;=20,'Rate Card'!$AH$120,IF(19&lt;=35,'Rate Card'!$AH$120+(19-20)*'Rate Card'!$AI$120,'Rate Card'!$AK$120+(19-35)*'Rate Card'!$AJ$120)))))))*(1+'Rate Card'!$C$6),2)*(IF('Rate Card'!$G$6="YES",'Rate Card'!$E$6,0)+IF('Rate Card'!$K$6="YES",'Rate Card'!$I$6,0)),2)</f>
        <v/>
      </c>
    </row>
    <row r="24">
      <c r="A24" s="75" t="n">
        <v>20</v>
      </c>
      <c r="B24" s="23">
        <f>IF(20&lt;=5,'Rate Card'!$AD$20,'Rate Card'!$AD$20+(20-5)*'Rate Card'!$AE$20)</f>
        <v/>
      </c>
      <c r="C24" s="23">
        <f>ROUND((IF(20&lt;=5,'Rate Card'!$AD$20,'Rate Card'!$AD$20+(20-5)*'Rate Card'!$AE$20))*(1+'Rate Card'!$C$6),2)+ROUND(ROUND((IF(20&lt;=5,'Rate Card'!$AD$20,'Rate Card'!$AD$20+(20-5)*'Rate Card'!$AE$20))*(1+'Rate Card'!$C$6),2)*(IF('Rate Card'!$G$6="YES",'Rate Card'!$E$6,0)+IF('Rate Card'!$K$6="YES",'Rate Card'!$I$6,0)),2)</f>
        <v/>
      </c>
      <c r="D24" s="23">
        <f>IF(20&lt;=15,'Rate Card'!$AD$21,'Rate Card'!$AD$21+(20-15)*'Rate Card'!$AE$21)</f>
        <v/>
      </c>
      <c r="E24" s="23">
        <f>ROUND((IF(20&lt;=15,'Rate Card'!$AD$21,'Rate Card'!$AD$21+(20-15)*'Rate Card'!$AE$21))*(1+'Rate Card'!$C$6),2)+ROUND(ROUND((IF(20&lt;=15,'Rate Card'!$AD$21,'Rate Card'!$AD$21+(20-15)*'Rate Card'!$AE$21))*(1+'Rate Card'!$C$6),2)*(IF('Rate Card'!$G$6="YES",'Rate Card'!$E$6,0)+IF('Rate Card'!$K$6="YES",'Rate Card'!$I$6,0)),2)</f>
        <v/>
      </c>
      <c r="F24" s="23">
        <f>IF(20&lt;=2,'Rate Card'!$AD$22,IF(20&lt;=5,'Rate Card'!$AE$22,IF(20&lt;=10,'Rate Card'!$AF$22,IF(20&lt;=15,'Rate Card'!$AG$22,IF(20&lt;=20,'Rate Card'!$AH$22,IF(20&lt;=35,'Rate Card'!$AH$22+(20-20)*'Rate Card'!$AI$22,'Rate Card'!$AK$22+(20-35)*'Rate Card'!$AJ$22))))))</f>
        <v/>
      </c>
      <c r="G24" s="23">
        <f>ROUND((IF(20&lt;=2,'Rate Card'!$AD$22,IF(20&lt;=5,'Rate Card'!$AE$22,IF(20&lt;=10,'Rate Card'!$AF$22,IF(20&lt;=15,'Rate Card'!$AG$22,IF(20&lt;=20,'Rate Card'!$AH$22,IF(20&lt;=35,'Rate Card'!$AH$22+(20-20)*'Rate Card'!$AI$22,'Rate Card'!$AK$22+(20-35)*'Rate Card'!$AJ$22)))))))*(1+'Rate Card'!$C$6),2)+ROUND(ROUND((IF(20&lt;=2,'Rate Card'!$AD$22,IF(20&lt;=5,'Rate Card'!$AE$22,IF(20&lt;=10,'Rate Card'!$AF$22,IF(20&lt;=15,'Rate Card'!$AG$22,IF(20&lt;=20,'Rate Card'!$AH$22,IF(20&lt;=35,'Rate Card'!$AH$22+(20-20)*'Rate Card'!$AI$22,'Rate Card'!$AK$22+(20-35)*'Rate Card'!$AJ$22)))))))*(1+'Rate Card'!$C$6),2)*(IF('Rate Card'!$G$6="YES",'Rate Card'!$E$6,0)+IF('Rate Card'!$K$6="YES",'Rate Card'!$I$6,0)),2)</f>
        <v/>
      </c>
      <c r="H24" s="23">
        <f>IF(20&lt;=2,'Rate Card'!$AD$23,IF(20&lt;=5,'Rate Card'!$AE$23,IF(20&lt;=10,'Rate Card'!$AF$23,IF(20&lt;=15,'Rate Card'!$AG$23,IF(20&lt;=20,'Rate Card'!$AH$23,IF(20&lt;=35,'Rate Card'!$AH$23+(20-20)*'Rate Card'!$AI$23,'Rate Card'!$AK$23+(20-35)*'Rate Card'!$AJ$23))))))</f>
        <v/>
      </c>
      <c r="I24" s="23">
        <f>ROUND((IF(20&lt;=2,'Rate Card'!$AD$23,IF(20&lt;=5,'Rate Card'!$AE$23,IF(20&lt;=10,'Rate Card'!$AF$23,IF(20&lt;=15,'Rate Card'!$AG$23,IF(20&lt;=20,'Rate Card'!$AH$23,IF(20&lt;=35,'Rate Card'!$AH$23+(20-20)*'Rate Card'!$AI$23,'Rate Card'!$AK$23+(20-35)*'Rate Card'!$AJ$23)))))))*(1+'Rate Card'!$C$6),2)+ROUND(ROUND((IF(20&lt;=2,'Rate Card'!$AD$23,IF(20&lt;=5,'Rate Card'!$AE$23,IF(20&lt;=10,'Rate Card'!$AF$23,IF(20&lt;=15,'Rate Card'!$AG$23,IF(20&lt;=20,'Rate Card'!$AH$23,IF(20&lt;=35,'Rate Card'!$AH$23+(20-20)*'Rate Card'!$AI$23,'Rate Card'!$AK$23+(20-35)*'Rate Card'!$AJ$23)))))))*(1+'Rate Card'!$C$6),2)*(IF('Rate Card'!$G$6="YES",'Rate Card'!$E$6,0)+IF('Rate Card'!$K$6="YES",'Rate Card'!$I$6,0)),2)</f>
        <v/>
      </c>
      <c r="J24" s="23">
        <f>IF(20&lt;=5,'Rate Card'!$AD$117,'Rate Card'!$AD$117+(20-5)*'Rate Card'!$AE$117)</f>
        <v/>
      </c>
      <c r="K24" s="23">
        <f>ROUND((IF(20&lt;=5,'Rate Card'!$AD$117,'Rate Card'!$AD$117+(20-5)*'Rate Card'!$AE$117))*(1+'Rate Card'!$C$6),2)+ROUND(ROUND((IF(20&lt;=5,'Rate Card'!$AD$117,'Rate Card'!$AD$117+(20-5)*'Rate Card'!$AE$117))*(1+'Rate Card'!$C$6),2)*(IF('Rate Card'!$G$6="YES",'Rate Card'!$E$6,0)+IF('Rate Card'!$K$6="YES",'Rate Card'!$I$6,0)),2)</f>
        <v/>
      </c>
      <c r="L24" s="23">
        <f>IF(20&lt;=15,'Rate Card'!$AD$118,'Rate Card'!$AD$118+(20-15)*'Rate Card'!$AE$118)</f>
        <v/>
      </c>
      <c r="M24" s="23">
        <f>ROUND((IF(20&lt;=15,'Rate Card'!$AD$118,'Rate Card'!$AD$118+(20-15)*'Rate Card'!$AE$118))*(1+'Rate Card'!$C$6),2)+ROUND(ROUND((IF(20&lt;=15,'Rate Card'!$AD$118,'Rate Card'!$AD$118+(20-15)*'Rate Card'!$AE$118))*(1+'Rate Card'!$C$6),2)*(IF('Rate Card'!$G$6="YES",'Rate Card'!$E$6,0)+IF('Rate Card'!$K$6="YES",'Rate Card'!$I$6,0)),2)</f>
        <v/>
      </c>
      <c r="N24" s="23">
        <f>IF(20&lt;=2,'Rate Card'!$AD$119,IF(20&lt;=5,'Rate Card'!$AE$119,IF(20&lt;=10,'Rate Card'!$AF$119,IF(20&lt;=15,'Rate Card'!$AG$119,IF(20&lt;=20,'Rate Card'!$AH$119,IF(20&lt;=35,'Rate Card'!$AH$119+(20-20)*'Rate Card'!$AI$119,'Rate Card'!$AK$119+(20-35)*'Rate Card'!$AJ$119))))))</f>
        <v/>
      </c>
      <c r="O24" s="23">
        <f>ROUND((IF(20&lt;=2,'Rate Card'!$AD$119,IF(20&lt;=5,'Rate Card'!$AE$119,IF(20&lt;=10,'Rate Card'!$AF$119,IF(20&lt;=15,'Rate Card'!$AG$119,IF(20&lt;=20,'Rate Card'!$AH$119,IF(20&lt;=35,'Rate Card'!$AH$119+(20-20)*'Rate Card'!$AI$119,'Rate Card'!$AK$119+(20-35)*'Rate Card'!$AJ$119)))))))*(1+'Rate Card'!$C$6),2)+ROUND(ROUND((IF(20&lt;=2,'Rate Card'!$AD$119,IF(20&lt;=5,'Rate Card'!$AE$119,IF(20&lt;=10,'Rate Card'!$AF$119,IF(20&lt;=15,'Rate Card'!$AG$119,IF(20&lt;=20,'Rate Card'!$AH$119,IF(20&lt;=35,'Rate Card'!$AH$119+(20-20)*'Rate Card'!$AI$119,'Rate Card'!$AK$119+(20-35)*'Rate Card'!$AJ$119)))))))*(1+'Rate Card'!$C$6),2)*(IF('Rate Card'!$G$6="YES",'Rate Card'!$E$6,0)+IF('Rate Card'!$K$6="YES",'Rate Card'!$I$6,0)),2)</f>
        <v/>
      </c>
      <c r="P24" s="23">
        <f>IF(20&lt;=2,'Rate Card'!$AD$120,IF(20&lt;=5,'Rate Card'!$AE$120,IF(20&lt;=10,'Rate Card'!$AF$120,IF(20&lt;=15,'Rate Card'!$AG$120,IF(20&lt;=20,'Rate Card'!$AH$120,IF(20&lt;=35,'Rate Card'!$AH$120+(20-20)*'Rate Card'!$AI$120,'Rate Card'!$AK$120+(20-35)*'Rate Card'!$AJ$120))))))</f>
        <v/>
      </c>
      <c r="Q24" s="12">
        <f>ROUND((IF(20&lt;=2,'Rate Card'!$AD$120,IF(20&lt;=5,'Rate Card'!$AE$120,IF(20&lt;=10,'Rate Card'!$AF$120,IF(20&lt;=15,'Rate Card'!$AG$120,IF(20&lt;=20,'Rate Card'!$AH$120,IF(20&lt;=35,'Rate Card'!$AH$120+(20-20)*'Rate Card'!$AI$120,'Rate Card'!$AK$120+(20-35)*'Rate Card'!$AJ$120)))))))*(1+'Rate Card'!$C$6),2)+ROUND(ROUND((IF(20&lt;=2,'Rate Card'!$AD$120,IF(20&lt;=5,'Rate Card'!$AE$120,IF(20&lt;=10,'Rate Card'!$AF$120,IF(20&lt;=15,'Rate Card'!$AG$120,IF(20&lt;=20,'Rate Card'!$AH$120,IF(20&lt;=35,'Rate Card'!$AH$120+(20-20)*'Rate Card'!$AI$120,'Rate Card'!$AK$120+(20-35)*'Rate Card'!$AJ$120)))))))*(1+'Rate Card'!$C$6),2)*(IF('Rate Card'!$G$6="YES",'Rate Card'!$E$6,0)+IF('Rate Card'!$K$6="YES",'Rate Card'!$I$6,0)),2)</f>
        <v/>
      </c>
    </row>
    <row r="25">
      <c r="A25" s="75" t="n">
        <v>21</v>
      </c>
      <c r="B25" s="23">
        <f>IF(21&lt;=5,'Rate Card'!$AD$20,'Rate Card'!$AD$20+(21-5)*'Rate Card'!$AE$20)</f>
        <v/>
      </c>
      <c r="C25" s="23">
        <f>ROUND((IF(21&lt;=5,'Rate Card'!$AD$20,'Rate Card'!$AD$20+(21-5)*'Rate Card'!$AE$20))*(1+'Rate Card'!$C$6),2)+ROUND(ROUND((IF(21&lt;=5,'Rate Card'!$AD$20,'Rate Card'!$AD$20+(21-5)*'Rate Card'!$AE$20))*(1+'Rate Card'!$C$6),2)*(IF('Rate Card'!$G$6="YES",'Rate Card'!$E$6,0)+IF('Rate Card'!$K$6="YES",'Rate Card'!$I$6,0)),2)</f>
        <v/>
      </c>
      <c r="D25" s="23">
        <f>IF(21&lt;=15,'Rate Card'!$AD$21,'Rate Card'!$AD$21+(21-15)*'Rate Card'!$AE$21)</f>
        <v/>
      </c>
      <c r="E25" s="23">
        <f>ROUND((IF(21&lt;=15,'Rate Card'!$AD$21,'Rate Card'!$AD$21+(21-15)*'Rate Card'!$AE$21))*(1+'Rate Card'!$C$6),2)+ROUND(ROUND((IF(21&lt;=15,'Rate Card'!$AD$21,'Rate Card'!$AD$21+(21-15)*'Rate Card'!$AE$21))*(1+'Rate Card'!$C$6),2)*(IF('Rate Card'!$G$6="YES",'Rate Card'!$E$6,0)+IF('Rate Card'!$K$6="YES",'Rate Card'!$I$6,0)),2)</f>
        <v/>
      </c>
      <c r="F25" s="23">
        <f>IF(21&lt;=2,'Rate Card'!$AD$22,IF(21&lt;=5,'Rate Card'!$AE$22,IF(21&lt;=10,'Rate Card'!$AF$22,IF(21&lt;=15,'Rate Card'!$AG$22,IF(21&lt;=20,'Rate Card'!$AH$22,IF(21&lt;=35,'Rate Card'!$AH$22+(21-20)*'Rate Card'!$AI$22,'Rate Card'!$AK$22+(21-35)*'Rate Card'!$AJ$22))))))</f>
        <v/>
      </c>
      <c r="G25" s="23">
        <f>ROUND((IF(21&lt;=2,'Rate Card'!$AD$22,IF(21&lt;=5,'Rate Card'!$AE$22,IF(21&lt;=10,'Rate Card'!$AF$22,IF(21&lt;=15,'Rate Card'!$AG$22,IF(21&lt;=20,'Rate Card'!$AH$22,IF(21&lt;=35,'Rate Card'!$AH$22+(21-20)*'Rate Card'!$AI$22,'Rate Card'!$AK$22+(21-35)*'Rate Card'!$AJ$22)))))))*(1+'Rate Card'!$C$6),2)+ROUND(ROUND((IF(21&lt;=2,'Rate Card'!$AD$22,IF(21&lt;=5,'Rate Card'!$AE$22,IF(21&lt;=10,'Rate Card'!$AF$22,IF(21&lt;=15,'Rate Card'!$AG$22,IF(21&lt;=20,'Rate Card'!$AH$22,IF(21&lt;=35,'Rate Card'!$AH$22+(21-20)*'Rate Card'!$AI$22,'Rate Card'!$AK$22+(21-35)*'Rate Card'!$AJ$22)))))))*(1+'Rate Card'!$C$6),2)*(IF('Rate Card'!$G$6="YES",'Rate Card'!$E$6,0)+IF('Rate Card'!$K$6="YES",'Rate Card'!$I$6,0)),2)</f>
        <v/>
      </c>
      <c r="H25" s="23">
        <f>IF(21&lt;=2,'Rate Card'!$AD$23,IF(21&lt;=5,'Rate Card'!$AE$23,IF(21&lt;=10,'Rate Card'!$AF$23,IF(21&lt;=15,'Rate Card'!$AG$23,IF(21&lt;=20,'Rate Card'!$AH$23,IF(21&lt;=35,'Rate Card'!$AH$23+(21-20)*'Rate Card'!$AI$23,'Rate Card'!$AK$23+(21-35)*'Rate Card'!$AJ$23))))))</f>
        <v/>
      </c>
      <c r="I25" s="23">
        <f>ROUND((IF(21&lt;=2,'Rate Card'!$AD$23,IF(21&lt;=5,'Rate Card'!$AE$23,IF(21&lt;=10,'Rate Card'!$AF$23,IF(21&lt;=15,'Rate Card'!$AG$23,IF(21&lt;=20,'Rate Card'!$AH$23,IF(21&lt;=35,'Rate Card'!$AH$23+(21-20)*'Rate Card'!$AI$23,'Rate Card'!$AK$23+(21-35)*'Rate Card'!$AJ$23)))))))*(1+'Rate Card'!$C$6),2)+ROUND(ROUND((IF(21&lt;=2,'Rate Card'!$AD$23,IF(21&lt;=5,'Rate Card'!$AE$23,IF(21&lt;=10,'Rate Card'!$AF$23,IF(21&lt;=15,'Rate Card'!$AG$23,IF(21&lt;=20,'Rate Card'!$AH$23,IF(21&lt;=35,'Rate Card'!$AH$23+(21-20)*'Rate Card'!$AI$23,'Rate Card'!$AK$23+(21-35)*'Rate Card'!$AJ$23)))))))*(1+'Rate Card'!$C$6),2)*(IF('Rate Card'!$G$6="YES",'Rate Card'!$E$6,0)+IF('Rate Card'!$K$6="YES",'Rate Card'!$I$6,0)),2)</f>
        <v/>
      </c>
      <c r="J25" s="23">
        <f>IF(21&lt;=5,'Rate Card'!$AD$117,'Rate Card'!$AD$117+(21-5)*'Rate Card'!$AE$117)</f>
        <v/>
      </c>
      <c r="K25" s="23">
        <f>ROUND((IF(21&lt;=5,'Rate Card'!$AD$117,'Rate Card'!$AD$117+(21-5)*'Rate Card'!$AE$117))*(1+'Rate Card'!$C$6),2)+ROUND(ROUND((IF(21&lt;=5,'Rate Card'!$AD$117,'Rate Card'!$AD$117+(21-5)*'Rate Card'!$AE$117))*(1+'Rate Card'!$C$6),2)*(IF('Rate Card'!$G$6="YES",'Rate Card'!$E$6,0)+IF('Rate Card'!$K$6="YES",'Rate Card'!$I$6,0)),2)</f>
        <v/>
      </c>
      <c r="L25" s="23">
        <f>IF(21&lt;=15,'Rate Card'!$AD$118,'Rate Card'!$AD$118+(21-15)*'Rate Card'!$AE$118)</f>
        <v/>
      </c>
      <c r="M25" s="23">
        <f>ROUND((IF(21&lt;=15,'Rate Card'!$AD$118,'Rate Card'!$AD$118+(21-15)*'Rate Card'!$AE$118))*(1+'Rate Card'!$C$6),2)+ROUND(ROUND((IF(21&lt;=15,'Rate Card'!$AD$118,'Rate Card'!$AD$118+(21-15)*'Rate Card'!$AE$118))*(1+'Rate Card'!$C$6),2)*(IF('Rate Card'!$G$6="YES",'Rate Card'!$E$6,0)+IF('Rate Card'!$K$6="YES",'Rate Card'!$I$6,0)),2)</f>
        <v/>
      </c>
      <c r="N25" s="23">
        <f>IF(21&lt;=2,'Rate Card'!$AD$119,IF(21&lt;=5,'Rate Card'!$AE$119,IF(21&lt;=10,'Rate Card'!$AF$119,IF(21&lt;=15,'Rate Card'!$AG$119,IF(21&lt;=20,'Rate Card'!$AH$119,IF(21&lt;=35,'Rate Card'!$AH$119+(21-20)*'Rate Card'!$AI$119,'Rate Card'!$AK$119+(21-35)*'Rate Card'!$AJ$119))))))</f>
        <v/>
      </c>
      <c r="O25" s="23">
        <f>ROUND((IF(21&lt;=2,'Rate Card'!$AD$119,IF(21&lt;=5,'Rate Card'!$AE$119,IF(21&lt;=10,'Rate Card'!$AF$119,IF(21&lt;=15,'Rate Card'!$AG$119,IF(21&lt;=20,'Rate Card'!$AH$119,IF(21&lt;=35,'Rate Card'!$AH$119+(21-20)*'Rate Card'!$AI$119,'Rate Card'!$AK$119+(21-35)*'Rate Card'!$AJ$119)))))))*(1+'Rate Card'!$C$6),2)+ROUND(ROUND((IF(21&lt;=2,'Rate Card'!$AD$119,IF(21&lt;=5,'Rate Card'!$AE$119,IF(21&lt;=10,'Rate Card'!$AF$119,IF(21&lt;=15,'Rate Card'!$AG$119,IF(21&lt;=20,'Rate Card'!$AH$119,IF(21&lt;=35,'Rate Card'!$AH$119+(21-20)*'Rate Card'!$AI$119,'Rate Card'!$AK$119+(21-35)*'Rate Card'!$AJ$119)))))))*(1+'Rate Card'!$C$6),2)*(IF('Rate Card'!$G$6="YES",'Rate Card'!$E$6,0)+IF('Rate Card'!$K$6="YES",'Rate Card'!$I$6,0)),2)</f>
        <v/>
      </c>
      <c r="P25" s="23">
        <f>IF(21&lt;=2,'Rate Card'!$AD$120,IF(21&lt;=5,'Rate Card'!$AE$120,IF(21&lt;=10,'Rate Card'!$AF$120,IF(21&lt;=15,'Rate Card'!$AG$120,IF(21&lt;=20,'Rate Card'!$AH$120,IF(21&lt;=35,'Rate Card'!$AH$120+(21-20)*'Rate Card'!$AI$120,'Rate Card'!$AK$120+(21-35)*'Rate Card'!$AJ$120))))))</f>
        <v/>
      </c>
      <c r="Q25" s="12">
        <f>ROUND((IF(21&lt;=2,'Rate Card'!$AD$120,IF(21&lt;=5,'Rate Card'!$AE$120,IF(21&lt;=10,'Rate Card'!$AF$120,IF(21&lt;=15,'Rate Card'!$AG$120,IF(21&lt;=20,'Rate Card'!$AH$120,IF(21&lt;=35,'Rate Card'!$AH$120+(21-20)*'Rate Card'!$AI$120,'Rate Card'!$AK$120+(21-35)*'Rate Card'!$AJ$120)))))))*(1+'Rate Card'!$C$6),2)+ROUND(ROUND((IF(21&lt;=2,'Rate Card'!$AD$120,IF(21&lt;=5,'Rate Card'!$AE$120,IF(21&lt;=10,'Rate Card'!$AF$120,IF(21&lt;=15,'Rate Card'!$AG$120,IF(21&lt;=20,'Rate Card'!$AH$120,IF(21&lt;=35,'Rate Card'!$AH$120+(21-20)*'Rate Card'!$AI$120,'Rate Card'!$AK$120+(21-35)*'Rate Card'!$AJ$120)))))))*(1+'Rate Card'!$C$6),2)*(IF('Rate Card'!$G$6="YES",'Rate Card'!$E$6,0)+IF('Rate Card'!$K$6="YES",'Rate Card'!$I$6,0)),2)</f>
        <v/>
      </c>
    </row>
    <row r="26">
      <c r="A26" s="75" t="n">
        <v>22</v>
      </c>
      <c r="B26" s="23">
        <f>IF(22&lt;=5,'Rate Card'!$AD$20,'Rate Card'!$AD$20+(22-5)*'Rate Card'!$AE$20)</f>
        <v/>
      </c>
      <c r="C26" s="23">
        <f>ROUND((IF(22&lt;=5,'Rate Card'!$AD$20,'Rate Card'!$AD$20+(22-5)*'Rate Card'!$AE$20))*(1+'Rate Card'!$C$6),2)+ROUND(ROUND((IF(22&lt;=5,'Rate Card'!$AD$20,'Rate Card'!$AD$20+(22-5)*'Rate Card'!$AE$20))*(1+'Rate Card'!$C$6),2)*(IF('Rate Card'!$G$6="YES",'Rate Card'!$E$6,0)+IF('Rate Card'!$K$6="YES",'Rate Card'!$I$6,0)),2)</f>
        <v/>
      </c>
      <c r="D26" s="23">
        <f>IF(22&lt;=15,'Rate Card'!$AD$21,'Rate Card'!$AD$21+(22-15)*'Rate Card'!$AE$21)</f>
        <v/>
      </c>
      <c r="E26" s="23">
        <f>ROUND((IF(22&lt;=15,'Rate Card'!$AD$21,'Rate Card'!$AD$21+(22-15)*'Rate Card'!$AE$21))*(1+'Rate Card'!$C$6),2)+ROUND(ROUND((IF(22&lt;=15,'Rate Card'!$AD$21,'Rate Card'!$AD$21+(22-15)*'Rate Card'!$AE$21))*(1+'Rate Card'!$C$6),2)*(IF('Rate Card'!$G$6="YES",'Rate Card'!$E$6,0)+IF('Rate Card'!$K$6="YES",'Rate Card'!$I$6,0)),2)</f>
        <v/>
      </c>
      <c r="F26" s="23">
        <f>IF(22&lt;=2,'Rate Card'!$AD$22,IF(22&lt;=5,'Rate Card'!$AE$22,IF(22&lt;=10,'Rate Card'!$AF$22,IF(22&lt;=15,'Rate Card'!$AG$22,IF(22&lt;=20,'Rate Card'!$AH$22,IF(22&lt;=35,'Rate Card'!$AH$22+(22-20)*'Rate Card'!$AI$22,'Rate Card'!$AK$22+(22-35)*'Rate Card'!$AJ$22))))))</f>
        <v/>
      </c>
      <c r="G26" s="23">
        <f>ROUND((IF(22&lt;=2,'Rate Card'!$AD$22,IF(22&lt;=5,'Rate Card'!$AE$22,IF(22&lt;=10,'Rate Card'!$AF$22,IF(22&lt;=15,'Rate Card'!$AG$22,IF(22&lt;=20,'Rate Card'!$AH$22,IF(22&lt;=35,'Rate Card'!$AH$22+(22-20)*'Rate Card'!$AI$22,'Rate Card'!$AK$22+(22-35)*'Rate Card'!$AJ$22)))))))*(1+'Rate Card'!$C$6),2)+ROUND(ROUND((IF(22&lt;=2,'Rate Card'!$AD$22,IF(22&lt;=5,'Rate Card'!$AE$22,IF(22&lt;=10,'Rate Card'!$AF$22,IF(22&lt;=15,'Rate Card'!$AG$22,IF(22&lt;=20,'Rate Card'!$AH$22,IF(22&lt;=35,'Rate Card'!$AH$22+(22-20)*'Rate Card'!$AI$22,'Rate Card'!$AK$22+(22-35)*'Rate Card'!$AJ$22)))))))*(1+'Rate Card'!$C$6),2)*(IF('Rate Card'!$G$6="YES",'Rate Card'!$E$6,0)+IF('Rate Card'!$K$6="YES",'Rate Card'!$I$6,0)),2)</f>
        <v/>
      </c>
      <c r="H26" s="23">
        <f>IF(22&lt;=2,'Rate Card'!$AD$23,IF(22&lt;=5,'Rate Card'!$AE$23,IF(22&lt;=10,'Rate Card'!$AF$23,IF(22&lt;=15,'Rate Card'!$AG$23,IF(22&lt;=20,'Rate Card'!$AH$23,IF(22&lt;=35,'Rate Card'!$AH$23+(22-20)*'Rate Card'!$AI$23,'Rate Card'!$AK$23+(22-35)*'Rate Card'!$AJ$23))))))</f>
        <v/>
      </c>
      <c r="I26" s="23">
        <f>ROUND((IF(22&lt;=2,'Rate Card'!$AD$23,IF(22&lt;=5,'Rate Card'!$AE$23,IF(22&lt;=10,'Rate Card'!$AF$23,IF(22&lt;=15,'Rate Card'!$AG$23,IF(22&lt;=20,'Rate Card'!$AH$23,IF(22&lt;=35,'Rate Card'!$AH$23+(22-20)*'Rate Card'!$AI$23,'Rate Card'!$AK$23+(22-35)*'Rate Card'!$AJ$23)))))))*(1+'Rate Card'!$C$6),2)+ROUND(ROUND((IF(22&lt;=2,'Rate Card'!$AD$23,IF(22&lt;=5,'Rate Card'!$AE$23,IF(22&lt;=10,'Rate Card'!$AF$23,IF(22&lt;=15,'Rate Card'!$AG$23,IF(22&lt;=20,'Rate Card'!$AH$23,IF(22&lt;=35,'Rate Card'!$AH$23+(22-20)*'Rate Card'!$AI$23,'Rate Card'!$AK$23+(22-35)*'Rate Card'!$AJ$23)))))))*(1+'Rate Card'!$C$6),2)*(IF('Rate Card'!$G$6="YES",'Rate Card'!$E$6,0)+IF('Rate Card'!$K$6="YES",'Rate Card'!$I$6,0)),2)</f>
        <v/>
      </c>
      <c r="J26" s="23">
        <f>IF(22&lt;=5,'Rate Card'!$AD$117,'Rate Card'!$AD$117+(22-5)*'Rate Card'!$AE$117)</f>
        <v/>
      </c>
      <c r="K26" s="23">
        <f>ROUND((IF(22&lt;=5,'Rate Card'!$AD$117,'Rate Card'!$AD$117+(22-5)*'Rate Card'!$AE$117))*(1+'Rate Card'!$C$6),2)+ROUND(ROUND((IF(22&lt;=5,'Rate Card'!$AD$117,'Rate Card'!$AD$117+(22-5)*'Rate Card'!$AE$117))*(1+'Rate Card'!$C$6),2)*(IF('Rate Card'!$G$6="YES",'Rate Card'!$E$6,0)+IF('Rate Card'!$K$6="YES",'Rate Card'!$I$6,0)),2)</f>
        <v/>
      </c>
      <c r="L26" s="23">
        <f>IF(22&lt;=15,'Rate Card'!$AD$118,'Rate Card'!$AD$118+(22-15)*'Rate Card'!$AE$118)</f>
        <v/>
      </c>
      <c r="M26" s="23">
        <f>ROUND((IF(22&lt;=15,'Rate Card'!$AD$118,'Rate Card'!$AD$118+(22-15)*'Rate Card'!$AE$118))*(1+'Rate Card'!$C$6),2)+ROUND(ROUND((IF(22&lt;=15,'Rate Card'!$AD$118,'Rate Card'!$AD$118+(22-15)*'Rate Card'!$AE$118))*(1+'Rate Card'!$C$6),2)*(IF('Rate Card'!$G$6="YES",'Rate Card'!$E$6,0)+IF('Rate Card'!$K$6="YES",'Rate Card'!$I$6,0)),2)</f>
        <v/>
      </c>
      <c r="N26" s="23">
        <f>IF(22&lt;=2,'Rate Card'!$AD$119,IF(22&lt;=5,'Rate Card'!$AE$119,IF(22&lt;=10,'Rate Card'!$AF$119,IF(22&lt;=15,'Rate Card'!$AG$119,IF(22&lt;=20,'Rate Card'!$AH$119,IF(22&lt;=35,'Rate Card'!$AH$119+(22-20)*'Rate Card'!$AI$119,'Rate Card'!$AK$119+(22-35)*'Rate Card'!$AJ$119))))))</f>
        <v/>
      </c>
      <c r="O26" s="23">
        <f>ROUND((IF(22&lt;=2,'Rate Card'!$AD$119,IF(22&lt;=5,'Rate Card'!$AE$119,IF(22&lt;=10,'Rate Card'!$AF$119,IF(22&lt;=15,'Rate Card'!$AG$119,IF(22&lt;=20,'Rate Card'!$AH$119,IF(22&lt;=35,'Rate Card'!$AH$119+(22-20)*'Rate Card'!$AI$119,'Rate Card'!$AK$119+(22-35)*'Rate Card'!$AJ$119)))))))*(1+'Rate Card'!$C$6),2)+ROUND(ROUND((IF(22&lt;=2,'Rate Card'!$AD$119,IF(22&lt;=5,'Rate Card'!$AE$119,IF(22&lt;=10,'Rate Card'!$AF$119,IF(22&lt;=15,'Rate Card'!$AG$119,IF(22&lt;=20,'Rate Card'!$AH$119,IF(22&lt;=35,'Rate Card'!$AH$119+(22-20)*'Rate Card'!$AI$119,'Rate Card'!$AK$119+(22-35)*'Rate Card'!$AJ$119)))))))*(1+'Rate Card'!$C$6),2)*(IF('Rate Card'!$G$6="YES",'Rate Card'!$E$6,0)+IF('Rate Card'!$K$6="YES",'Rate Card'!$I$6,0)),2)</f>
        <v/>
      </c>
      <c r="P26" s="23">
        <f>IF(22&lt;=2,'Rate Card'!$AD$120,IF(22&lt;=5,'Rate Card'!$AE$120,IF(22&lt;=10,'Rate Card'!$AF$120,IF(22&lt;=15,'Rate Card'!$AG$120,IF(22&lt;=20,'Rate Card'!$AH$120,IF(22&lt;=35,'Rate Card'!$AH$120+(22-20)*'Rate Card'!$AI$120,'Rate Card'!$AK$120+(22-35)*'Rate Card'!$AJ$120))))))</f>
        <v/>
      </c>
      <c r="Q26" s="12">
        <f>ROUND((IF(22&lt;=2,'Rate Card'!$AD$120,IF(22&lt;=5,'Rate Card'!$AE$120,IF(22&lt;=10,'Rate Card'!$AF$120,IF(22&lt;=15,'Rate Card'!$AG$120,IF(22&lt;=20,'Rate Card'!$AH$120,IF(22&lt;=35,'Rate Card'!$AH$120+(22-20)*'Rate Card'!$AI$120,'Rate Card'!$AK$120+(22-35)*'Rate Card'!$AJ$120)))))))*(1+'Rate Card'!$C$6),2)+ROUND(ROUND((IF(22&lt;=2,'Rate Card'!$AD$120,IF(22&lt;=5,'Rate Card'!$AE$120,IF(22&lt;=10,'Rate Card'!$AF$120,IF(22&lt;=15,'Rate Card'!$AG$120,IF(22&lt;=20,'Rate Card'!$AH$120,IF(22&lt;=35,'Rate Card'!$AH$120+(22-20)*'Rate Card'!$AI$120,'Rate Card'!$AK$120+(22-35)*'Rate Card'!$AJ$120)))))))*(1+'Rate Card'!$C$6),2)*(IF('Rate Card'!$G$6="YES",'Rate Card'!$E$6,0)+IF('Rate Card'!$K$6="YES",'Rate Card'!$I$6,0)),2)</f>
        <v/>
      </c>
    </row>
    <row r="27">
      <c r="A27" s="75" t="n">
        <v>23</v>
      </c>
      <c r="B27" s="23">
        <f>IF(23&lt;=5,'Rate Card'!$AD$20,'Rate Card'!$AD$20+(23-5)*'Rate Card'!$AE$20)</f>
        <v/>
      </c>
      <c r="C27" s="23">
        <f>ROUND((IF(23&lt;=5,'Rate Card'!$AD$20,'Rate Card'!$AD$20+(23-5)*'Rate Card'!$AE$20))*(1+'Rate Card'!$C$6),2)+ROUND(ROUND((IF(23&lt;=5,'Rate Card'!$AD$20,'Rate Card'!$AD$20+(23-5)*'Rate Card'!$AE$20))*(1+'Rate Card'!$C$6),2)*(IF('Rate Card'!$G$6="YES",'Rate Card'!$E$6,0)+IF('Rate Card'!$K$6="YES",'Rate Card'!$I$6,0)),2)</f>
        <v/>
      </c>
      <c r="D27" s="23">
        <f>IF(23&lt;=15,'Rate Card'!$AD$21,'Rate Card'!$AD$21+(23-15)*'Rate Card'!$AE$21)</f>
        <v/>
      </c>
      <c r="E27" s="23">
        <f>ROUND((IF(23&lt;=15,'Rate Card'!$AD$21,'Rate Card'!$AD$21+(23-15)*'Rate Card'!$AE$21))*(1+'Rate Card'!$C$6),2)+ROUND(ROUND((IF(23&lt;=15,'Rate Card'!$AD$21,'Rate Card'!$AD$21+(23-15)*'Rate Card'!$AE$21))*(1+'Rate Card'!$C$6),2)*(IF('Rate Card'!$G$6="YES",'Rate Card'!$E$6,0)+IF('Rate Card'!$K$6="YES",'Rate Card'!$I$6,0)),2)</f>
        <v/>
      </c>
      <c r="F27" s="23">
        <f>IF(23&lt;=2,'Rate Card'!$AD$22,IF(23&lt;=5,'Rate Card'!$AE$22,IF(23&lt;=10,'Rate Card'!$AF$22,IF(23&lt;=15,'Rate Card'!$AG$22,IF(23&lt;=20,'Rate Card'!$AH$22,IF(23&lt;=35,'Rate Card'!$AH$22+(23-20)*'Rate Card'!$AI$22,'Rate Card'!$AK$22+(23-35)*'Rate Card'!$AJ$22))))))</f>
        <v/>
      </c>
      <c r="G27" s="23">
        <f>ROUND((IF(23&lt;=2,'Rate Card'!$AD$22,IF(23&lt;=5,'Rate Card'!$AE$22,IF(23&lt;=10,'Rate Card'!$AF$22,IF(23&lt;=15,'Rate Card'!$AG$22,IF(23&lt;=20,'Rate Card'!$AH$22,IF(23&lt;=35,'Rate Card'!$AH$22+(23-20)*'Rate Card'!$AI$22,'Rate Card'!$AK$22+(23-35)*'Rate Card'!$AJ$22)))))))*(1+'Rate Card'!$C$6),2)+ROUND(ROUND((IF(23&lt;=2,'Rate Card'!$AD$22,IF(23&lt;=5,'Rate Card'!$AE$22,IF(23&lt;=10,'Rate Card'!$AF$22,IF(23&lt;=15,'Rate Card'!$AG$22,IF(23&lt;=20,'Rate Card'!$AH$22,IF(23&lt;=35,'Rate Card'!$AH$22+(23-20)*'Rate Card'!$AI$22,'Rate Card'!$AK$22+(23-35)*'Rate Card'!$AJ$22)))))))*(1+'Rate Card'!$C$6),2)*(IF('Rate Card'!$G$6="YES",'Rate Card'!$E$6,0)+IF('Rate Card'!$K$6="YES",'Rate Card'!$I$6,0)),2)</f>
        <v/>
      </c>
      <c r="H27" s="23">
        <f>IF(23&lt;=2,'Rate Card'!$AD$23,IF(23&lt;=5,'Rate Card'!$AE$23,IF(23&lt;=10,'Rate Card'!$AF$23,IF(23&lt;=15,'Rate Card'!$AG$23,IF(23&lt;=20,'Rate Card'!$AH$23,IF(23&lt;=35,'Rate Card'!$AH$23+(23-20)*'Rate Card'!$AI$23,'Rate Card'!$AK$23+(23-35)*'Rate Card'!$AJ$23))))))</f>
        <v/>
      </c>
      <c r="I27" s="23">
        <f>ROUND((IF(23&lt;=2,'Rate Card'!$AD$23,IF(23&lt;=5,'Rate Card'!$AE$23,IF(23&lt;=10,'Rate Card'!$AF$23,IF(23&lt;=15,'Rate Card'!$AG$23,IF(23&lt;=20,'Rate Card'!$AH$23,IF(23&lt;=35,'Rate Card'!$AH$23+(23-20)*'Rate Card'!$AI$23,'Rate Card'!$AK$23+(23-35)*'Rate Card'!$AJ$23)))))))*(1+'Rate Card'!$C$6),2)+ROUND(ROUND((IF(23&lt;=2,'Rate Card'!$AD$23,IF(23&lt;=5,'Rate Card'!$AE$23,IF(23&lt;=10,'Rate Card'!$AF$23,IF(23&lt;=15,'Rate Card'!$AG$23,IF(23&lt;=20,'Rate Card'!$AH$23,IF(23&lt;=35,'Rate Card'!$AH$23+(23-20)*'Rate Card'!$AI$23,'Rate Card'!$AK$23+(23-35)*'Rate Card'!$AJ$23)))))))*(1+'Rate Card'!$C$6),2)*(IF('Rate Card'!$G$6="YES",'Rate Card'!$E$6,0)+IF('Rate Card'!$K$6="YES",'Rate Card'!$I$6,0)),2)</f>
        <v/>
      </c>
      <c r="J27" s="23">
        <f>IF(23&lt;=5,'Rate Card'!$AD$117,'Rate Card'!$AD$117+(23-5)*'Rate Card'!$AE$117)</f>
        <v/>
      </c>
      <c r="K27" s="23">
        <f>ROUND((IF(23&lt;=5,'Rate Card'!$AD$117,'Rate Card'!$AD$117+(23-5)*'Rate Card'!$AE$117))*(1+'Rate Card'!$C$6),2)+ROUND(ROUND((IF(23&lt;=5,'Rate Card'!$AD$117,'Rate Card'!$AD$117+(23-5)*'Rate Card'!$AE$117))*(1+'Rate Card'!$C$6),2)*(IF('Rate Card'!$G$6="YES",'Rate Card'!$E$6,0)+IF('Rate Card'!$K$6="YES",'Rate Card'!$I$6,0)),2)</f>
        <v/>
      </c>
      <c r="L27" s="23">
        <f>IF(23&lt;=15,'Rate Card'!$AD$118,'Rate Card'!$AD$118+(23-15)*'Rate Card'!$AE$118)</f>
        <v/>
      </c>
      <c r="M27" s="23">
        <f>ROUND((IF(23&lt;=15,'Rate Card'!$AD$118,'Rate Card'!$AD$118+(23-15)*'Rate Card'!$AE$118))*(1+'Rate Card'!$C$6),2)+ROUND(ROUND((IF(23&lt;=15,'Rate Card'!$AD$118,'Rate Card'!$AD$118+(23-15)*'Rate Card'!$AE$118))*(1+'Rate Card'!$C$6),2)*(IF('Rate Card'!$G$6="YES",'Rate Card'!$E$6,0)+IF('Rate Card'!$K$6="YES",'Rate Card'!$I$6,0)),2)</f>
        <v/>
      </c>
      <c r="N27" s="23">
        <f>IF(23&lt;=2,'Rate Card'!$AD$119,IF(23&lt;=5,'Rate Card'!$AE$119,IF(23&lt;=10,'Rate Card'!$AF$119,IF(23&lt;=15,'Rate Card'!$AG$119,IF(23&lt;=20,'Rate Card'!$AH$119,IF(23&lt;=35,'Rate Card'!$AH$119+(23-20)*'Rate Card'!$AI$119,'Rate Card'!$AK$119+(23-35)*'Rate Card'!$AJ$119))))))</f>
        <v/>
      </c>
      <c r="O27" s="23">
        <f>ROUND((IF(23&lt;=2,'Rate Card'!$AD$119,IF(23&lt;=5,'Rate Card'!$AE$119,IF(23&lt;=10,'Rate Card'!$AF$119,IF(23&lt;=15,'Rate Card'!$AG$119,IF(23&lt;=20,'Rate Card'!$AH$119,IF(23&lt;=35,'Rate Card'!$AH$119+(23-20)*'Rate Card'!$AI$119,'Rate Card'!$AK$119+(23-35)*'Rate Card'!$AJ$119)))))))*(1+'Rate Card'!$C$6),2)+ROUND(ROUND((IF(23&lt;=2,'Rate Card'!$AD$119,IF(23&lt;=5,'Rate Card'!$AE$119,IF(23&lt;=10,'Rate Card'!$AF$119,IF(23&lt;=15,'Rate Card'!$AG$119,IF(23&lt;=20,'Rate Card'!$AH$119,IF(23&lt;=35,'Rate Card'!$AH$119+(23-20)*'Rate Card'!$AI$119,'Rate Card'!$AK$119+(23-35)*'Rate Card'!$AJ$119)))))))*(1+'Rate Card'!$C$6),2)*(IF('Rate Card'!$G$6="YES",'Rate Card'!$E$6,0)+IF('Rate Card'!$K$6="YES",'Rate Card'!$I$6,0)),2)</f>
        <v/>
      </c>
      <c r="P27" s="23">
        <f>IF(23&lt;=2,'Rate Card'!$AD$120,IF(23&lt;=5,'Rate Card'!$AE$120,IF(23&lt;=10,'Rate Card'!$AF$120,IF(23&lt;=15,'Rate Card'!$AG$120,IF(23&lt;=20,'Rate Card'!$AH$120,IF(23&lt;=35,'Rate Card'!$AH$120+(23-20)*'Rate Card'!$AI$120,'Rate Card'!$AK$120+(23-35)*'Rate Card'!$AJ$120))))))</f>
        <v/>
      </c>
      <c r="Q27" s="12">
        <f>ROUND((IF(23&lt;=2,'Rate Card'!$AD$120,IF(23&lt;=5,'Rate Card'!$AE$120,IF(23&lt;=10,'Rate Card'!$AF$120,IF(23&lt;=15,'Rate Card'!$AG$120,IF(23&lt;=20,'Rate Card'!$AH$120,IF(23&lt;=35,'Rate Card'!$AH$120+(23-20)*'Rate Card'!$AI$120,'Rate Card'!$AK$120+(23-35)*'Rate Card'!$AJ$120)))))))*(1+'Rate Card'!$C$6),2)+ROUND(ROUND((IF(23&lt;=2,'Rate Card'!$AD$120,IF(23&lt;=5,'Rate Card'!$AE$120,IF(23&lt;=10,'Rate Card'!$AF$120,IF(23&lt;=15,'Rate Card'!$AG$120,IF(23&lt;=20,'Rate Card'!$AH$120,IF(23&lt;=35,'Rate Card'!$AH$120+(23-20)*'Rate Card'!$AI$120,'Rate Card'!$AK$120+(23-35)*'Rate Card'!$AJ$120)))))))*(1+'Rate Card'!$C$6),2)*(IF('Rate Card'!$G$6="YES",'Rate Card'!$E$6,0)+IF('Rate Card'!$K$6="YES",'Rate Card'!$I$6,0)),2)</f>
        <v/>
      </c>
    </row>
    <row r="28">
      <c r="A28" s="75" t="n">
        <v>24</v>
      </c>
      <c r="B28" s="23">
        <f>IF(24&lt;=5,'Rate Card'!$AD$20,'Rate Card'!$AD$20+(24-5)*'Rate Card'!$AE$20)</f>
        <v/>
      </c>
      <c r="C28" s="23">
        <f>ROUND((IF(24&lt;=5,'Rate Card'!$AD$20,'Rate Card'!$AD$20+(24-5)*'Rate Card'!$AE$20))*(1+'Rate Card'!$C$6),2)+ROUND(ROUND((IF(24&lt;=5,'Rate Card'!$AD$20,'Rate Card'!$AD$20+(24-5)*'Rate Card'!$AE$20))*(1+'Rate Card'!$C$6),2)*(IF('Rate Card'!$G$6="YES",'Rate Card'!$E$6,0)+IF('Rate Card'!$K$6="YES",'Rate Card'!$I$6,0)),2)</f>
        <v/>
      </c>
      <c r="D28" s="23">
        <f>IF(24&lt;=15,'Rate Card'!$AD$21,'Rate Card'!$AD$21+(24-15)*'Rate Card'!$AE$21)</f>
        <v/>
      </c>
      <c r="E28" s="23">
        <f>ROUND((IF(24&lt;=15,'Rate Card'!$AD$21,'Rate Card'!$AD$21+(24-15)*'Rate Card'!$AE$21))*(1+'Rate Card'!$C$6),2)+ROUND(ROUND((IF(24&lt;=15,'Rate Card'!$AD$21,'Rate Card'!$AD$21+(24-15)*'Rate Card'!$AE$21))*(1+'Rate Card'!$C$6),2)*(IF('Rate Card'!$G$6="YES",'Rate Card'!$E$6,0)+IF('Rate Card'!$K$6="YES",'Rate Card'!$I$6,0)),2)</f>
        <v/>
      </c>
      <c r="F28" s="23">
        <f>IF(24&lt;=2,'Rate Card'!$AD$22,IF(24&lt;=5,'Rate Card'!$AE$22,IF(24&lt;=10,'Rate Card'!$AF$22,IF(24&lt;=15,'Rate Card'!$AG$22,IF(24&lt;=20,'Rate Card'!$AH$22,IF(24&lt;=35,'Rate Card'!$AH$22+(24-20)*'Rate Card'!$AI$22,'Rate Card'!$AK$22+(24-35)*'Rate Card'!$AJ$22))))))</f>
        <v/>
      </c>
      <c r="G28" s="23">
        <f>ROUND((IF(24&lt;=2,'Rate Card'!$AD$22,IF(24&lt;=5,'Rate Card'!$AE$22,IF(24&lt;=10,'Rate Card'!$AF$22,IF(24&lt;=15,'Rate Card'!$AG$22,IF(24&lt;=20,'Rate Card'!$AH$22,IF(24&lt;=35,'Rate Card'!$AH$22+(24-20)*'Rate Card'!$AI$22,'Rate Card'!$AK$22+(24-35)*'Rate Card'!$AJ$22)))))))*(1+'Rate Card'!$C$6),2)+ROUND(ROUND((IF(24&lt;=2,'Rate Card'!$AD$22,IF(24&lt;=5,'Rate Card'!$AE$22,IF(24&lt;=10,'Rate Card'!$AF$22,IF(24&lt;=15,'Rate Card'!$AG$22,IF(24&lt;=20,'Rate Card'!$AH$22,IF(24&lt;=35,'Rate Card'!$AH$22+(24-20)*'Rate Card'!$AI$22,'Rate Card'!$AK$22+(24-35)*'Rate Card'!$AJ$22)))))))*(1+'Rate Card'!$C$6),2)*(IF('Rate Card'!$G$6="YES",'Rate Card'!$E$6,0)+IF('Rate Card'!$K$6="YES",'Rate Card'!$I$6,0)),2)</f>
        <v/>
      </c>
      <c r="H28" s="23">
        <f>IF(24&lt;=2,'Rate Card'!$AD$23,IF(24&lt;=5,'Rate Card'!$AE$23,IF(24&lt;=10,'Rate Card'!$AF$23,IF(24&lt;=15,'Rate Card'!$AG$23,IF(24&lt;=20,'Rate Card'!$AH$23,IF(24&lt;=35,'Rate Card'!$AH$23+(24-20)*'Rate Card'!$AI$23,'Rate Card'!$AK$23+(24-35)*'Rate Card'!$AJ$23))))))</f>
        <v/>
      </c>
      <c r="I28" s="23">
        <f>ROUND((IF(24&lt;=2,'Rate Card'!$AD$23,IF(24&lt;=5,'Rate Card'!$AE$23,IF(24&lt;=10,'Rate Card'!$AF$23,IF(24&lt;=15,'Rate Card'!$AG$23,IF(24&lt;=20,'Rate Card'!$AH$23,IF(24&lt;=35,'Rate Card'!$AH$23+(24-20)*'Rate Card'!$AI$23,'Rate Card'!$AK$23+(24-35)*'Rate Card'!$AJ$23)))))))*(1+'Rate Card'!$C$6),2)+ROUND(ROUND((IF(24&lt;=2,'Rate Card'!$AD$23,IF(24&lt;=5,'Rate Card'!$AE$23,IF(24&lt;=10,'Rate Card'!$AF$23,IF(24&lt;=15,'Rate Card'!$AG$23,IF(24&lt;=20,'Rate Card'!$AH$23,IF(24&lt;=35,'Rate Card'!$AH$23+(24-20)*'Rate Card'!$AI$23,'Rate Card'!$AK$23+(24-35)*'Rate Card'!$AJ$23)))))))*(1+'Rate Card'!$C$6),2)*(IF('Rate Card'!$G$6="YES",'Rate Card'!$E$6,0)+IF('Rate Card'!$K$6="YES",'Rate Card'!$I$6,0)),2)</f>
        <v/>
      </c>
      <c r="J28" s="23">
        <f>IF(24&lt;=5,'Rate Card'!$AD$117,'Rate Card'!$AD$117+(24-5)*'Rate Card'!$AE$117)</f>
        <v/>
      </c>
      <c r="K28" s="23">
        <f>ROUND((IF(24&lt;=5,'Rate Card'!$AD$117,'Rate Card'!$AD$117+(24-5)*'Rate Card'!$AE$117))*(1+'Rate Card'!$C$6),2)+ROUND(ROUND((IF(24&lt;=5,'Rate Card'!$AD$117,'Rate Card'!$AD$117+(24-5)*'Rate Card'!$AE$117))*(1+'Rate Card'!$C$6),2)*(IF('Rate Card'!$G$6="YES",'Rate Card'!$E$6,0)+IF('Rate Card'!$K$6="YES",'Rate Card'!$I$6,0)),2)</f>
        <v/>
      </c>
      <c r="L28" s="23">
        <f>IF(24&lt;=15,'Rate Card'!$AD$118,'Rate Card'!$AD$118+(24-15)*'Rate Card'!$AE$118)</f>
        <v/>
      </c>
      <c r="M28" s="23">
        <f>ROUND((IF(24&lt;=15,'Rate Card'!$AD$118,'Rate Card'!$AD$118+(24-15)*'Rate Card'!$AE$118))*(1+'Rate Card'!$C$6),2)+ROUND(ROUND((IF(24&lt;=15,'Rate Card'!$AD$118,'Rate Card'!$AD$118+(24-15)*'Rate Card'!$AE$118))*(1+'Rate Card'!$C$6),2)*(IF('Rate Card'!$G$6="YES",'Rate Card'!$E$6,0)+IF('Rate Card'!$K$6="YES",'Rate Card'!$I$6,0)),2)</f>
        <v/>
      </c>
      <c r="N28" s="23">
        <f>IF(24&lt;=2,'Rate Card'!$AD$119,IF(24&lt;=5,'Rate Card'!$AE$119,IF(24&lt;=10,'Rate Card'!$AF$119,IF(24&lt;=15,'Rate Card'!$AG$119,IF(24&lt;=20,'Rate Card'!$AH$119,IF(24&lt;=35,'Rate Card'!$AH$119+(24-20)*'Rate Card'!$AI$119,'Rate Card'!$AK$119+(24-35)*'Rate Card'!$AJ$119))))))</f>
        <v/>
      </c>
      <c r="O28" s="23">
        <f>ROUND((IF(24&lt;=2,'Rate Card'!$AD$119,IF(24&lt;=5,'Rate Card'!$AE$119,IF(24&lt;=10,'Rate Card'!$AF$119,IF(24&lt;=15,'Rate Card'!$AG$119,IF(24&lt;=20,'Rate Card'!$AH$119,IF(24&lt;=35,'Rate Card'!$AH$119+(24-20)*'Rate Card'!$AI$119,'Rate Card'!$AK$119+(24-35)*'Rate Card'!$AJ$119)))))))*(1+'Rate Card'!$C$6),2)+ROUND(ROUND((IF(24&lt;=2,'Rate Card'!$AD$119,IF(24&lt;=5,'Rate Card'!$AE$119,IF(24&lt;=10,'Rate Card'!$AF$119,IF(24&lt;=15,'Rate Card'!$AG$119,IF(24&lt;=20,'Rate Card'!$AH$119,IF(24&lt;=35,'Rate Card'!$AH$119+(24-20)*'Rate Card'!$AI$119,'Rate Card'!$AK$119+(24-35)*'Rate Card'!$AJ$119)))))))*(1+'Rate Card'!$C$6),2)*(IF('Rate Card'!$G$6="YES",'Rate Card'!$E$6,0)+IF('Rate Card'!$K$6="YES",'Rate Card'!$I$6,0)),2)</f>
        <v/>
      </c>
      <c r="P28" s="23">
        <f>IF(24&lt;=2,'Rate Card'!$AD$120,IF(24&lt;=5,'Rate Card'!$AE$120,IF(24&lt;=10,'Rate Card'!$AF$120,IF(24&lt;=15,'Rate Card'!$AG$120,IF(24&lt;=20,'Rate Card'!$AH$120,IF(24&lt;=35,'Rate Card'!$AH$120+(24-20)*'Rate Card'!$AI$120,'Rate Card'!$AK$120+(24-35)*'Rate Card'!$AJ$120))))))</f>
        <v/>
      </c>
      <c r="Q28" s="12">
        <f>ROUND((IF(24&lt;=2,'Rate Card'!$AD$120,IF(24&lt;=5,'Rate Card'!$AE$120,IF(24&lt;=10,'Rate Card'!$AF$120,IF(24&lt;=15,'Rate Card'!$AG$120,IF(24&lt;=20,'Rate Card'!$AH$120,IF(24&lt;=35,'Rate Card'!$AH$120+(24-20)*'Rate Card'!$AI$120,'Rate Card'!$AK$120+(24-35)*'Rate Card'!$AJ$120)))))))*(1+'Rate Card'!$C$6),2)+ROUND(ROUND((IF(24&lt;=2,'Rate Card'!$AD$120,IF(24&lt;=5,'Rate Card'!$AE$120,IF(24&lt;=10,'Rate Card'!$AF$120,IF(24&lt;=15,'Rate Card'!$AG$120,IF(24&lt;=20,'Rate Card'!$AH$120,IF(24&lt;=35,'Rate Card'!$AH$120+(24-20)*'Rate Card'!$AI$120,'Rate Card'!$AK$120+(24-35)*'Rate Card'!$AJ$120)))))))*(1+'Rate Card'!$C$6),2)*(IF('Rate Card'!$G$6="YES",'Rate Card'!$E$6,0)+IF('Rate Card'!$K$6="YES",'Rate Card'!$I$6,0)),2)</f>
        <v/>
      </c>
    </row>
    <row r="29">
      <c r="A29" s="75" t="n">
        <v>25</v>
      </c>
      <c r="B29" s="23">
        <f>IF(25&lt;=5,'Rate Card'!$AD$20,'Rate Card'!$AD$20+(25-5)*'Rate Card'!$AE$20)</f>
        <v/>
      </c>
      <c r="C29" s="23">
        <f>ROUND((IF(25&lt;=5,'Rate Card'!$AD$20,'Rate Card'!$AD$20+(25-5)*'Rate Card'!$AE$20))*(1+'Rate Card'!$C$6),2)+ROUND(ROUND((IF(25&lt;=5,'Rate Card'!$AD$20,'Rate Card'!$AD$20+(25-5)*'Rate Card'!$AE$20))*(1+'Rate Card'!$C$6),2)*(IF('Rate Card'!$G$6="YES",'Rate Card'!$E$6,0)+IF('Rate Card'!$K$6="YES",'Rate Card'!$I$6,0)),2)</f>
        <v/>
      </c>
      <c r="D29" s="23">
        <f>IF(25&lt;=15,'Rate Card'!$AD$21,'Rate Card'!$AD$21+(25-15)*'Rate Card'!$AE$21)</f>
        <v/>
      </c>
      <c r="E29" s="23">
        <f>ROUND((IF(25&lt;=15,'Rate Card'!$AD$21,'Rate Card'!$AD$21+(25-15)*'Rate Card'!$AE$21))*(1+'Rate Card'!$C$6),2)+ROUND(ROUND((IF(25&lt;=15,'Rate Card'!$AD$21,'Rate Card'!$AD$21+(25-15)*'Rate Card'!$AE$21))*(1+'Rate Card'!$C$6),2)*(IF('Rate Card'!$G$6="YES",'Rate Card'!$E$6,0)+IF('Rate Card'!$K$6="YES",'Rate Card'!$I$6,0)),2)</f>
        <v/>
      </c>
      <c r="F29" s="23">
        <f>IF(25&lt;=2,'Rate Card'!$AD$22,IF(25&lt;=5,'Rate Card'!$AE$22,IF(25&lt;=10,'Rate Card'!$AF$22,IF(25&lt;=15,'Rate Card'!$AG$22,IF(25&lt;=20,'Rate Card'!$AH$22,IF(25&lt;=35,'Rate Card'!$AH$22+(25-20)*'Rate Card'!$AI$22,'Rate Card'!$AK$22+(25-35)*'Rate Card'!$AJ$22))))))</f>
        <v/>
      </c>
      <c r="G29" s="23">
        <f>ROUND((IF(25&lt;=2,'Rate Card'!$AD$22,IF(25&lt;=5,'Rate Card'!$AE$22,IF(25&lt;=10,'Rate Card'!$AF$22,IF(25&lt;=15,'Rate Card'!$AG$22,IF(25&lt;=20,'Rate Card'!$AH$22,IF(25&lt;=35,'Rate Card'!$AH$22+(25-20)*'Rate Card'!$AI$22,'Rate Card'!$AK$22+(25-35)*'Rate Card'!$AJ$22)))))))*(1+'Rate Card'!$C$6),2)+ROUND(ROUND((IF(25&lt;=2,'Rate Card'!$AD$22,IF(25&lt;=5,'Rate Card'!$AE$22,IF(25&lt;=10,'Rate Card'!$AF$22,IF(25&lt;=15,'Rate Card'!$AG$22,IF(25&lt;=20,'Rate Card'!$AH$22,IF(25&lt;=35,'Rate Card'!$AH$22+(25-20)*'Rate Card'!$AI$22,'Rate Card'!$AK$22+(25-35)*'Rate Card'!$AJ$22)))))))*(1+'Rate Card'!$C$6),2)*(IF('Rate Card'!$G$6="YES",'Rate Card'!$E$6,0)+IF('Rate Card'!$K$6="YES",'Rate Card'!$I$6,0)),2)</f>
        <v/>
      </c>
      <c r="H29" s="23">
        <f>IF(25&lt;=2,'Rate Card'!$AD$23,IF(25&lt;=5,'Rate Card'!$AE$23,IF(25&lt;=10,'Rate Card'!$AF$23,IF(25&lt;=15,'Rate Card'!$AG$23,IF(25&lt;=20,'Rate Card'!$AH$23,IF(25&lt;=35,'Rate Card'!$AH$23+(25-20)*'Rate Card'!$AI$23,'Rate Card'!$AK$23+(25-35)*'Rate Card'!$AJ$23))))))</f>
        <v/>
      </c>
      <c r="I29" s="23">
        <f>ROUND((IF(25&lt;=2,'Rate Card'!$AD$23,IF(25&lt;=5,'Rate Card'!$AE$23,IF(25&lt;=10,'Rate Card'!$AF$23,IF(25&lt;=15,'Rate Card'!$AG$23,IF(25&lt;=20,'Rate Card'!$AH$23,IF(25&lt;=35,'Rate Card'!$AH$23+(25-20)*'Rate Card'!$AI$23,'Rate Card'!$AK$23+(25-35)*'Rate Card'!$AJ$23)))))))*(1+'Rate Card'!$C$6),2)+ROUND(ROUND((IF(25&lt;=2,'Rate Card'!$AD$23,IF(25&lt;=5,'Rate Card'!$AE$23,IF(25&lt;=10,'Rate Card'!$AF$23,IF(25&lt;=15,'Rate Card'!$AG$23,IF(25&lt;=20,'Rate Card'!$AH$23,IF(25&lt;=35,'Rate Card'!$AH$23+(25-20)*'Rate Card'!$AI$23,'Rate Card'!$AK$23+(25-35)*'Rate Card'!$AJ$23)))))))*(1+'Rate Card'!$C$6),2)*(IF('Rate Card'!$G$6="YES",'Rate Card'!$E$6,0)+IF('Rate Card'!$K$6="YES",'Rate Card'!$I$6,0)),2)</f>
        <v/>
      </c>
      <c r="J29" s="23">
        <f>IF(25&lt;=5,'Rate Card'!$AD$117,'Rate Card'!$AD$117+(25-5)*'Rate Card'!$AE$117)</f>
        <v/>
      </c>
      <c r="K29" s="23">
        <f>ROUND((IF(25&lt;=5,'Rate Card'!$AD$117,'Rate Card'!$AD$117+(25-5)*'Rate Card'!$AE$117))*(1+'Rate Card'!$C$6),2)+ROUND(ROUND((IF(25&lt;=5,'Rate Card'!$AD$117,'Rate Card'!$AD$117+(25-5)*'Rate Card'!$AE$117))*(1+'Rate Card'!$C$6),2)*(IF('Rate Card'!$G$6="YES",'Rate Card'!$E$6,0)+IF('Rate Card'!$K$6="YES",'Rate Card'!$I$6,0)),2)</f>
        <v/>
      </c>
      <c r="L29" s="23">
        <f>IF(25&lt;=15,'Rate Card'!$AD$118,'Rate Card'!$AD$118+(25-15)*'Rate Card'!$AE$118)</f>
        <v/>
      </c>
      <c r="M29" s="23">
        <f>ROUND((IF(25&lt;=15,'Rate Card'!$AD$118,'Rate Card'!$AD$118+(25-15)*'Rate Card'!$AE$118))*(1+'Rate Card'!$C$6),2)+ROUND(ROUND((IF(25&lt;=15,'Rate Card'!$AD$118,'Rate Card'!$AD$118+(25-15)*'Rate Card'!$AE$118))*(1+'Rate Card'!$C$6),2)*(IF('Rate Card'!$G$6="YES",'Rate Card'!$E$6,0)+IF('Rate Card'!$K$6="YES",'Rate Card'!$I$6,0)),2)</f>
        <v/>
      </c>
      <c r="N29" s="23">
        <f>IF(25&lt;=2,'Rate Card'!$AD$119,IF(25&lt;=5,'Rate Card'!$AE$119,IF(25&lt;=10,'Rate Card'!$AF$119,IF(25&lt;=15,'Rate Card'!$AG$119,IF(25&lt;=20,'Rate Card'!$AH$119,IF(25&lt;=35,'Rate Card'!$AH$119+(25-20)*'Rate Card'!$AI$119,'Rate Card'!$AK$119+(25-35)*'Rate Card'!$AJ$119))))))</f>
        <v/>
      </c>
      <c r="O29" s="23">
        <f>ROUND((IF(25&lt;=2,'Rate Card'!$AD$119,IF(25&lt;=5,'Rate Card'!$AE$119,IF(25&lt;=10,'Rate Card'!$AF$119,IF(25&lt;=15,'Rate Card'!$AG$119,IF(25&lt;=20,'Rate Card'!$AH$119,IF(25&lt;=35,'Rate Card'!$AH$119+(25-20)*'Rate Card'!$AI$119,'Rate Card'!$AK$119+(25-35)*'Rate Card'!$AJ$119)))))))*(1+'Rate Card'!$C$6),2)+ROUND(ROUND((IF(25&lt;=2,'Rate Card'!$AD$119,IF(25&lt;=5,'Rate Card'!$AE$119,IF(25&lt;=10,'Rate Card'!$AF$119,IF(25&lt;=15,'Rate Card'!$AG$119,IF(25&lt;=20,'Rate Card'!$AH$119,IF(25&lt;=35,'Rate Card'!$AH$119+(25-20)*'Rate Card'!$AI$119,'Rate Card'!$AK$119+(25-35)*'Rate Card'!$AJ$119)))))))*(1+'Rate Card'!$C$6),2)*(IF('Rate Card'!$G$6="YES",'Rate Card'!$E$6,0)+IF('Rate Card'!$K$6="YES",'Rate Card'!$I$6,0)),2)</f>
        <v/>
      </c>
      <c r="P29" s="23">
        <f>IF(25&lt;=2,'Rate Card'!$AD$120,IF(25&lt;=5,'Rate Card'!$AE$120,IF(25&lt;=10,'Rate Card'!$AF$120,IF(25&lt;=15,'Rate Card'!$AG$120,IF(25&lt;=20,'Rate Card'!$AH$120,IF(25&lt;=35,'Rate Card'!$AH$120+(25-20)*'Rate Card'!$AI$120,'Rate Card'!$AK$120+(25-35)*'Rate Card'!$AJ$120))))))</f>
        <v/>
      </c>
      <c r="Q29" s="12">
        <f>ROUND((IF(25&lt;=2,'Rate Card'!$AD$120,IF(25&lt;=5,'Rate Card'!$AE$120,IF(25&lt;=10,'Rate Card'!$AF$120,IF(25&lt;=15,'Rate Card'!$AG$120,IF(25&lt;=20,'Rate Card'!$AH$120,IF(25&lt;=35,'Rate Card'!$AH$120+(25-20)*'Rate Card'!$AI$120,'Rate Card'!$AK$120+(25-35)*'Rate Card'!$AJ$120)))))))*(1+'Rate Card'!$C$6),2)+ROUND(ROUND((IF(25&lt;=2,'Rate Card'!$AD$120,IF(25&lt;=5,'Rate Card'!$AE$120,IF(25&lt;=10,'Rate Card'!$AF$120,IF(25&lt;=15,'Rate Card'!$AG$120,IF(25&lt;=20,'Rate Card'!$AH$120,IF(25&lt;=35,'Rate Card'!$AH$120+(25-20)*'Rate Card'!$AI$120,'Rate Card'!$AK$120+(25-35)*'Rate Card'!$AJ$120)))))))*(1+'Rate Card'!$C$6),2)*(IF('Rate Card'!$G$6="YES",'Rate Card'!$E$6,0)+IF('Rate Card'!$K$6="YES",'Rate Card'!$I$6,0)),2)</f>
        <v/>
      </c>
    </row>
    <row r="30">
      <c r="A30" s="75" t="n">
        <v>26</v>
      </c>
      <c r="B30" s="23">
        <f>IF(26&lt;=5,'Rate Card'!$AD$20,'Rate Card'!$AD$20+(26-5)*'Rate Card'!$AE$20)</f>
        <v/>
      </c>
      <c r="C30" s="23">
        <f>ROUND((IF(26&lt;=5,'Rate Card'!$AD$20,'Rate Card'!$AD$20+(26-5)*'Rate Card'!$AE$20))*(1+'Rate Card'!$C$6),2)+ROUND(ROUND((IF(26&lt;=5,'Rate Card'!$AD$20,'Rate Card'!$AD$20+(26-5)*'Rate Card'!$AE$20))*(1+'Rate Card'!$C$6),2)*(IF('Rate Card'!$G$6="YES",'Rate Card'!$E$6,0)+IF('Rate Card'!$K$6="YES",'Rate Card'!$I$6,0)),2)</f>
        <v/>
      </c>
      <c r="D30" s="23">
        <f>IF(26&lt;=15,'Rate Card'!$AD$21,'Rate Card'!$AD$21+(26-15)*'Rate Card'!$AE$21)</f>
        <v/>
      </c>
      <c r="E30" s="23">
        <f>ROUND((IF(26&lt;=15,'Rate Card'!$AD$21,'Rate Card'!$AD$21+(26-15)*'Rate Card'!$AE$21))*(1+'Rate Card'!$C$6),2)+ROUND(ROUND((IF(26&lt;=15,'Rate Card'!$AD$21,'Rate Card'!$AD$21+(26-15)*'Rate Card'!$AE$21))*(1+'Rate Card'!$C$6),2)*(IF('Rate Card'!$G$6="YES",'Rate Card'!$E$6,0)+IF('Rate Card'!$K$6="YES",'Rate Card'!$I$6,0)),2)</f>
        <v/>
      </c>
      <c r="F30" s="23">
        <f>IF(26&lt;=2,'Rate Card'!$AD$22,IF(26&lt;=5,'Rate Card'!$AE$22,IF(26&lt;=10,'Rate Card'!$AF$22,IF(26&lt;=15,'Rate Card'!$AG$22,IF(26&lt;=20,'Rate Card'!$AH$22,IF(26&lt;=35,'Rate Card'!$AH$22+(26-20)*'Rate Card'!$AI$22,'Rate Card'!$AK$22+(26-35)*'Rate Card'!$AJ$22))))))</f>
        <v/>
      </c>
      <c r="G30" s="23">
        <f>ROUND((IF(26&lt;=2,'Rate Card'!$AD$22,IF(26&lt;=5,'Rate Card'!$AE$22,IF(26&lt;=10,'Rate Card'!$AF$22,IF(26&lt;=15,'Rate Card'!$AG$22,IF(26&lt;=20,'Rate Card'!$AH$22,IF(26&lt;=35,'Rate Card'!$AH$22+(26-20)*'Rate Card'!$AI$22,'Rate Card'!$AK$22+(26-35)*'Rate Card'!$AJ$22)))))))*(1+'Rate Card'!$C$6),2)+ROUND(ROUND((IF(26&lt;=2,'Rate Card'!$AD$22,IF(26&lt;=5,'Rate Card'!$AE$22,IF(26&lt;=10,'Rate Card'!$AF$22,IF(26&lt;=15,'Rate Card'!$AG$22,IF(26&lt;=20,'Rate Card'!$AH$22,IF(26&lt;=35,'Rate Card'!$AH$22+(26-20)*'Rate Card'!$AI$22,'Rate Card'!$AK$22+(26-35)*'Rate Card'!$AJ$22)))))))*(1+'Rate Card'!$C$6),2)*(IF('Rate Card'!$G$6="YES",'Rate Card'!$E$6,0)+IF('Rate Card'!$K$6="YES",'Rate Card'!$I$6,0)),2)</f>
        <v/>
      </c>
      <c r="H30" s="23">
        <f>IF(26&lt;=2,'Rate Card'!$AD$23,IF(26&lt;=5,'Rate Card'!$AE$23,IF(26&lt;=10,'Rate Card'!$AF$23,IF(26&lt;=15,'Rate Card'!$AG$23,IF(26&lt;=20,'Rate Card'!$AH$23,IF(26&lt;=35,'Rate Card'!$AH$23+(26-20)*'Rate Card'!$AI$23,'Rate Card'!$AK$23+(26-35)*'Rate Card'!$AJ$23))))))</f>
        <v/>
      </c>
      <c r="I30" s="23">
        <f>ROUND((IF(26&lt;=2,'Rate Card'!$AD$23,IF(26&lt;=5,'Rate Card'!$AE$23,IF(26&lt;=10,'Rate Card'!$AF$23,IF(26&lt;=15,'Rate Card'!$AG$23,IF(26&lt;=20,'Rate Card'!$AH$23,IF(26&lt;=35,'Rate Card'!$AH$23+(26-20)*'Rate Card'!$AI$23,'Rate Card'!$AK$23+(26-35)*'Rate Card'!$AJ$23)))))))*(1+'Rate Card'!$C$6),2)+ROUND(ROUND((IF(26&lt;=2,'Rate Card'!$AD$23,IF(26&lt;=5,'Rate Card'!$AE$23,IF(26&lt;=10,'Rate Card'!$AF$23,IF(26&lt;=15,'Rate Card'!$AG$23,IF(26&lt;=20,'Rate Card'!$AH$23,IF(26&lt;=35,'Rate Card'!$AH$23+(26-20)*'Rate Card'!$AI$23,'Rate Card'!$AK$23+(26-35)*'Rate Card'!$AJ$23)))))))*(1+'Rate Card'!$C$6),2)*(IF('Rate Card'!$G$6="YES",'Rate Card'!$E$6,0)+IF('Rate Card'!$K$6="YES",'Rate Card'!$I$6,0)),2)</f>
        <v/>
      </c>
      <c r="J30" s="23">
        <f>IF(26&lt;=5,'Rate Card'!$AD$117,'Rate Card'!$AD$117+(26-5)*'Rate Card'!$AE$117)</f>
        <v/>
      </c>
      <c r="K30" s="23">
        <f>ROUND((IF(26&lt;=5,'Rate Card'!$AD$117,'Rate Card'!$AD$117+(26-5)*'Rate Card'!$AE$117))*(1+'Rate Card'!$C$6),2)+ROUND(ROUND((IF(26&lt;=5,'Rate Card'!$AD$117,'Rate Card'!$AD$117+(26-5)*'Rate Card'!$AE$117))*(1+'Rate Card'!$C$6),2)*(IF('Rate Card'!$G$6="YES",'Rate Card'!$E$6,0)+IF('Rate Card'!$K$6="YES",'Rate Card'!$I$6,0)),2)</f>
        <v/>
      </c>
      <c r="L30" s="23">
        <f>IF(26&lt;=15,'Rate Card'!$AD$118,'Rate Card'!$AD$118+(26-15)*'Rate Card'!$AE$118)</f>
        <v/>
      </c>
      <c r="M30" s="23">
        <f>ROUND((IF(26&lt;=15,'Rate Card'!$AD$118,'Rate Card'!$AD$118+(26-15)*'Rate Card'!$AE$118))*(1+'Rate Card'!$C$6),2)+ROUND(ROUND((IF(26&lt;=15,'Rate Card'!$AD$118,'Rate Card'!$AD$118+(26-15)*'Rate Card'!$AE$118))*(1+'Rate Card'!$C$6),2)*(IF('Rate Card'!$G$6="YES",'Rate Card'!$E$6,0)+IF('Rate Card'!$K$6="YES",'Rate Card'!$I$6,0)),2)</f>
        <v/>
      </c>
      <c r="N30" s="23">
        <f>IF(26&lt;=2,'Rate Card'!$AD$119,IF(26&lt;=5,'Rate Card'!$AE$119,IF(26&lt;=10,'Rate Card'!$AF$119,IF(26&lt;=15,'Rate Card'!$AG$119,IF(26&lt;=20,'Rate Card'!$AH$119,IF(26&lt;=35,'Rate Card'!$AH$119+(26-20)*'Rate Card'!$AI$119,'Rate Card'!$AK$119+(26-35)*'Rate Card'!$AJ$119))))))</f>
        <v/>
      </c>
      <c r="O30" s="23">
        <f>ROUND((IF(26&lt;=2,'Rate Card'!$AD$119,IF(26&lt;=5,'Rate Card'!$AE$119,IF(26&lt;=10,'Rate Card'!$AF$119,IF(26&lt;=15,'Rate Card'!$AG$119,IF(26&lt;=20,'Rate Card'!$AH$119,IF(26&lt;=35,'Rate Card'!$AH$119+(26-20)*'Rate Card'!$AI$119,'Rate Card'!$AK$119+(26-35)*'Rate Card'!$AJ$119)))))))*(1+'Rate Card'!$C$6),2)+ROUND(ROUND((IF(26&lt;=2,'Rate Card'!$AD$119,IF(26&lt;=5,'Rate Card'!$AE$119,IF(26&lt;=10,'Rate Card'!$AF$119,IF(26&lt;=15,'Rate Card'!$AG$119,IF(26&lt;=20,'Rate Card'!$AH$119,IF(26&lt;=35,'Rate Card'!$AH$119+(26-20)*'Rate Card'!$AI$119,'Rate Card'!$AK$119+(26-35)*'Rate Card'!$AJ$119)))))))*(1+'Rate Card'!$C$6),2)*(IF('Rate Card'!$G$6="YES",'Rate Card'!$E$6,0)+IF('Rate Card'!$K$6="YES",'Rate Card'!$I$6,0)),2)</f>
        <v/>
      </c>
      <c r="P30" s="23">
        <f>IF(26&lt;=2,'Rate Card'!$AD$120,IF(26&lt;=5,'Rate Card'!$AE$120,IF(26&lt;=10,'Rate Card'!$AF$120,IF(26&lt;=15,'Rate Card'!$AG$120,IF(26&lt;=20,'Rate Card'!$AH$120,IF(26&lt;=35,'Rate Card'!$AH$120+(26-20)*'Rate Card'!$AI$120,'Rate Card'!$AK$120+(26-35)*'Rate Card'!$AJ$120))))))</f>
        <v/>
      </c>
      <c r="Q30" s="12">
        <f>ROUND((IF(26&lt;=2,'Rate Card'!$AD$120,IF(26&lt;=5,'Rate Card'!$AE$120,IF(26&lt;=10,'Rate Card'!$AF$120,IF(26&lt;=15,'Rate Card'!$AG$120,IF(26&lt;=20,'Rate Card'!$AH$120,IF(26&lt;=35,'Rate Card'!$AH$120+(26-20)*'Rate Card'!$AI$120,'Rate Card'!$AK$120+(26-35)*'Rate Card'!$AJ$120)))))))*(1+'Rate Card'!$C$6),2)+ROUND(ROUND((IF(26&lt;=2,'Rate Card'!$AD$120,IF(26&lt;=5,'Rate Card'!$AE$120,IF(26&lt;=10,'Rate Card'!$AF$120,IF(26&lt;=15,'Rate Card'!$AG$120,IF(26&lt;=20,'Rate Card'!$AH$120,IF(26&lt;=35,'Rate Card'!$AH$120+(26-20)*'Rate Card'!$AI$120,'Rate Card'!$AK$120+(26-35)*'Rate Card'!$AJ$120)))))))*(1+'Rate Card'!$C$6),2)*(IF('Rate Card'!$G$6="YES",'Rate Card'!$E$6,0)+IF('Rate Card'!$K$6="YES",'Rate Card'!$I$6,0)),2)</f>
        <v/>
      </c>
    </row>
    <row r="31">
      <c r="A31" s="75" t="n">
        <v>27</v>
      </c>
      <c r="B31" s="23">
        <f>IF(27&lt;=5,'Rate Card'!$AD$20,'Rate Card'!$AD$20+(27-5)*'Rate Card'!$AE$20)</f>
        <v/>
      </c>
      <c r="C31" s="23">
        <f>ROUND((IF(27&lt;=5,'Rate Card'!$AD$20,'Rate Card'!$AD$20+(27-5)*'Rate Card'!$AE$20))*(1+'Rate Card'!$C$6),2)+ROUND(ROUND((IF(27&lt;=5,'Rate Card'!$AD$20,'Rate Card'!$AD$20+(27-5)*'Rate Card'!$AE$20))*(1+'Rate Card'!$C$6),2)*(IF('Rate Card'!$G$6="YES",'Rate Card'!$E$6,0)+IF('Rate Card'!$K$6="YES",'Rate Card'!$I$6,0)),2)</f>
        <v/>
      </c>
      <c r="D31" s="23">
        <f>IF(27&lt;=15,'Rate Card'!$AD$21,'Rate Card'!$AD$21+(27-15)*'Rate Card'!$AE$21)</f>
        <v/>
      </c>
      <c r="E31" s="23">
        <f>ROUND((IF(27&lt;=15,'Rate Card'!$AD$21,'Rate Card'!$AD$21+(27-15)*'Rate Card'!$AE$21))*(1+'Rate Card'!$C$6),2)+ROUND(ROUND((IF(27&lt;=15,'Rate Card'!$AD$21,'Rate Card'!$AD$21+(27-15)*'Rate Card'!$AE$21))*(1+'Rate Card'!$C$6),2)*(IF('Rate Card'!$G$6="YES",'Rate Card'!$E$6,0)+IF('Rate Card'!$K$6="YES",'Rate Card'!$I$6,0)),2)</f>
        <v/>
      </c>
      <c r="F31" s="23">
        <f>IF(27&lt;=2,'Rate Card'!$AD$22,IF(27&lt;=5,'Rate Card'!$AE$22,IF(27&lt;=10,'Rate Card'!$AF$22,IF(27&lt;=15,'Rate Card'!$AG$22,IF(27&lt;=20,'Rate Card'!$AH$22,IF(27&lt;=35,'Rate Card'!$AH$22+(27-20)*'Rate Card'!$AI$22,'Rate Card'!$AK$22+(27-35)*'Rate Card'!$AJ$22))))))</f>
        <v/>
      </c>
      <c r="G31" s="23">
        <f>ROUND((IF(27&lt;=2,'Rate Card'!$AD$22,IF(27&lt;=5,'Rate Card'!$AE$22,IF(27&lt;=10,'Rate Card'!$AF$22,IF(27&lt;=15,'Rate Card'!$AG$22,IF(27&lt;=20,'Rate Card'!$AH$22,IF(27&lt;=35,'Rate Card'!$AH$22+(27-20)*'Rate Card'!$AI$22,'Rate Card'!$AK$22+(27-35)*'Rate Card'!$AJ$22)))))))*(1+'Rate Card'!$C$6),2)+ROUND(ROUND((IF(27&lt;=2,'Rate Card'!$AD$22,IF(27&lt;=5,'Rate Card'!$AE$22,IF(27&lt;=10,'Rate Card'!$AF$22,IF(27&lt;=15,'Rate Card'!$AG$22,IF(27&lt;=20,'Rate Card'!$AH$22,IF(27&lt;=35,'Rate Card'!$AH$22+(27-20)*'Rate Card'!$AI$22,'Rate Card'!$AK$22+(27-35)*'Rate Card'!$AJ$22)))))))*(1+'Rate Card'!$C$6),2)*(IF('Rate Card'!$G$6="YES",'Rate Card'!$E$6,0)+IF('Rate Card'!$K$6="YES",'Rate Card'!$I$6,0)),2)</f>
        <v/>
      </c>
      <c r="H31" s="23">
        <f>IF(27&lt;=2,'Rate Card'!$AD$23,IF(27&lt;=5,'Rate Card'!$AE$23,IF(27&lt;=10,'Rate Card'!$AF$23,IF(27&lt;=15,'Rate Card'!$AG$23,IF(27&lt;=20,'Rate Card'!$AH$23,IF(27&lt;=35,'Rate Card'!$AH$23+(27-20)*'Rate Card'!$AI$23,'Rate Card'!$AK$23+(27-35)*'Rate Card'!$AJ$23))))))</f>
        <v/>
      </c>
      <c r="I31" s="23">
        <f>ROUND((IF(27&lt;=2,'Rate Card'!$AD$23,IF(27&lt;=5,'Rate Card'!$AE$23,IF(27&lt;=10,'Rate Card'!$AF$23,IF(27&lt;=15,'Rate Card'!$AG$23,IF(27&lt;=20,'Rate Card'!$AH$23,IF(27&lt;=35,'Rate Card'!$AH$23+(27-20)*'Rate Card'!$AI$23,'Rate Card'!$AK$23+(27-35)*'Rate Card'!$AJ$23)))))))*(1+'Rate Card'!$C$6),2)+ROUND(ROUND((IF(27&lt;=2,'Rate Card'!$AD$23,IF(27&lt;=5,'Rate Card'!$AE$23,IF(27&lt;=10,'Rate Card'!$AF$23,IF(27&lt;=15,'Rate Card'!$AG$23,IF(27&lt;=20,'Rate Card'!$AH$23,IF(27&lt;=35,'Rate Card'!$AH$23+(27-20)*'Rate Card'!$AI$23,'Rate Card'!$AK$23+(27-35)*'Rate Card'!$AJ$23)))))))*(1+'Rate Card'!$C$6),2)*(IF('Rate Card'!$G$6="YES",'Rate Card'!$E$6,0)+IF('Rate Card'!$K$6="YES",'Rate Card'!$I$6,0)),2)</f>
        <v/>
      </c>
      <c r="J31" s="23">
        <f>IF(27&lt;=5,'Rate Card'!$AD$117,'Rate Card'!$AD$117+(27-5)*'Rate Card'!$AE$117)</f>
        <v/>
      </c>
      <c r="K31" s="23">
        <f>ROUND((IF(27&lt;=5,'Rate Card'!$AD$117,'Rate Card'!$AD$117+(27-5)*'Rate Card'!$AE$117))*(1+'Rate Card'!$C$6),2)+ROUND(ROUND((IF(27&lt;=5,'Rate Card'!$AD$117,'Rate Card'!$AD$117+(27-5)*'Rate Card'!$AE$117))*(1+'Rate Card'!$C$6),2)*(IF('Rate Card'!$G$6="YES",'Rate Card'!$E$6,0)+IF('Rate Card'!$K$6="YES",'Rate Card'!$I$6,0)),2)</f>
        <v/>
      </c>
      <c r="L31" s="23">
        <f>IF(27&lt;=15,'Rate Card'!$AD$118,'Rate Card'!$AD$118+(27-15)*'Rate Card'!$AE$118)</f>
        <v/>
      </c>
      <c r="M31" s="23">
        <f>ROUND((IF(27&lt;=15,'Rate Card'!$AD$118,'Rate Card'!$AD$118+(27-15)*'Rate Card'!$AE$118))*(1+'Rate Card'!$C$6),2)+ROUND(ROUND((IF(27&lt;=15,'Rate Card'!$AD$118,'Rate Card'!$AD$118+(27-15)*'Rate Card'!$AE$118))*(1+'Rate Card'!$C$6),2)*(IF('Rate Card'!$G$6="YES",'Rate Card'!$E$6,0)+IF('Rate Card'!$K$6="YES",'Rate Card'!$I$6,0)),2)</f>
        <v/>
      </c>
      <c r="N31" s="23">
        <f>IF(27&lt;=2,'Rate Card'!$AD$119,IF(27&lt;=5,'Rate Card'!$AE$119,IF(27&lt;=10,'Rate Card'!$AF$119,IF(27&lt;=15,'Rate Card'!$AG$119,IF(27&lt;=20,'Rate Card'!$AH$119,IF(27&lt;=35,'Rate Card'!$AH$119+(27-20)*'Rate Card'!$AI$119,'Rate Card'!$AK$119+(27-35)*'Rate Card'!$AJ$119))))))</f>
        <v/>
      </c>
      <c r="O31" s="23">
        <f>ROUND((IF(27&lt;=2,'Rate Card'!$AD$119,IF(27&lt;=5,'Rate Card'!$AE$119,IF(27&lt;=10,'Rate Card'!$AF$119,IF(27&lt;=15,'Rate Card'!$AG$119,IF(27&lt;=20,'Rate Card'!$AH$119,IF(27&lt;=35,'Rate Card'!$AH$119+(27-20)*'Rate Card'!$AI$119,'Rate Card'!$AK$119+(27-35)*'Rate Card'!$AJ$119)))))))*(1+'Rate Card'!$C$6),2)+ROUND(ROUND((IF(27&lt;=2,'Rate Card'!$AD$119,IF(27&lt;=5,'Rate Card'!$AE$119,IF(27&lt;=10,'Rate Card'!$AF$119,IF(27&lt;=15,'Rate Card'!$AG$119,IF(27&lt;=20,'Rate Card'!$AH$119,IF(27&lt;=35,'Rate Card'!$AH$119+(27-20)*'Rate Card'!$AI$119,'Rate Card'!$AK$119+(27-35)*'Rate Card'!$AJ$119)))))))*(1+'Rate Card'!$C$6),2)*(IF('Rate Card'!$G$6="YES",'Rate Card'!$E$6,0)+IF('Rate Card'!$K$6="YES",'Rate Card'!$I$6,0)),2)</f>
        <v/>
      </c>
      <c r="P31" s="23">
        <f>IF(27&lt;=2,'Rate Card'!$AD$120,IF(27&lt;=5,'Rate Card'!$AE$120,IF(27&lt;=10,'Rate Card'!$AF$120,IF(27&lt;=15,'Rate Card'!$AG$120,IF(27&lt;=20,'Rate Card'!$AH$120,IF(27&lt;=35,'Rate Card'!$AH$120+(27-20)*'Rate Card'!$AI$120,'Rate Card'!$AK$120+(27-35)*'Rate Card'!$AJ$120))))))</f>
        <v/>
      </c>
      <c r="Q31" s="12">
        <f>ROUND((IF(27&lt;=2,'Rate Card'!$AD$120,IF(27&lt;=5,'Rate Card'!$AE$120,IF(27&lt;=10,'Rate Card'!$AF$120,IF(27&lt;=15,'Rate Card'!$AG$120,IF(27&lt;=20,'Rate Card'!$AH$120,IF(27&lt;=35,'Rate Card'!$AH$120+(27-20)*'Rate Card'!$AI$120,'Rate Card'!$AK$120+(27-35)*'Rate Card'!$AJ$120)))))))*(1+'Rate Card'!$C$6),2)+ROUND(ROUND((IF(27&lt;=2,'Rate Card'!$AD$120,IF(27&lt;=5,'Rate Card'!$AE$120,IF(27&lt;=10,'Rate Card'!$AF$120,IF(27&lt;=15,'Rate Card'!$AG$120,IF(27&lt;=20,'Rate Card'!$AH$120,IF(27&lt;=35,'Rate Card'!$AH$120+(27-20)*'Rate Card'!$AI$120,'Rate Card'!$AK$120+(27-35)*'Rate Card'!$AJ$120)))))))*(1+'Rate Card'!$C$6),2)*(IF('Rate Card'!$G$6="YES",'Rate Card'!$E$6,0)+IF('Rate Card'!$K$6="YES",'Rate Card'!$I$6,0)),2)</f>
        <v/>
      </c>
    </row>
    <row r="32">
      <c r="A32" s="75" t="n">
        <v>28</v>
      </c>
      <c r="B32" s="23">
        <f>IF(28&lt;=5,'Rate Card'!$AD$20,'Rate Card'!$AD$20+(28-5)*'Rate Card'!$AE$20)</f>
        <v/>
      </c>
      <c r="C32" s="23">
        <f>ROUND((IF(28&lt;=5,'Rate Card'!$AD$20,'Rate Card'!$AD$20+(28-5)*'Rate Card'!$AE$20))*(1+'Rate Card'!$C$6),2)+ROUND(ROUND((IF(28&lt;=5,'Rate Card'!$AD$20,'Rate Card'!$AD$20+(28-5)*'Rate Card'!$AE$20))*(1+'Rate Card'!$C$6),2)*(IF('Rate Card'!$G$6="YES",'Rate Card'!$E$6,0)+IF('Rate Card'!$K$6="YES",'Rate Card'!$I$6,0)),2)</f>
        <v/>
      </c>
      <c r="D32" s="23">
        <f>IF(28&lt;=15,'Rate Card'!$AD$21,'Rate Card'!$AD$21+(28-15)*'Rate Card'!$AE$21)</f>
        <v/>
      </c>
      <c r="E32" s="23">
        <f>ROUND((IF(28&lt;=15,'Rate Card'!$AD$21,'Rate Card'!$AD$21+(28-15)*'Rate Card'!$AE$21))*(1+'Rate Card'!$C$6),2)+ROUND(ROUND((IF(28&lt;=15,'Rate Card'!$AD$21,'Rate Card'!$AD$21+(28-15)*'Rate Card'!$AE$21))*(1+'Rate Card'!$C$6),2)*(IF('Rate Card'!$G$6="YES",'Rate Card'!$E$6,0)+IF('Rate Card'!$K$6="YES",'Rate Card'!$I$6,0)),2)</f>
        <v/>
      </c>
      <c r="F32" s="23">
        <f>IF(28&lt;=2,'Rate Card'!$AD$22,IF(28&lt;=5,'Rate Card'!$AE$22,IF(28&lt;=10,'Rate Card'!$AF$22,IF(28&lt;=15,'Rate Card'!$AG$22,IF(28&lt;=20,'Rate Card'!$AH$22,IF(28&lt;=35,'Rate Card'!$AH$22+(28-20)*'Rate Card'!$AI$22,'Rate Card'!$AK$22+(28-35)*'Rate Card'!$AJ$22))))))</f>
        <v/>
      </c>
      <c r="G32" s="23">
        <f>ROUND((IF(28&lt;=2,'Rate Card'!$AD$22,IF(28&lt;=5,'Rate Card'!$AE$22,IF(28&lt;=10,'Rate Card'!$AF$22,IF(28&lt;=15,'Rate Card'!$AG$22,IF(28&lt;=20,'Rate Card'!$AH$22,IF(28&lt;=35,'Rate Card'!$AH$22+(28-20)*'Rate Card'!$AI$22,'Rate Card'!$AK$22+(28-35)*'Rate Card'!$AJ$22)))))))*(1+'Rate Card'!$C$6),2)+ROUND(ROUND((IF(28&lt;=2,'Rate Card'!$AD$22,IF(28&lt;=5,'Rate Card'!$AE$22,IF(28&lt;=10,'Rate Card'!$AF$22,IF(28&lt;=15,'Rate Card'!$AG$22,IF(28&lt;=20,'Rate Card'!$AH$22,IF(28&lt;=35,'Rate Card'!$AH$22+(28-20)*'Rate Card'!$AI$22,'Rate Card'!$AK$22+(28-35)*'Rate Card'!$AJ$22)))))))*(1+'Rate Card'!$C$6),2)*(IF('Rate Card'!$G$6="YES",'Rate Card'!$E$6,0)+IF('Rate Card'!$K$6="YES",'Rate Card'!$I$6,0)),2)</f>
        <v/>
      </c>
      <c r="H32" s="23">
        <f>IF(28&lt;=2,'Rate Card'!$AD$23,IF(28&lt;=5,'Rate Card'!$AE$23,IF(28&lt;=10,'Rate Card'!$AF$23,IF(28&lt;=15,'Rate Card'!$AG$23,IF(28&lt;=20,'Rate Card'!$AH$23,IF(28&lt;=35,'Rate Card'!$AH$23+(28-20)*'Rate Card'!$AI$23,'Rate Card'!$AK$23+(28-35)*'Rate Card'!$AJ$23))))))</f>
        <v/>
      </c>
      <c r="I32" s="23">
        <f>ROUND((IF(28&lt;=2,'Rate Card'!$AD$23,IF(28&lt;=5,'Rate Card'!$AE$23,IF(28&lt;=10,'Rate Card'!$AF$23,IF(28&lt;=15,'Rate Card'!$AG$23,IF(28&lt;=20,'Rate Card'!$AH$23,IF(28&lt;=35,'Rate Card'!$AH$23+(28-20)*'Rate Card'!$AI$23,'Rate Card'!$AK$23+(28-35)*'Rate Card'!$AJ$23)))))))*(1+'Rate Card'!$C$6),2)+ROUND(ROUND((IF(28&lt;=2,'Rate Card'!$AD$23,IF(28&lt;=5,'Rate Card'!$AE$23,IF(28&lt;=10,'Rate Card'!$AF$23,IF(28&lt;=15,'Rate Card'!$AG$23,IF(28&lt;=20,'Rate Card'!$AH$23,IF(28&lt;=35,'Rate Card'!$AH$23+(28-20)*'Rate Card'!$AI$23,'Rate Card'!$AK$23+(28-35)*'Rate Card'!$AJ$23)))))))*(1+'Rate Card'!$C$6),2)*(IF('Rate Card'!$G$6="YES",'Rate Card'!$E$6,0)+IF('Rate Card'!$K$6="YES",'Rate Card'!$I$6,0)),2)</f>
        <v/>
      </c>
      <c r="J32" s="23">
        <f>IF(28&lt;=5,'Rate Card'!$AD$117,'Rate Card'!$AD$117+(28-5)*'Rate Card'!$AE$117)</f>
        <v/>
      </c>
      <c r="K32" s="23">
        <f>ROUND((IF(28&lt;=5,'Rate Card'!$AD$117,'Rate Card'!$AD$117+(28-5)*'Rate Card'!$AE$117))*(1+'Rate Card'!$C$6),2)+ROUND(ROUND((IF(28&lt;=5,'Rate Card'!$AD$117,'Rate Card'!$AD$117+(28-5)*'Rate Card'!$AE$117))*(1+'Rate Card'!$C$6),2)*(IF('Rate Card'!$G$6="YES",'Rate Card'!$E$6,0)+IF('Rate Card'!$K$6="YES",'Rate Card'!$I$6,0)),2)</f>
        <v/>
      </c>
      <c r="L32" s="23">
        <f>IF(28&lt;=15,'Rate Card'!$AD$118,'Rate Card'!$AD$118+(28-15)*'Rate Card'!$AE$118)</f>
        <v/>
      </c>
      <c r="M32" s="23">
        <f>ROUND((IF(28&lt;=15,'Rate Card'!$AD$118,'Rate Card'!$AD$118+(28-15)*'Rate Card'!$AE$118))*(1+'Rate Card'!$C$6),2)+ROUND(ROUND((IF(28&lt;=15,'Rate Card'!$AD$118,'Rate Card'!$AD$118+(28-15)*'Rate Card'!$AE$118))*(1+'Rate Card'!$C$6),2)*(IF('Rate Card'!$G$6="YES",'Rate Card'!$E$6,0)+IF('Rate Card'!$K$6="YES",'Rate Card'!$I$6,0)),2)</f>
        <v/>
      </c>
      <c r="N32" s="23">
        <f>IF(28&lt;=2,'Rate Card'!$AD$119,IF(28&lt;=5,'Rate Card'!$AE$119,IF(28&lt;=10,'Rate Card'!$AF$119,IF(28&lt;=15,'Rate Card'!$AG$119,IF(28&lt;=20,'Rate Card'!$AH$119,IF(28&lt;=35,'Rate Card'!$AH$119+(28-20)*'Rate Card'!$AI$119,'Rate Card'!$AK$119+(28-35)*'Rate Card'!$AJ$119))))))</f>
        <v/>
      </c>
      <c r="O32" s="23">
        <f>ROUND((IF(28&lt;=2,'Rate Card'!$AD$119,IF(28&lt;=5,'Rate Card'!$AE$119,IF(28&lt;=10,'Rate Card'!$AF$119,IF(28&lt;=15,'Rate Card'!$AG$119,IF(28&lt;=20,'Rate Card'!$AH$119,IF(28&lt;=35,'Rate Card'!$AH$119+(28-20)*'Rate Card'!$AI$119,'Rate Card'!$AK$119+(28-35)*'Rate Card'!$AJ$119)))))))*(1+'Rate Card'!$C$6),2)+ROUND(ROUND((IF(28&lt;=2,'Rate Card'!$AD$119,IF(28&lt;=5,'Rate Card'!$AE$119,IF(28&lt;=10,'Rate Card'!$AF$119,IF(28&lt;=15,'Rate Card'!$AG$119,IF(28&lt;=20,'Rate Card'!$AH$119,IF(28&lt;=35,'Rate Card'!$AH$119+(28-20)*'Rate Card'!$AI$119,'Rate Card'!$AK$119+(28-35)*'Rate Card'!$AJ$119)))))))*(1+'Rate Card'!$C$6),2)*(IF('Rate Card'!$G$6="YES",'Rate Card'!$E$6,0)+IF('Rate Card'!$K$6="YES",'Rate Card'!$I$6,0)),2)</f>
        <v/>
      </c>
      <c r="P32" s="23">
        <f>IF(28&lt;=2,'Rate Card'!$AD$120,IF(28&lt;=5,'Rate Card'!$AE$120,IF(28&lt;=10,'Rate Card'!$AF$120,IF(28&lt;=15,'Rate Card'!$AG$120,IF(28&lt;=20,'Rate Card'!$AH$120,IF(28&lt;=35,'Rate Card'!$AH$120+(28-20)*'Rate Card'!$AI$120,'Rate Card'!$AK$120+(28-35)*'Rate Card'!$AJ$120))))))</f>
        <v/>
      </c>
      <c r="Q32" s="12">
        <f>ROUND((IF(28&lt;=2,'Rate Card'!$AD$120,IF(28&lt;=5,'Rate Card'!$AE$120,IF(28&lt;=10,'Rate Card'!$AF$120,IF(28&lt;=15,'Rate Card'!$AG$120,IF(28&lt;=20,'Rate Card'!$AH$120,IF(28&lt;=35,'Rate Card'!$AH$120+(28-20)*'Rate Card'!$AI$120,'Rate Card'!$AK$120+(28-35)*'Rate Card'!$AJ$120)))))))*(1+'Rate Card'!$C$6),2)+ROUND(ROUND((IF(28&lt;=2,'Rate Card'!$AD$120,IF(28&lt;=5,'Rate Card'!$AE$120,IF(28&lt;=10,'Rate Card'!$AF$120,IF(28&lt;=15,'Rate Card'!$AG$120,IF(28&lt;=20,'Rate Card'!$AH$120,IF(28&lt;=35,'Rate Card'!$AH$120+(28-20)*'Rate Card'!$AI$120,'Rate Card'!$AK$120+(28-35)*'Rate Card'!$AJ$120)))))))*(1+'Rate Card'!$C$6),2)*(IF('Rate Card'!$G$6="YES",'Rate Card'!$E$6,0)+IF('Rate Card'!$K$6="YES",'Rate Card'!$I$6,0)),2)</f>
        <v/>
      </c>
    </row>
    <row r="33">
      <c r="A33" s="75" t="n">
        <v>29</v>
      </c>
      <c r="B33" s="23">
        <f>IF(29&lt;=5,'Rate Card'!$AD$20,'Rate Card'!$AD$20+(29-5)*'Rate Card'!$AE$20)</f>
        <v/>
      </c>
      <c r="C33" s="23">
        <f>ROUND((IF(29&lt;=5,'Rate Card'!$AD$20,'Rate Card'!$AD$20+(29-5)*'Rate Card'!$AE$20))*(1+'Rate Card'!$C$6),2)+ROUND(ROUND((IF(29&lt;=5,'Rate Card'!$AD$20,'Rate Card'!$AD$20+(29-5)*'Rate Card'!$AE$20))*(1+'Rate Card'!$C$6),2)*(IF('Rate Card'!$G$6="YES",'Rate Card'!$E$6,0)+IF('Rate Card'!$K$6="YES",'Rate Card'!$I$6,0)),2)</f>
        <v/>
      </c>
      <c r="D33" s="23">
        <f>IF(29&lt;=15,'Rate Card'!$AD$21,'Rate Card'!$AD$21+(29-15)*'Rate Card'!$AE$21)</f>
        <v/>
      </c>
      <c r="E33" s="23">
        <f>ROUND((IF(29&lt;=15,'Rate Card'!$AD$21,'Rate Card'!$AD$21+(29-15)*'Rate Card'!$AE$21))*(1+'Rate Card'!$C$6),2)+ROUND(ROUND((IF(29&lt;=15,'Rate Card'!$AD$21,'Rate Card'!$AD$21+(29-15)*'Rate Card'!$AE$21))*(1+'Rate Card'!$C$6),2)*(IF('Rate Card'!$G$6="YES",'Rate Card'!$E$6,0)+IF('Rate Card'!$K$6="YES",'Rate Card'!$I$6,0)),2)</f>
        <v/>
      </c>
      <c r="F33" s="23">
        <f>IF(29&lt;=2,'Rate Card'!$AD$22,IF(29&lt;=5,'Rate Card'!$AE$22,IF(29&lt;=10,'Rate Card'!$AF$22,IF(29&lt;=15,'Rate Card'!$AG$22,IF(29&lt;=20,'Rate Card'!$AH$22,IF(29&lt;=35,'Rate Card'!$AH$22+(29-20)*'Rate Card'!$AI$22,'Rate Card'!$AK$22+(29-35)*'Rate Card'!$AJ$22))))))</f>
        <v/>
      </c>
      <c r="G33" s="23">
        <f>ROUND((IF(29&lt;=2,'Rate Card'!$AD$22,IF(29&lt;=5,'Rate Card'!$AE$22,IF(29&lt;=10,'Rate Card'!$AF$22,IF(29&lt;=15,'Rate Card'!$AG$22,IF(29&lt;=20,'Rate Card'!$AH$22,IF(29&lt;=35,'Rate Card'!$AH$22+(29-20)*'Rate Card'!$AI$22,'Rate Card'!$AK$22+(29-35)*'Rate Card'!$AJ$22)))))))*(1+'Rate Card'!$C$6),2)+ROUND(ROUND((IF(29&lt;=2,'Rate Card'!$AD$22,IF(29&lt;=5,'Rate Card'!$AE$22,IF(29&lt;=10,'Rate Card'!$AF$22,IF(29&lt;=15,'Rate Card'!$AG$22,IF(29&lt;=20,'Rate Card'!$AH$22,IF(29&lt;=35,'Rate Card'!$AH$22+(29-20)*'Rate Card'!$AI$22,'Rate Card'!$AK$22+(29-35)*'Rate Card'!$AJ$22)))))))*(1+'Rate Card'!$C$6),2)*(IF('Rate Card'!$G$6="YES",'Rate Card'!$E$6,0)+IF('Rate Card'!$K$6="YES",'Rate Card'!$I$6,0)),2)</f>
        <v/>
      </c>
      <c r="H33" s="23">
        <f>IF(29&lt;=2,'Rate Card'!$AD$23,IF(29&lt;=5,'Rate Card'!$AE$23,IF(29&lt;=10,'Rate Card'!$AF$23,IF(29&lt;=15,'Rate Card'!$AG$23,IF(29&lt;=20,'Rate Card'!$AH$23,IF(29&lt;=35,'Rate Card'!$AH$23+(29-20)*'Rate Card'!$AI$23,'Rate Card'!$AK$23+(29-35)*'Rate Card'!$AJ$23))))))</f>
        <v/>
      </c>
      <c r="I33" s="23">
        <f>ROUND((IF(29&lt;=2,'Rate Card'!$AD$23,IF(29&lt;=5,'Rate Card'!$AE$23,IF(29&lt;=10,'Rate Card'!$AF$23,IF(29&lt;=15,'Rate Card'!$AG$23,IF(29&lt;=20,'Rate Card'!$AH$23,IF(29&lt;=35,'Rate Card'!$AH$23+(29-20)*'Rate Card'!$AI$23,'Rate Card'!$AK$23+(29-35)*'Rate Card'!$AJ$23)))))))*(1+'Rate Card'!$C$6),2)+ROUND(ROUND((IF(29&lt;=2,'Rate Card'!$AD$23,IF(29&lt;=5,'Rate Card'!$AE$23,IF(29&lt;=10,'Rate Card'!$AF$23,IF(29&lt;=15,'Rate Card'!$AG$23,IF(29&lt;=20,'Rate Card'!$AH$23,IF(29&lt;=35,'Rate Card'!$AH$23+(29-20)*'Rate Card'!$AI$23,'Rate Card'!$AK$23+(29-35)*'Rate Card'!$AJ$23)))))))*(1+'Rate Card'!$C$6),2)*(IF('Rate Card'!$G$6="YES",'Rate Card'!$E$6,0)+IF('Rate Card'!$K$6="YES",'Rate Card'!$I$6,0)),2)</f>
        <v/>
      </c>
      <c r="J33" s="23">
        <f>IF(29&lt;=5,'Rate Card'!$AD$117,'Rate Card'!$AD$117+(29-5)*'Rate Card'!$AE$117)</f>
        <v/>
      </c>
      <c r="K33" s="23">
        <f>ROUND((IF(29&lt;=5,'Rate Card'!$AD$117,'Rate Card'!$AD$117+(29-5)*'Rate Card'!$AE$117))*(1+'Rate Card'!$C$6),2)+ROUND(ROUND((IF(29&lt;=5,'Rate Card'!$AD$117,'Rate Card'!$AD$117+(29-5)*'Rate Card'!$AE$117))*(1+'Rate Card'!$C$6),2)*(IF('Rate Card'!$G$6="YES",'Rate Card'!$E$6,0)+IF('Rate Card'!$K$6="YES",'Rate Card'!$I$6,0)),2)</f>
        <v/>
      </c>
      <c r="L33" s="23">
        <f>IF(29&lt;=15,'Rate Card'!$AD$118,'Rate Card'!$AD$118+(29-15)*'Rate Card'!$AE$118)</f>
        <v/>
      </c>
      <c r="M33" s="23">
        <f>ROUND((IF(29&lt;=15,'Rate Card'!$AD$118,'Rate Card'!$AD$118+(29-15)*'Rate Card'!$AE$118))*(1+'Rate Card'!$C$6),2)+ROUND(ROUND((IF(29&lt;=15,'Rate Card'!$AD$118,'Rate Card'!$AD$118+(29-15)*'Rate Card'!$AE$118))*(1+'Rate Card'!$C$6),2)*(IF('Rate Card'!$G$6="YES",'Rate Card'!$E$6,0)+IF('Rate Card'!$K$6="YES",'Rate Card'!$I$6,0)),2)</f>
        <v/>
      </c>
      <c r="N33" s="23">
        <f>IF(29&lt;=2,'Rate Card'!$AD$119,IF(29&lt;=5,'Rate Card'!$AE$119,IF(29&lt;=10,'Rate Card'!$AF$119,IF(29&lt;=15,'Rate Card'!$AG$119,IF(29&lt;=20,'Rate Card'!$AH$119,IF(29&lt;=35,'Rate Card'!$AH$119+(29-20)*'Rate Card'!$AI$119,'Rate Card'!$AK$119+(29-35)*'Rate Card'!$AJ$119))))))</f>
        <v/>
      </c>
      <c r="O33" s="23">
        <f>ROUND((IF(29&lt;=2,'Rate Card'!$AD$119,IF(29&lt;=5,'Rate Card'!$AE$119,IF(29&lt;=10,'Rate Card'!$AF$119,IF(29&lt;=15,'Rate Card'!$AG$119,IF(29&lt;=20,'Rate Card'!$AH$119,IF(29&lt;=35,'Rate Card'!$AH$119+(29-20)*'Rate Card'!$AI$119,'Rate Card'!$AK$119+(29-35)*'Rate Card'!$AJ$119)))))))*(1+'Rate Card'!$C$6),2)+ROUND(ROUND((IF(29&lt;=2,'Rate Card'!$AD$119,IF(29&lt;=5,'Rate Card'!$AE$119,IF(29&lt;=10,'Rate Card'!$AF$119,IF(29&lt;=15,'Rate Card'!$AG$119,IF(29&lt;=20,'Rate Card'!$AH$119,IF(29&lt;=35,'Rate Card'!$AH$119+(29-20)*'Rate Card'!$AI$119,'Rate Card'!$AK$119+(29-35)*'Rate Card'!$AJ$119)))))))*(1+'Rate Card'!$C$6),2)*(IF('Rate Card'!$G$6="YES",'Rate Card'!$E$6,0)+IF('Rate Card'!$K$6="YES",'Rate Card'!$I$6,0)),2)</f>
        <v/>
      </c>
      <c r="P33" s="23">
        <f>IF(29&lt;=2,'Rate Card'!$AD$120,IF(29&lt;=5,'Rate Card'!$AE$120,IF(29&lt;=10,'Rate Card'!$AF$120,IF(29&lt;=15,'Rate Card'!$AG$120,IF(29&lt;=20,'Rate Card'!$AH$120,IF(29&lt;=35,'Rate Card'!$AH$120+(29-20)*'Rate Card'!$AI$120,'Rate Card'!$AK$120+(29-35)*'Rate Card'!$AJ$120))))))</f>
        <v/>
      </c>
      <c r="Q33" s="12">
        <f>ROUND((IF(29&lt;=2,'Rate Card'!$AD$120,IF(29&lt;=5,'Rate Card'!$AE$120,IF(29&lt;=10,'Rate Card'!$AF$120,IF(29&lt;=15,'Rate Card'!$AG$120,IF(29&lt;=20,'Rate Card'!$AH$120,IF(29&lt;=35,'Rate Card'!$AH$120+(29-20)*'Rate Card'!$AI$120,'Rate Card'!$AK$120+(29-35)*'Rate Card'!$AJ$120)))))))*(1+'Rate Card'!$C$6),2)+ROUND(ROUND((IF(29&lt;=2,'Rate Card'!$AD$120,IF(29&lt;=5,'Rate Card'!$AE$120,IF(29&lt;=10,'Rate Card'!$AF$120,IF(29&lt;=15,'Rate Card'!$AG$120,IF(29&lt;=20,'Rate Card'!$AH$120,IF(29&lt;=35,'Rate Card'!$AH$120+(29-20)*'Rate Card'!$AI$120,'Rate Card'!$AK$120+(29-35)*'Rate Card'!$AJ$120)))))))*(1+'Rate Card'!$C$6),2)*(IF('Rate Card'!$G$6="YES",'Rate Card'!$E$6,0)+IF('Rate Card'!$K$6="YES",'Rate Card'!$I$6,0)),2)</f>
        <v/>
      </c>
    </row>
    <row r="34">
      <c r="A34" s="75" t="n">
        <v>30</v>
      </c>
      <c r="B34" s="23">
        <f>IF(30&lt;=5,'Rate Card'!$AD$20,'Rate Card'!$AD$20+(30-5)*'Rate Card'!$AE$20)</f>
        <v/>
      </c>
      <c r="C34" s="23">
        <f>ROUND((IF(30&lt;=5,'Rate Card'!$AD$20,'Rate Card'!$AD$20+(30-5)*'Rate Card'!$AE$20))*(1+'Rate Card'!$C$6),2)+ROUND(ROUND((IF(30&lt;=5,'Rate Card'!$AD$20,'Rate Card'!$AD$20+(30-5)*'Rate Card'!$AE$20))*(1+'Rate Card'!$C$6),2)*(IF('Rate Card'!$G$6="YES",'Rate Card'!$E$6,0)+IF('Rate Card'!$K$6="YES",'Rate Card'!$I$6,0)),2)</f>
        <v/>
      </c>
      <c r="D34" s="23">
        <f>IF(30&lt;=15,'Rate Card'!$AD$21,'Rate Card'!$AD$21+(30-15)*'Rate Card'!$AE$21)</f>
        <v/>
      </c>
      <c r="E34" s="23">
        <f>ROUND((IF(30&lt;=15,'Rate Card'!$AD$21,'Rate Card'!$AD$21+(30-15)*'Rate Card'!$AE$21))*(1+'Rate Card'!$C$6),2)+ROUND(ROUND((IF(30&lt;=15,'Rate Card'!$AD$21,'Rate Card'!$AD$21+(30-15)*'Rate Card'!$AE$21))*(1+'Rate Card'!$C$6),2)*(IF('Rate Card'!$G$6="YES",'Rate Card'!$E$6,0)+IF('Rate Card'!$K$6="YES",'Rate Card'!$I$6,0)),2)</f>
        <v/>
      </c>
      <c r="F34" s="23">
        <f>IF(30&lt;=2,'Rate Card'!$AD$22,IF(30&lt;=5,'Rate Card'!$AE$22,IF(30&lt;=10,'Rate Card'!$AF$22,IF(30&lt;=15,'Rate Card'!$AG$22,IF(30&lt;=20,'Rate Card'!$AH$22,IF(30&lt;=35,'Rate Card'!$AH$22+(30-20)*'Rate Card'!$AI$22,'Rate Card'!$AK$22+(30-35)*'Rate Card'!$AJ$22))))))</f>
        <v/>
      </c>
      <c r="G34" s="23">
        <f>ROUND((IF(30&lt;=2,'Rate Card'!$AD$22,IF(30&lt;=5,'Rate Card'!$AE$22,IF(30&lt;=10,'Rate Card'!$AF$22,IF(30&lt;=15,'Rate Card'!$AG$22,IF(30&lt;=20,'Rate Card'!$AH$22,IF(30&lt;=35,'Rate Card'!$AH$22+(30-20)*'Rate Card'!$AI$22,'Rate Card'!$AK$22+(30-35)*'Rate Card'!$AJ$22)))))))*(1+'Rate Card'!$C$6),2)+ROUND(ROUND((IF(30&lt;=2,'Rate Card'!$AD$22,IF(30&lt;=5,'Rate Card'!$AE$22,IF(30&lt;=10,'Rate Card'!$AF$22,IF(30&lt;=15,'Rate Card'!$AG$22,IF(30&lt;=20,'Rate Card'!$AH$22,IF(30&lt;=35,'Rate Card'!$AH$22+(30-20)*'Rate Card'!$AI$22,'Rate Card'!$AK$22+(30-35)*'Rate Card'!$AJ$22)))))))*(1+'Rate Card'!$C$6),2)*(IF('Rate Card'!$G$6="YES",'Rate Card'!$E$6,0)+IF('Rate Card'!$K$6="YES",'Rate Card'!$I$6,0)),2)</f>
        <v/>
      </c>
      <c r="H34" s="23">
        <f>IF(30&lt;=2,'Rate Card'!$AD$23,IF(30&lt;=5,'Rate Card'!$AE$23,IF(30&lt;=10,'Rate Card'!$AF$23,IF(30&lt;=15,'Rate Card'!$AG$23,IF(30&lt;=20,'Rate Card'!$AH$23,IF(30&lt;=35,'Rate Card'!$AH$23+(30-20)*'Rate Card'!$AI$23,'Rate Card'!$AK$23+(30-35)*'Rate Card'!$AJ$23))))))</f>
        <v/>
      </c>
      <c r="I34" s="23">
        <f>ROUND((IF(30&lt;=2,'Rate Card'!$AD$23,IF(30&lt;=5,'Rate Card'!$AE$23,IF(30&lt;=10,'Rate Card'!$AF$23,IF(30&lt;=15,'Rate Card'!$AG$23,IF(30&lt;=20,'Rate Card'!$AH$23,IF(30&lt;=35,'Rate Card'!$AH$23+(30-20)*'Rate Card'!$AI$23,'Rate Card'!$AK$23+(30-35)*'Rate Card'!$AJ$23)))))))*(1+'Rate Card'!$C$6),2)+ROUND(ROUND((IF(30&lt;=2,'Rate Card'!$AD$23,IF(30&lt;=5,'Rate Card'!$AE$23,IF(30&lt;=10,'Rate Card'!$AF$23,IF(30&lt;=15,'Rate Card'!$AG$23,IF(30&lt;=20,'Rate Card'!$AH$23,IF(30&lt;=35,'Rate Card'!$AH$23+(30-20)*'Rate Card'!$AI$23,'Rate Card'!$AK$23+(30-35)*'Rate Card'!$AJ$23)))))))*(1+'Rate Card'!$C$6),2)*(IF('Rate Card'!$G$6="YES",'Rate Card'!$E$6,0)+IF('Rate Card'!$K$6="YES",'Rate Card'!$I$6,0)),2)</f>
        <v/>
      </c>
      <c r="J34" s="23">
        <f>IF(30&lt;=5,'Rate Card'!$AD$117,'Rate Card'!$AD$117+(30-5)*'Rate Card'!$AE$117)</f>
        <v/>
      </c>
      <c r="K34" s="23">
        <f>ROUND((IF(30&lt;=5,'Rate Card'!$AD$117,'Rate Card'!$AD$117+(30-5)*'Rate Card'!$AE$117))*(1+'Rate Card'!$C$6),2)+ROUND(ROUND((IF(30&lt;=5,'Rate Card'!$AD$117,'Rate Card'!$AD$117+(30-5)*'Rate Card'!$AE$117))*(1+'Rate Card'!$C$6),2)*(IF('Rate Card'!$G$6="YES",'Rate Card'!$E$6,0)+IF('Rate Card'!$K$6="YES",'Rate Card'!$I$6,0)),2)</f>
        <v/>
      </c>
      <c r="L34" s="23">
        <f>IF(30&lt;=15,'Rate Card'!$AD$118,'Rate Card'!$AD$118+(30-15)*'Rate Card'!$AE$118)</f>
        <v/>
      </c>
      <c r="M34" s="23">
        <f>ROUND((IF(30&lt;=15,'Rate Card'!$AD$118,'Rate Card'!$AD$118+(30-15)*'Rate Card'!$AE$118))*(1+'Rate Card'!$C$6),2)+ROUND(ROUND((IF(30&lt;=15,'Rate Card'!$AD$118,'Rate Card'!$AD$118+(30-15)*'Rate Card'!$AE$118))*(1+'Rate Card'!$C$6),2)*(IF('Rate Card'!$G$6="YES",'Rate Card'!$E$6,0)+IF('Rate Card'!$K$6="YES",'Rate Card'!$I$6,0)),2)</f>
        <v/>
      </c>
      <c r="N34" s="23">
        <f>IF(30&lt;=2,'Rate Card'!$AD$119,IF(30&lt;=5,'Rate Card'!$AE$119,IF(30&lt;=10,'Rate Card'!$AF$119,IF(30&lt;=15,'Rate Card'!$AG$119,IF(30&lt;=20,'Rate Card'!$AH$119,IF(30&lt;=35,'Rate Card'!$AH$119+(30-20)*'Rate Card'!$AI$119,'Rate Card'!$AK$119+(30-35)*'Rate Card'!$AJ$119))))))</f>
        <v/>
      </c>
      <c r="O34" s="23">
        <f>ROUND((IF(30&lt;=2,'Rate Card'!$AD$119,IF(30&lt;=5,'Rate Card'!$AE$119,IF(30&lt;=10,'Rate Card'!$AF$119,IF(30&lt;=15,'Rate Card'!$AG$119,IF(30&lt;=20,'Rate Card'!$AH$119,IF(30&lt;=35,'Rate Card'!$AH$119+(30-20)*'Rate Card'!$AI$119,'Rate Card'!$AK$119+(30-35)*'Rate Card'!$AJ$119)))))))*(1+'Rate Card'!$C$6),2)+ROUND(ROUND((IF(30&lt;=2,'Rate Card'!$AD$119,IF(30&lt;=5,'Rate Card'!$AE$119,IF(30&lt;=10,'Rate Card'!$AF$119,IF(30&lt;=15,'Rate Card'!$AG$119,IF(30&lt;=20,'Rate Card'!$AH$119,IF(30&lt;=35,'Rate Card'!$AH$119+(30-20)*'Rate Card'!$AI$119,'Rate Card'!$AK$119+(30-35)*'Rate Card'!$AJ$119)))))))*(1+'Rate Card'!$C$6),2)*(IF('Rate Card'!$G$6="YES",'Rate Card'!$E$6,0)+IF('Rate Card'!$K$6="YES",'Rate Card'!$I$6,0)),2)</f>
        <v/>
      </c>
      <c r="P34" s="23">
        <f>IF(30&lt;=2,'Rate Card'!$AD$120,IF(30&lt;=5,'Rate Card'!$AE$120,IF(30&lt;=10,'Rate Card'!$AF$120,IF(30&lt;=15,'Rate Card'!$AG$120,IF(30&lt;=20,'Rate Card'!$AH$120,IF(30&lt;=35,'Rate Card'!$AH$120+(30-20)*'Rate Card'!$AI$120,'Rate Card'!$AK$120+(30-35)*'Rate Card'!$AJ$120))))))</f>
        <v/>
      </c>
      <c r="Q34" s="12">
        <f>ROUND((IF(30&lt;=2,'Rate Card'!$AD$120,IF(30&lt;=5,'Rate Card'!$AE$120,IF(30&lt;=10,'Rate Card'!$AF$120,IF(30&lt;=15,'Rate Card'!$AG$120,IF(30&lt;=20,'Rate Card'!$AH$120,IF(30&lt;=35,'Rate Card'!$AH$120+(30-20)*'Rate Card'!$AI$120,'Rate Card'!$AK$120+(30-35)*'Rate Card'!$AJ$120)))))))*(1+'Rate Card'!$C$6),2)+ROUND(ROUND((IF(30&lt;=2,'Rate Card'!$AD$120,IF(30&lt;=5,'Rate Card'!$AE$120,IF(30&lt;=10,'Rate Card'!$AF$120,IF(30&lt;=15,'Rate Card'!$AG$120,IF(30&lt;=20,'Rate Card'!$AH$120,IF(30&lt;=35,'Rate Card'!$AH$120+(30-20)*'Rate Card'!$AI$120,'Rate Card'!$AK$120+(30-35)*'Rate Card'!$AJ$120)))))))*(1+'Rate Card'!$C$6),2)*(IF('Rate Card'!$G$6="YES",'Rate Card'!$E$6,0)+IF('Rate Card'!$K$6="YES",'Rate Card'!$I$6,0)),2)</f>
        <v/>
      </c>
    </row>
    <row r="35">
      <c r="A35" s="75" t="n">
        <v>31</v>
      </c>
      <c r="B35" s="23">
        <f>IF(31&lt;=5,'Rate Card'!$AD$20,'Rate Card'!$AD$20+(31-5)*'Rate Card'!$AE$20)</f>
        <v/>
      </c>
      <c r="C35" s="23">
        <f>ROUND((IF(31&lt;=5,'Rate Card'!$AD$20,'Rate Card'!$AD$20+(31-5)*'Rate Card'!$AE$20))*(1+'Rate Card'!$C$6),2)+ROUND(ROUND((IF(31&lt;=5,'Rate Card'!$AD$20,'Rate Card'!$AD$20+(31-5)*'Rate Card'!$AE$20))*(1+'Rate Card'!$C$6),2)*(IF('Rate Card'!$G$6="YES",'Rate Card'!$E$6,0)+IF('Rate Card'!$K$6="YES",'Rate Card'!$I$6,0)),2)</f>
        <v/>
      </c>
      <c r="D35" s="23">
        <f>IF(31&lt;=15,'Rate Card'!$AD$21,'Rate Card'!$AD$21+(31-15)*'Rate Card'!$AE$21)</f>
        <v/>
      </c>
      <c r="E35" s="23">
        <f>ROUND((IF(31&lt;=15,'Rate Card'!$AD$21,'Rate Card'!$AD$21+(31-15)*'Rate Card'!$AE$21))*(1+'Rate Card'!$C$6),2)+ROUND(ROUND((IF(31&lt;=15,'Rate Card'!$AD$21,'Rate Card'!$AD$21+(31-15)*'Rate Card'!$AE$21))*(1+'Rate Card'!$C$6),2)*(IF('Rate Card'!$G$6="YES",'Rate Card'!$E$6,0)+IF('Rate Card'!$K$6="YES",'Rate Card'!$I$6,0)),2)</f>
        <v/>
      </c>
      <c r="F35" s="23">
        <f>IF(31&lt;=2,'Rate Card'!$AD$22,IF(31&lt;=5,'Rate Card'!$AE$22,IF(31&lt;=10,'Rate Card'!$AF$22,IF(31&lt;=15,'Rate Card'!$AG$22,IF(31&lt;=20,'Rate Card'!$AH$22,IF(31&lt;=35,'Rate Card'!$AH$22+(31-20)*'Rate Card'!$AI$22,'Rate Card'!$AK$22+(31-35)*'Rate Card'!$AJ$22))))))</f>
        <v/>
      </c>
      <c r="G35" s="23">
        <f>ROUND((IF(31&lt;=2,'Rate Card'!$AD$22,IF(31&lt;=5,'Rate Card'!$AE$22,IF(31&lt;=10,'Rate Card'!$AF$22,IF(31&lt;=15,'Rate Card'!$AG$22,IF(31&lt;=20,'Rate Card'!$AH$22,IF(31&lt;=35,'Rate Card'!$AH$22+(31-20)*'Rate Card'!$AI$22,'Rate Card'!$AK$22+(31-35)*'Rate Card'!$AJ$22)))))))*(1+'Rate Card'!$C$6),2)+ROUND(ROUND((IF(31&lt;=2,'Rate Card'!$AD$22,IF(31&lt;=5,'Rate Card'!$AE$22,IF(31&lt;=10,'Rate Card'!$AF$22,IF(31&lt;=15,'Rate Card'!$AG$22,IF(31&lt;=20,'Rate Card'!$AH$22,IF(31&lt;=35,'Rate Card'!$AH$22+(31-20)*'Rate Card'!$AI$22,'Rate Card'!$AK$22+(31-35)*'Rate Card'!$AJ$22)))))))*(1+'Rate Card'!$C$6),2)*(IF('Rate Card'!$G$6="YES",'Rate Card'!$E$6,0)+IF('Rate Card'!$K$6="YES",'Rate Card'!$I$6,0)),2)</f>
        <v/>
      </c>
      <c r="H35" s="23">
        <f>IF(31&lt;=2,'Rate Card'!$AD$23,IF(31&lt;=5,'Rate Card'!$AE$23,IF(31&lt;=10,'Rate Card'!$AF$23,IF(31&lt;=15,'Rate Card'!$AG$23,IF(31&lt;=20,'Rate Card'!$AH$23,IF(31&lt;=35,'Rate Card'!$AH$23+(31-20)*'Rate Card'!$AI$23,'Rate Card'!$AK$23+(31-35)*'Rate Card'!$AJ$23))))))</f>
        <v/>
      </c>
      <c r="I35" s="23">
        <f>ROUND((IF(31&lt;=2,'Rate Card'!$AD$23,IF(31&lt;=5,'Rate Card'!$AE$23,IF(31&lt;=10,'Rate Card'!$AF$23,IF(31&lt;=15,'Rate Card'!$AG$23,IF(31&lt;=20,'Rate Card'!$AH$23,IF(31&lt;=35,'Rate Card'!$AH$23+(31-20)*'Rate Card'!$AI$23,'Rate Card'!$AK$23+(31-35)*'Rate Card'!$AJ$23)))))))*(1+'Rate Card'!$C$6),2)+ROUND(ROUND((IF(31&lt;=2,'Rate Card'!$AD$23,IF(31&lt;=5,'Rate Card'!$AE$23,IF(31&lt;=10,'Rate Card'!$AF$23,IF(31&lt;=15,'Rate Card'!$AG$23,IF(31&lt;=20,'Rate Card'!$AH$23,IF(31&lt;=35,'Rate Card'!$AH$23+(31-20)*'Rate Card'!$AI$23,'Rate Card'!$AK$23+(31-35)*'Rate Card'!$AJ$23)))))))*(1+'Rate Card'!$C$6),2)*(IF('Rate Card'!$G$6="YES",'Rate Card'!$E$6,0)+IF('Rate Card'!$K$6="YES",'Rate Card'!$I$6,0)),2)</f>
        <v/>
      </c>
      <c r="J35" s="23">
        <f>IF(31&lt;=5,'Rate Card'!$AD$117,'Rate Card'!$AD$117+(31-5)*'Rate Card'!$AE$117)</f>
        <v/>
      </c>
      <c r="K35" s="23">
        <f>ROUND((IF(31&lt;=5,'Rate Card'!$AD$117,'Rate Card'!$AD$117+(31-5)*'Rate Card'!$AE$117))*(1+'Rate Card'!$C$6),2)+ROUND(ROUND((IF(31&lt;=5,'Rate Card'!$AD$117,'Rate Card'!$AD$117+(31-5)*'Rate Card'!$AE$117))*(1+'Rate Card'!$C$6),2)*(IF('Rate Card'!$G$6="YES",'Rate Card'!$E$6,0)+IF('Rate Card'!$K$6="YES",'Rate Card'!$I$6,0)),2)</f>
        <v/>
      </c>
      <c r="L35" s="23">
        <f>IF(31&lt;=15,'Rate Card'!$AD$118,'Rate Card'!$AD$118+(31-15)*'Rate Card'!$AE$118)</f>
        <v/>
      </c>
      <c r="M35" s="23">
        <f>ROUND((IF(31&lt;=15,'Rate Card'!$AD$118,'Rate Card'!$AD$118+(31-15)*'Rate Card'!$AE$118))*(1+'Rate Card'!$C$6),2)+ROUND(ROUND((IF(31&lt;=15,'Rate Card'!$AD$118,'Rate Card'!$AD$118+(31-15)*'Rate Card'!$AE$118))*(1+'Rate Card'!$C$6),2)*(IF('Rate Card'!$G$6="YES",'Rate Card'!$E$6,0)+IF('Rate Card'!$K$6="YES",'Rate Card'!$I$6,0)),2)</f>
        <v/>
      </c>
      <c r="N35" s="23">
        <f>IF(31&lt;=2,'Rate Card'!$AD$119,IF(31&lt;=5,'Rate Card'!$AE$119,IF(31&lt;=10,'Rate Card'!$AF$119,IF(31&lt;=15,'Rate Card'!$AG$119,IF(31&lt;=20,'Rate Card'!$AH$119,IF(31&lt;=35,'Rate Card'!$AH$119+(31-20)*'Rate Card'!$AI$119,'Rate Card'!$AK$119+(31-35)*'Rate Card'!$AJ$119))))))</f>
        <v/>
      </c>
      <c r="O35" s="23">
        <f>ROUND((IF(31&lt;=2,'Rate Card'!$AD$119,IF(31&lt;=5,'Rate Card'!$AE$119,IF(31&lt;=10,'Rate Card'!$AF$119,IF(31&lt;=15,'Rate Card'!$AG$119,IF(31&lt;=20,'Rate Card'!$AH$119,IF(31&lt;=35,'Rate Card'!$AH$119+(31-20)*'Rate Card'!$AI$119,'Rate Card'!$AK$119+(31-35)*'Rate Card'!$AJ$119)))))))*(1+'Rate Card'!$C$6),2)+ROUND(ROUND((IF(31&lt;=2,'Rate Card'!$AD$119,IF(31&lt;=5,'Rate Card'!$AE$119,IF(31&lt;=10,'Rate Card'!$AF$119,IF(31&lt;=15,'Rate Card'!$AG$119,IF(31&lt;=20,'Rate Card'!$AH$119,IF(31&lt;=35,'Rate Card'!$AH$119+(31-20)*'Rate Card'!$AI$119,'Rate Card'!$AK$119+(31-35)*'Rate Card'!$AJ$119)))))))*(1+'Rate Card'!$C$6),2)*(IF('Rate Card'!$G$6="YES",'Rate Card'!$E$6,0)+IF('Rate Card'!$K$6="YES",'Rate Card'!$I$6,0)),2)</f>
        <v/>
      </c>
      <c r="P35" s="23">
        <f>IF(31&lt;=2,'Rate Card'!$AD$120,IF(31&lt;=5,'Rate Card'!$AE$120,IF(31&lt;=10,'Rate Card'!$AF$120,IF(31&lt;=15,'Rate Card'!$AG$120,IF(31&lt;=20,'Rate Card'!$AH$120,IF(31&lt;=35,'Rate Card'!$AH$120+(31-20)*'Rate Card'!$AI$120,'Rate Card'!$AK$120+(31-35)*'Rate Card'!$AJ$120))))))</f>
        <v/>
      </c>
      <c r="Q35" s="12">
        <f>ROUND((IF(31&lt;=2,'Rate Card'!$AD$120,IF(31&lt;=5,'Rate Card'!$AE$120,IF(31&lt;=10,'Rate Card'!$AF$120,IF(31&lt;=15,'Rate Card'!$AG$120,IF(31&lt;=20,'Rate Card'!$AH$120,IF(31&lt;=35,'Rate Card'!$AH$120+(31-20)*'Rate Card'!$AI$120,'Rate Card'!$AK$120+(31-35)*'Rate Card'!$AJ$120)))))))*(1+'Rate Card'!$C$6),2)+ROUND(ROUND((IF(31&lt;=2,'Rate Card'!$AD$120,IF(31&lt;=5,'Rate Card'!$AE$120,IF(31&lt;=10,'Rate Card'!$AF$120,IF(31&lt;=15,'Rate Card'!$AG$120,IF(31&lt;=20,'Rate Card'!$AH$120,IF(31&lt;=35,'Rate Card'!$AH$120+(31-20)*'Rate Card'!$AI$120,'Rate Card'!$AK$120+(31-35)*'Rate Card'!$AJ$120)))))))*(1+'Rate Card'!$C$6),2)*(IF('Rate Card'!$G$6="YES",'Rate Card'!$E$6,0)+IF('Rate Card'!$K$6="YES",'Rate Card'!$I$6,0)),2)</f>
        <v/>
      </c>
    </row>
    <row r="36">
      <c r="A36" s="75" t="n">
        <v>32</v>
      </c>
      <c r="B36" s="23">
        <f>IF(32&lt;=5,'Rate Card'!$AD$20,'Rate Card'!$AD$20+(32-5)*'Rate Card'!$AE$20)</f>
        <v/>
      </c>
      <c r="C36" s="23">
        <f>ROUND((IF(32&lt;=5,'Rate Card'!$AD$20,'Rate Card'!$AD$20+(32-5)*'Rate Card'!$AE$20))*(1+'Rate Card'!$C$6),2)+ROUND(ROUND((IF(32&lt;=5,'Rate Card'!$AD$20,'Rate Card'!$AD$20+(32-5)*'Rate Card'!$AE$20))*(1+'Rate Card'!$C$6),2)*(IF('Rate Card'!$G$6="YES",'Rate Card'!$E$6,0)+IF('Rate Card'!$K$6="YES",'Rate Card'!$I$6,0)),2)</f>
        <v/>
      </c>
      <c r="D36" s="23">
        <f>IF(32&lt;=15,'Rate Card'!$AD$21,'Rate Card'!$AD$21+(32-15)*'Rate Card'!$AE$21)</f>
        <v/>
      </c>
      <c r="E36" s="23">
        <f>ROUND((IF(32&lt;=15,'Rate Card'!$AD$21,'Rate Card'!$AD$21+(32-15)*'Rate Card'!$AE$21))*(1+'Rate Card'!$C$6),2)+ROUND(ROUND((IF(32&lt;=15,'Rate Card'!$AD$21,'Rate Card'!$AD$21+(32-15)*'Rate Card'!$AE$21))*(1+'Rate Card'!$C$6),2)*(IF('Rate Card'!$G$6="YES",'Rate Card'!$E$6,0)+IF('Rate Card'!$K$6="YES",'Rate Card'!$I$6,0)),2)</f>
        <v/>
      </c>
      <c r="F36" s="23">
        <f>IF(32&lt;=2,'Rate Card'!$AD$22,IF(32&lt;=5,'Rate Card'!$AE$22,IF(32&lt;=10,'Rate Card'!$AF$22,IF(32&lt;=15,'Rate Card'!$AG$22,IF(32&lt;=20,'Rate Card'!$AH$22,IF(32&lt;=35,'Rate Card'!$AH$22+(32-20)*'Rate Card'!$AI$22,'Rate Card'!$AK$22+(32-35)*'Rate Card'!$AJ$22))))))</f>
        <v/>
      </c>
      <c r="G36" s="23">
        <f>ROUND((IF(32&lt;=2,'Rate Card'!$AD$22,IF(32&lt;=5,'Rate Card'!$AE$22,IF(32&lt;=10,'Rate Card'!$AF$22,IF(32&lt;=15,'Rate Card'!$AG$22,IF(32&lt;=20,'Rate Card'!$AH$22,IF(32&lt;=35,'Rate Card'!$AH$22+(32-20)*'Rate Card'!$AI$22,'Rate Card'!$AK$22+(32-35)*'Rate Card'!$AJ$22)))))))*(1+'Rate Card'!$C$6),2)+ROUND(ROUND((IF(32&lt;=2,'Rate Card'!$AD$22,IF(32&lt;=5,'Rate Card'!$AE$22,IF(32&lt;=10,'Rate Card'!$AF$22,IF(32&lt;=15,'Rate Card'!$AG$22,IF(32&lt;=20,'Rate Card'!$AH$22,IF(32&lt;=35,'Rate Card'!$AH$22+(32-20)*'Rate Card'!$AI$22,'Rate Card'!$AK$22+(32-35)*'Rate Card'!$AJ$22)))))))*(1+'Rate Card'!$C$6),2)*(IF('Rate Card'!$G$6="YES",'Rate Card'!$E$6,0)+IF('Rate Card'!$K$6="YES",'Rate Card'!$I$6,0)),2)</f>
        <v/>
      </c>
      <c r="H36" s="23">
        <f>IF(32&lt;=2,'Rate Card'!$AD$23,IF(32&lt;=5,'Rate Card'!$AE$23,IF(32&lt;=10,'Rate Card'!$AF$23,IF(32&lt;=15,'Rate Card'!$AG$23,IF(32&lt;=20,'Rate Card'!$AH$23,IF(32&lt;=35,'Rate Card'!$AH$23+(32-20)*'Rate Card'!$AI$23,'Rate Card'!$AK$23+(32-35)*'Rate Card'!$AJ$23))))))</f>
        <v/>
      </c>
      <c r="I36" s="23">
        <f>ROUND((IF(32&lt;=2,'Rate Card'!$AD$23,IF(32&lt;=5,'Rate Card'!$AE$23,IF(32&lt;=10,'Rate Card'!$AF$23,IF(32&lt;=15,'Rate Card'!$AG$23,IF(32&lt;=20,'Rate Card'!$AH$23,IF(32&lt;=35,'Rate Card'!$AH$23+(32-20)*'Rate Card'!$AI$23,'Rate Card'!$AK$23+(32-35)*'Rate Card'!$AJ$23)))))))*(1+'Rate Card'!$C$6),2)+ROUND(ROUND((IF(32&lt;=2,'Rate Card'!$AD$23,IF(32&lt;=5,'Rate Card'!$AE$23,IF(32&lt;=10,'Rate Card'!$AF$23,IF(32&lt;=15,'Rate Card'!$AG$23,IF(32&lt;=20,'Rate Card'!$AH$23,IF(32&lt;=35,'Rate Card'!$AH$23+(32-20)*'Rate Card'!$AI$23,'Rate Card'!$AK$23+(32-35)*'Rate Card'!$AJ$23)))))))*(1+'Rate Card'!$C$6),2)*(IF('Rate Card'!$G$6="YES",'Rate Card'!$E$6,0)+IF('Rate Card'!$K$6="YES",'Rate Card'!$I$6,0)),2)</f>
        <v/>
      </c>
      <c r="J36" s="23">
        <f>IF(32&lt;=5,'Rate Card'!$AD$117,'Rate Card'!$AD$117+(32-5)*'Rate Card'!$AE$117)</f>
        <v/>
      </c>
      <c r="K36" s="23">
        <f>ROUND((IF(32&lt;=5,'Rate Card'!$AD$117,'Rate Card'!$AD$117+(32-5)*'Rate Card'!$AE$117))*(1+'Rate Card'!$C$6),2)+ROUND(ROUND((IF(32&lt;=5,'Rate Card'!$AD$117,'Rate Card'!$AD$117+(32-5)*'Rate Card'!$AE$117))*(1+'Rate Card'!$C$6),2)*(IF('Rate Card'!$G$6="YES",'Rate Card'!$E$6,0)+IF('Rate Card'!$K$6="YES",'Rate Card'!$I$6,0)),2)</f>
        <v/>
      </c>
      <c r="L36" s="23">
        <f>IF(32&lt;=15,'Rate Card'!$AD$118,'Rate Card'!$AD$118+(32-15)*'Rate Card'!$AE$118)</f>
        <v/>
      </c>
      <c r="M36" s="23">
        <f>ROUND((IF(32&lt;=15,'Rate Card'!$AD$118,'Rate Card'!$AD$118+(32-15)*'Rate Card'!$AE$118))*(1+'Rate Card'!$C$6),2)+ROUND(ROUND((IF(32&lt;=15,'Rate Card'!$AD$118,'Rate Card'!$AD$118+(32-15)*'Rate Card'!$AE$118))*(1+'Rate Card'!$C$6),2)*(IF('Rate Card'!$G$6="YES",'Rate Card'!$E$6,0)+IF('Rate Card'!$K$6="YES",'Rate Card'!$I$6,0)),2)</f>
        <v/>
      </c>
      <c r="N36" s="23">
        <f>IF(32&lt;=2,'Rate Card'!$AD$119,IF(32&lt;=5,'Rate Card'!$AE$119,IF(32&lt;=10,'Rate Card'!$AF$119,IF(32&lt;=15,'Rate Card'!$AG$119,IF(32&lt;=20,'Rate Card'!$AH$119,IF(32&lt;=35,'Rate Card'!$AH$119+(32-20)*'Rate Card'!$AI$119,'Rate Card'!$AK$119+(32-35)*'Rate Card'!$AJ$119))))))</f>
        <v/>
      </c>
      <c r="O36" s="23">
        <f>ROUND((IF(32&lt;=2,'Rate Card'!$AD$119,IF(32&lt;=5,'Rate Card'!$AE$119,IF(32&lt;=10,'Rate Card'!$AF$119,IF(32&lt;=15,'Rate Card'!$AG$119,IF(32&lt;=20,'Rate Card'!$AH$119,IF(32&lt;=35,'Rate Card'!$AH$119+(32-20)*'Rate Card'!$AI$119,'Rate Card'!$AK$119+(32-35)*'Rate Card'!$AJ$119)))))))*(1+'Rate Card'!$C$6),2)+ROUND(ROUND((IF(32&lt;=2,'Rate Card'!$AD$119,IF(32&lt;=5,'Rate Card'!$AE$119,IF(32&lt;=10,'Rate Card'!$AF$119,IF(32&lt;=15,'Rate Card'!$AG$119,IF(32&lt;=20,'Rate Card'!$AH$119,IF(32&lt;=35,'Rate Card'!$AH$119+(32-20)*'Rate Card'!$AI$119,'Rate Card'!$AK$119+(32-35)*'Rate Card'!$AJ$119)))))))*(1+'Rate Card'!$C$6),2)*(IF('Rate Card'!$G$6="YES",'Rate Card'!$E$6,0)+IF('Rate Card'!$K$6="YES",'Rate Card'!$I$6,0)),2)</f>
        <v/>
      </c>
      <c r="P36" s="23">
        <f>IF(32&lt;=2,'Rate Card'!$AD$120,IF(32&lt;=5,'Rate Card'!$AE$120,IF(32&lt;=10,'Rate Card'!$AF$120,IF(32&lt;=15,'Rate Card'!$AG$120,IF(32&lt;=20,'Rate Card'!$AH$120,IF(32&lt;=35,'Rate Card'!$AH$120+(32-20)*'Rate Card'!$AI$120,'Rate Card'!$AK$120+(32-35)*'Rate Card'!$AJ$120))))))</f>
        <v/>
      </c>
      <c r="Q36" s="12">
        <f>ROUND((IF(32&lt;=2,'Rate Card'!$AD$120,IF(32&lt;=5,'Rate Card'!$AE$120,IF(32&lt;=10,'Rate Card'!$AF$120,IF(32&lt;=15,'Rate Card'!$AG$120,IF(32&lt;=20,'Rate Card'!$AH$120,IF(32&lt;=35,'Rate Card'!$AH$120+(32-20)*'Rate Card'!$AI$120,'Rate Card'!$AK$120+(32-35)*'Rate Card'!$AJ$120)))))))*(1+'Rate Card'!$C$6),2)+ROUND(ROUND((IF(32&lt;=2,'Rate Card'!$AD$120,IF(32&lt;=5,'Rate Card'!$AE$120,IF(32&lt;=10,'Rate Card'!$AF$120,IF(32&lt;=15,'Rate Card'!$AG$120,IF(32&lt;=20,'Rate Card'!$AH$120,IF(32&lt;=35,'Rate Card'!$AH$120+(32-20)*'Rate Card'!$AI$120,'Rate Card'!$AK$120+(32-35)*'Rate Card'!$AJ$120)))))))*(1+'Rate Card'!$C$6),2)*(IF('Rate Card'!$G$6="YES",'Rate Card'!$E$6,0)+IF('Rate Card'!$K$6="YES",'Rate Card'!$I$6,0)),2)</f>
        <v/>
      </c>
    </row>
    <row r="37">
      <c r="A37" s="75" t="n">
        <v>33</v>
      </c>
      <c r="B37" s="23">
        <f>IF(33&lt;=5,'Rate Card'!$AD$20,'Rate Card'!$AD$20+(33-5)*'Rate Card'!$AE$20)</f>
        <v/>
      </c>
      <c r="C37" s="23">
        <f>ROUND((IF(33&lt;=5,'Rate Card'!$AD$20,'Rate Card'!$AD$20+(33-5)*'Rate Card'!$AE$20))*(1+'Rate Card'!$C$6),2)+ROUND(ROUND((IF(33&lt;=5,'Rate Card'!$AD$20,'Rate Card'!$AD$20+(33-5)*'Rate Card'!$AE$20))*(1+'Rate Card'!$C$6),2)*(IF('Rate Card'!$G$6="YES",'Rate Card'!$E$6,0)+IF('Rate Card'!$K$6="YES",'Rate Card'!$I$6,0)),2)</f>
        <v/>
      </c>
      <c r="D37" s="23">
        <f>IF(33&lt;=15,'Rate Card'!$AD$21,'Rate Card'!$AD$21+(33-15)*'Rate Card'!$AE$21)</f>
        <v/>
      </c>
      <c r="E37" s="23">
        <f>ROUND((IF(33&lt;=15,'Rate Card'!$AD$21,'Rate Card'!$AD$21+(33-15)*'Rate Card'!$AE$21))*(1+'Rate Card'!$C$6),2)+ROUND(ROUND((IF(33&lt;=15,'Rate Card'!$AD$21,'Rate Card'!$AD$21+(33-15)*'Rate Card'!$AE$21))*(1+'Rate Card'!$C$6),2)*(IF('Rate Card'!$G$6="YES",'Rate Card'!$E$6,0)+IF('Rate Card'!$K$6="YES",'Rate Card'!$I$6,0)),2)</f>
        <v/>
      </c>
      <c r="F37" s="23">
        <f>IF(33&lt;=2,'Rate Card'!$AD$22,IF(33&lt;=5,'Rate Card'!$AE$22,IF(33&lt;=10,'Rate Card'!$AF$22,IF(33&lt;=15,'Rate Card'!$AG$22,IF(33&lt;=20,'Rate Card'!$AH$22,IF(33&lt;=35,'Rate Card'!$AH$22+(33-20)*'Rate Card'!$AI$22,'Rate Card'!$AK$22+(33-35)*'Rate Card'!$AJ$22))))))</f>
        <v/>
      </c>
      <c r="G37" s="23">
        <f>ROUND((IF(33&lt;=2,'Rate Card'!$AD$22,IF(33&lt;=5,'Rate Card'!$AE$22,IF(33&lt;=10,'Rate Card'!$AF$22,IF(33&lt;=15,'Rate Card'!$AG$22,IF(33&lt;=20,'Rate Card'!$AH$22,IF(33&lt;=35,'Rate Card'!$AH$22+(33-20)*'Rate Card'!$AI$22,'Rate Card'!$AK$22+(33-35)*'Rate Card'!$AJ$22)))))))*(1+'Rate Card'!$C$6),2)+ROUND(ROUND((IF(33&lt;=2,'Rate Card'!$AD$22,IF(33&lt;=5,'Rate Card'!$AE$22,IF(33&lt;=10,'Rate Card'!$AF$22,IF(33&lt;=15,'Rate Card'!$AG$22,IF(33&lt;=20,'Rate Card'!$AH$22,IF(33&lt;=35,'Rate Card'!$AH$22+(33-20)*'Rate Card'!$AI$22,'Rate Card'!$AK$22+(33-35)*'Rate Card'!$AJ$22)))))))*(1+'Rate Card'!$C$6),2)*(IF('Rate Card'!$G$6="YES",'Rate Card'!$E$6,0)+IF('Rate Card'!$K$6="YES",'Rate Card'!$I$6,0)),2)</f>
        <v/>
      </c>
      <c r="H37" s="23">
        <f>IF(33&lt;=2,'Rate Card'!$AD$23,IF(33&lt;=5,'Rate Card'!$AE$23,IF(33&lt;=10,'Rate Card'!$AF$23,IF(33&lt;=15,'Rate Card'!$AG$23,IF(33&lt;=20,'Rate Card'!$AH$23,IF(33&lt;=35,'Rate Card'!$AH$23+(33-20)*'Rate Card'!$AI$23,'Rate Card'!$AK$23+(33-35)*'Rate Card'!$AJ$23))))))</f>
        <v/>
      </c>
      <c r="I37" s="23">
        <f>ROUND((IF(33&lt;=2,'Rate Card'!$AD$23,IF(33&lt;=5,'Rate Card'!$AE$23,IF(33&lt;=10,'Rate Card'!$AF$23,IF(33&lt;=15,'Rate Card'!$AG$23,IF(33&lt;=20,'Rate Card'!$AH$23,IF(33&lt;=35,'Rate Card'!$AH$23+(33-20)*'Rate Card'!$AI$23,'Rate Card'!$AK$23+(33-35)*'Rate Card'!$AJ$23)))))))*(1+'Rate Card'!$C$6),2)+ROUND(ROUND((IF(33&lt;=2,'Rate Card'!$AD$23,IF(33&lt;=5,'Rate Card'!$AE$23,IF(33&lt;=10,'Rate Card'!$AF$23,IF(33&lt;=15,'Rate Card'!$AG$23,IF(33&lt;=20,'Rate Card'!$AH$23,IF(33&lt;=35,'Rate Card'!$AH$23+(33-20)*'Rate Card'!$AI$23,'Rate Card'!$AK$23+(33-35)*'Rate Card'!$AJ$23)))))))*(1+'Rate Card'!$C$6),2)*(IF('Rate Card'!$G$6="YES",'Rate Card'!$E$6,0)+IF('Rate Card'!$K$6="YES",'Rate Card'!$I$6,0)),2)</f>
        <v/>
      </c>
      <c r="J37" s="23">
        <f>IF(33&lt;=5,'Rate Card'!$AD$117,'Rate Card'!$AD$117+(33-5)*'Rate Card'!$AE$117)</f>
        <v/>
      </c>
      <c r="K37" s="23">
        <f>ROUND((IF(33&lt;=5,'Rate Card'!$AD$117,'Rate Card'!$AD$117+(33-5)*'Rate Card'!$AE$117))*(1+'Rate Card'!$C$6),2)+ROUND(ROUND((IF(33&lt;=5,'Rate Card'!$AD$117,'Rate Card'!$AD$117+(33-5)*'Rate Card'!$AE$117))*(1+'Rate Card'!$C$6),2)*(IF('Rate Card'!$G$6="YES",'Rate Card'!$E$6,0)+IF('Rate Card'!$K$6="YES",'Rate Card'!$I$6,0)),2)</f>
        <v/>
      </c>
      <c r="L37" s="23">
        <f>IF(33&lt;=15,'Rate Card'!$AD$118,'Rate Card'!$AD$118+(33-15)*'Rate Card'!$AE$118)</f>
        <v/>
      </c>
      <c r="M37" s="23">
        <f>ROUND((IF(33&lt;=15,'Rate Card'!$AD$118,'Rate Card'!$AD$118+(33-15)*'Rate Card'!$AE$118))*(1+'Rate Card'!$C$6),2)+ROUND(ROUND((IF(33&lt;=15,'Rate Card'!$AD$118,'Rate Card'!$AD$118+(33-15)*'Rate Card'!$AE$118))*(1+'Rate Card'!$C$6),2)*(IF('Rate Card'!$G$6="YES",'Rate Card'!$E$6,0)+IF('Rate Card'!$K$6="YES",'Rate Card'!$I$6,0)),2)</f>
        <v/>
      </c>
      <c r="N37" s="23">
        <f>IF(33&lt;=2,'Rate Card'!$AD$119,IF(33&lt;=5,'Rate Card'!$AE$119,IF(33&lt;=10,'Rate Card'!$AF$119,IF(33&lt;=15,'Rate Card'!$AG$119,IF(33&lt;=20,'Rate Card'!$AH$119,IF(33&lt;=35,'Rate Card'!$AH$119+(33-20)*'Rate Card'!$AI$119,'Rate Card'!$AK$119+(33-35)*'Rate Card'!$AJ$119))))))</f>
        <v/>
      </c>
      <c r="O37" s="23">
        <f>ROUND((IF(33&lt;=2,'Rate Card'!$AD$119,IF(33&lt;=5,'Rate Card'!$AE$119,IF(33&lt;=10,'Rate Card'!$AF$119,IF(33&lt;=15,'Rate Card'!$AG$119,IF(33&lt;=20,'Rate Card'!$AH$119,IF(33&lt;=35,'Rate Card'!$AH$119+(33-20)*'Rate Card'!$AI$119,'Rate Card'!$AK$119+(33-35)*'Rate Card'!$AJ$119)))))))*(1+'Rate Card'!$C$6),2)+ROUND(ROUND((IF(33&lt;=2,'Rate Card'!$AD$119,IF(33&lt;=5,'Rate Card'!$AE$119,IF(33&lt;=10,'Rate Card'!$AF$119,IF(33&lt;=15,'Rate Card'!$AG$119,IF(33&lt;=20,'Rate Card'!$AH$119,IF(33&lt;=35,'Rate Card'!$AH$119+(33-20)*'Rate Card'!$AI$119,'Rate Card'!$AK$119+(33-35)*'Rate Card'!$AJ$119)))))))*(1+'Rate Card'!$C$6),2)*(IF('Rate Card'!$G$6="YES",'Rate Card'!$E$6,0)+IF('Rate Card'!$K$6="YES",'Rate Card'!$I$6,0)),2)</f>
        <v/>
      </c>
      <c r="P37" s="23">
        <f>IF(33&lt;=2,'Rate Card'!$AD$120,IF(33&lt;=5,'Rate Card'!$AE$120,IF(33&lt;=10,'Rate Card'!$AF$120,IF(33&lt;=15,'Rate Card'!$AG$120,IF(33&lt;=20,'Rate Card'!$AH$120,IF(33&lt;=35,'Rate Card'!$AH$120+(33-20)*'Rate Card'!$AI$120,'Rate Card'!$AK$120+(33-35)*'Rate Card'!$AJ$120))))))</f>
        <v/>
      </c>
      <c r="Q37" s="12">
        <f>ROUND((IF(33&lt;=2,'Rate Card'!$AD$120,IF(33&lt;=5,'Rate Card'!$AE$120,IF(33&lt;=10,'Rate Card'!$AF$120,IF(33&lt;=15,'Rate Card'!$AG$120,IF(33&lt;=20,'Rate Card'!$AH$120,IF(33&lt;=35,'Rate Card'!$AH$120+(33-20)*'Rate Card'!$AI$120,'Rate Card'!$AK$120+(33-35)*'Rate Card'!$AJ$120)))))))*(1+'Rate Card'!$C$6),2)+ROUND(ROUND((IF(33&lt;=2,'Rate Card'!$AD$120,IF(33&lt;=5,'Rate Card'!$AE$120,IF(33&lt;=10,'Rate Card'!$AF$120,IF(33&lt;=15,'Rate Card'!$AG$120,IF(33&lt;=20,'Rate Card'!$AH$120,IF(33&lt;=35,'Rate Card'!$AH$120+(33-20)*'Rate Card'!$AI$120,'Rate Card'!$AK$120+(33-35)*'Rate Card'!$AJ$120)))))))*(1+'Rate Card'!$C$6),2)*(IF('Rate Card'!$G$6="YES",'Rate Card'!$E$6,0)+IF('Rate Card'!$K$6="YES",'Rate Card'!$I$6,0)),2)</f>
        <v/>
      </c>
    </row>
    <row r="38">
      <c r="A38" s="75" t="n">
        <v>34</v>
      </c>
      <c r="B38" s="23">
        <f>IF(34&lt;=5,'Rate Card'!$AD$20,'Rate Card'!$AD$20+(34-5)*'Rate Card'!$AE$20)</f>
        <v/>
      </c>
      <c r="C38" s="23">
        <f>ROUND((IF(34&lt;=5,'Rate Card'!$AD$20,'Rate Card'!$AD$20+(34-5)*'Rate Card'!$AE$20))*(1+'Rate Card'!$C$6),2)+ROUND(ROUND((IF(34&lt;=5,'Rate Card'!$AD$20,'Rate Card'!$AD$20+(34-5)*'Rate Card'!$AE$20))*(1+'Rate Card'!$C$6),2)*(IF('Rate Card'!$G$6="YES",'Rate Card'!$E$6,0)+IF('Rate Card'!$K$6="YES",'Rate Card'!$I$6,0)),2)</f>
        <v/>
      </c>
      <c r="D38" s="23">
        <f>IF(34&lt;=15,'Rate Card'!$AD$21,'Rate Card'!$AD$21+(34-15)*'Rate Card'!$AE$21)</f>
        <v/>
      </c>
      <c r="E38" s="23">
        <f>ROUND((IF(34&lt;=15,'Rate Card'!$AD$21,'Rate Card'!$AD$21+(34-15)*'Rate Card'!$AE$21))*(1+'Rate Card'!$C$6),2)+ROUND(ROUND((IF(34&lt;=15,'Rate Card'!$AD$21,'Rate Card'!$AD$21+(34-15)*'Rate Card'!$AE$21))*(1+'Rate Card'!$C$6),2)*(IF('Rate Card'!$G$6="YES",'Rate Card'!$E$6,0)+IF('Rate Card'!$K$6="YES",'Rate Card'!$I$6,0)),2)</f>
        <v/>
      </c>
      <c r="F38" s="23">
        <f>IF(34&lt;=2,'Rate Card'!$AD$22,IF(34&lt;=5,'Rate Card'!$AE$22,IF(34&lt;=10,'Rate Card'!$AF$22,IF(34&lt;=15,'Rate Card'!$AG$22,IF(34&lt;=20,'Rate Card'!$AH$22,IF(34&lt;=35,'Rate Card'!$AH$22+(34-20)*'Rate Card'!$AI$22,'Rate Card'!$AK$22+(34-35)*'Rate Card'!$AJ$22))))))</f>
        <v/>
      </c>
      <c r="G38" s="23">
        <f>ROUND((IF(34&lt;=2,'Rate Card'!$AD$22,IF(34&lt;=5,'Rate Card'!$AE$22,IF(34&lt;=10,'Rate Card'!$AF$22,IF(34&lt;=15,'Rate Card'!$AG$22,IF(34&lt;=20,'Rate Card'!$AH$22,IF(34&lt;=35,'Rate Card'!$AH$22+(34-20)*'Rate Card'!$AI$22,'Rate Card'!$AK$22+(34-35)*'Rate Card'!$AJ$22)))))))*(1+'Rate Card'!$C$6),2)+ROUND(ROUND((IF(34&lt;=2,'Rate Card'!$AD$22,IF(34&lt;=5,'Rate Card'!$AE$22,IF(34&lt;=10,'Rate Card'!$AF$22,IF(34&lt;=15,'Rate Card'!$AG$22,IF(34&lt;=20,'Rate Card'!$AH$22,IF(34&lt;=35,'Rate Card'!$AH$22+(34-20)*'Rate Card'!$AI$22,'Rate Card'!$AK$22+(34-35)*'Rate Card'!$AJ$22)))))))*(1+'Rate Card'!$C$6),2)*(IF('Rate Card'!$G$6="YES",'Rate Card'!$E$6,0)+IF('Rate Card'!$K$6="YES",'Rate Card'!$I$6,0)),2)</f>
        <v/>
      </c>
      <c r="H38" s="23">
        <f>IF(34&lt;=2,'Rate Card'!$AD$23,IF(34&lt;=5,'Rate Card'!$AE$23,IF(34&lt;=10,'Rate Card'!$AF$23,IF(34&lt;=15,'Rate Card'!$AG$23,IF(34&lt;=20,'Rate Card'!$AH$23,IF(34&lt;=35,'Rate Card'!$AH$23+(34-20)*'Rate Card'!$AI$23,'Rate Card'!$AK$23+(34-35)*'Rate Card'!$AJ$23))))))</f>
        <v/>
      </c>
      <c r="I38" s="23">
        <f>ROUND((IF(34&lt;=2,'Rate Card'!$AD$23,IF(34&lt;=5,'Rate Card'!$AE$23,IF(34&lt;=10,'Rate Card'!$AF$23,IF(34&lt;=15,'Rate Card'!$AG$23,IF(34&lt;=20,'Rate Card'!$AH$23,IF(34&lt;=35,'Rate Card'!$AH$23+(34-20)*'Rate Card'!$AI$23,'Rate Card'!$AK$23+(34-35)*'Rate Card'!$AJ$23)))))))*(1+'Rate Card'!$C$6),2)+ROUND(ROUND((IF(34&lt;=2,'Rate Card'!$AD$23,IF(34&lt;=5,'Rate Card'!$AE$23,IF(34&lt;=10,'Rate Card'!$AF$23,IF(34&lt;=15,'Rate Card'!$AG$23,IF(34&lt;=20,'Rate Card'!$AH$23,IF(34&lt;=35,'Rate Card'!$AH$23+(34-20)*'Rate Card'!$AI$23,'Rate Card'!$AK$23+(34-35)*'Rate Card'!$AJ$23)))))))*(1+'Rate Card'!$C$6),2)*(IF('Rate Card'!$G$6="YES",'Rate Card'!$E$6,0)+IF('Rate Card'!$K$6="YES",'Rate Card'!$I$6,0)),2)</f>
        <v/>
      </c>
      <c r="J38" s="23">
        <f>IF(34&lt;=5,'Rate Card'!$AD$117,'Rate Card'!$AD$117+(34-5)*'Rate Card'!$AE$117)</f>
        <v/>
      </c>
      <c r="K38" s="23">
        <f>ROUND((IF(34&lt;=5,'Rate Card'!$AD$117,'Rate Card'!$AD$117+(34-5)*'Rate Card'!$AE$117))*(1+'Rate Card'!$C$6),2)+ROUND(ROUND((IF(34&lt;=5,'Rate Card'!$AD$117,'Rate Card'!$AD$117+(34-5)*'Rate Card'!$AE$117))*(1+'Rate Card'!$C$6),2)*(IF('Rate Card'!$G$6="YES",'Rate Card'!$E$6,0)+IF('Rate Card'!$K$6="YES",'Rate Card'!$I$6,0)),2)</f>
        <v/>
      </c>
      <c r="L38" s="23">
        <f>IF(34&lt;=15,'Rate Card'!$AD$118,'Rate Card'!$AD$118+(34-15)*'Rate Card'!$AE$118)</f>
        <v/>
      </c>
      <c r="M38" s="23">
        <f>ROUND((IF(34&lt;=15,'Rate Card'!$AD$118,'Rate Card'!$AD$118+(34-15)*'Rate Card'!$AE$118))*(1+'Rate Card'!$C$6),2)+ROUND(ROUND((IF(34&lt;=15,'Rate Card'!$AD$118,'Rate Card'!$AD$118+(34-15)*'Rate Card'!$AE$118))*(1+'Rate Card'!$C$6),2)*(IF('Rate Card'!$G$6="YES",'Rate Card'!$E$6,0)+IF('Rate Card'!$K$6="YES",'Rate Card'!$I$6,0)),2)</f>
        <v/>
      </c>
      <c r="N38" s="23">
        <f>IF(34&lt;=2,'Rate Card'!$AD$119,IF(34&lt;=5,'Rate Card'!$AE$119,IF(34&lt;=10,'Rate Card'!$AF$119,IF(34&lt;=15,'Rate Card'!$AG$119,IF(34&lt;=20,'Rate Card'!$AH$119,IF(34&lt;=35,'Rate Card'!$AH$119+(34-20)*'Rate Card'!$AI$119,'Rate Card'!$AK$119+(34-35)*'Rate Card'!$AJ$119))))))</f>
        <v/>
      </c>
      <c r="O38" s="23">
        <f>ROUND((IF(34&lt;=2,'Rate Card'!$AD$119,IF(34&lt;=5,'Rate Card'!$AE$119,IF(34&lt;=10,'Rate Card'!$AF$119,IF(34&lt;=15,'Rate Card'!$AG$119,IF(34&lt;=20,'Rate Card'!$AH$119,IF(34&lt;=35,'Rate Card'!$AH$119+(34-20)*'Rate Card'!$AI$119,'Rate Card'!$AK$119+(34-35)*'Rate Card'!$AJ$119)))))))*(1+'Rate Card'!$C$6),2)+ROUND(ROUND((IF(34&lt;=2,'Rate Card'!$AD$119,IF(34&lt;=5,'Rate Card'!$AE$119,IF(34&lt;=10,'Rate Card'!$AF$119,IF(34&lt;=15,'Rate Card'!$AG$119,IF(34&lt;=20,'Rate Card'!$AH$119,IF(34&lt;=35,'Rate Card'!$AH$119+(34-20)*'Rate Card'!$AI$119,'Rate Card'!$AK$119+(34-35)*'Rate Card'!$AJ$119)))))))*(1+'Rate Card'!$C$6),2)*(IF('Rate Card'!$G$6="YES",'Rate Card'!$E$6,0)+IF('Rate Card'!$K$6="YES",'Rate Card'!$I$6,0)),2)</f>
        <v/>
      </c>
      <c r="P38" s="23">
        <f>IF(34&lt;=2,'Rate Card'!$AD$120,IF(34&lt;=5,'Rate Card'!$AE$120,IF(34&lt;=10,'Rate Card'!$AF$120,IF(34&lt;=15,'Rate Card'!$AG$120,IF(34&lt;=20,'Rate Card'!$AH$120,IF(34&lt;=35,'Rate Card'!$AH$120+(34-20)*'Rate Card'!$AI$120,'Rate Card'!$AK$120+(34-35)*'Rate Card'!$AJ$120))))))</f>
        <v/>
      </c>
      <c r="Q38" s="12">
        <f>ROUND((IF(34&lt;=2,'Rate Card'!$AD$120,IF(34&lt;=5,'Rate Card'!$AE$120,IF(34&lt;=10,'Rate Card'!$AF$120,IF(34&lt;=15,'Rate Card'!$AG$120,IF(34&lt;=20,'Rate Card'!$AH$120,IF(34&lt;=35,'Rate Card'!$AH$120+(34-20)*'Rate Card'!$AI$120,'Rate Card'!$AK$120+(34-35)*'Rate Card'!$AJ$120)))))))*(1+'Rate Card'!$C$6),2)+ROUND(ROUND((IF(34&lt;=2,'Rate Card'!$AD$120,IF(34&lt;=5,'Rate Card'!$AE$120,IF(34&lt;=10,'Rate Card'!$AF$120,IF(34&lt;=15,'Rate Card'!$AG$120,IF(34&lt;=20,'Rate Card'!$AH$120,IF(34&lt;=35,'Rate Card'!$AH$120+(34-20)*'Rate Card'!$AI$120,'Rate Card'!$AK$120+(34-35)*'Rate Card'!$AJ$120)))))))*(1+'Rate Card'!$C$6),2)*(IF('Rate Card'!$G$6="YES",'Rate Card'!$E$6,0)+IF('Rate Card'!$K$6="YES",'Rate Card'!$I$6,0)),2)</f>
        <v/>
      </c>
    </row>
    <row r="39">
      <c r="A39" s="75" t="n">
        <v>35</v>
      </c>
      <c r="B39" s="23">
        <f>IF(35&lt;=5,'Rate Card'!$AD$20,'Rate Card'!$AD$20+(35-5)*'Rate Card'!$AE$20)</f>
        <v/>
      </c>
      <c r="C39" s="23">
        <f>ROUND((IF(35&lt;=5,'Rate Card'!$AD$20,'Rate Card'!$AD$20+(35-5)*'Rate Card'!$AE$20))*(1+'Rate Card'!$C$6),2)+ROUND(ROUND((IF(35&lt;=5,'Rate Card'!$AD$20,'Rate Card'!$AD$20+(35-5)*'Rate Card'!$AE$20))*(1+'Rate Card'!$C$6),2)*(IF('Rate Card'!$G$6="YES",'Rate Card'!$E$6,0)+IF('Rate Card'!$K$6="YES",'Rate Card'!$I$6,0)),2)</f>
        <v/>
      </c>
      <c r="D39" s="23">
        <f>IF(35&lt;=15,'Rate Card'!$AD$21,'Rate Card'!$AD$21+(35-15)*'Rate Card'!$AE$21)</f>
        <v/>
      </c>
      <c r="E39" s="23">
        <f>ROUND((IF(35&lt;=15,'Rate Card'!$AD$21,'Rate Card'!$AD$21+(35-15)*'Rate Card'!$AE$21))*(1+'Rate Card'!$C$6),2)+ROUND(ROUND((IF(35&lt;=15,'Rate Card'!$AD$21,'Rate Card'!$AD$21+(35-15)*'Rate Card'!$AE$21))*(1+'Rate Card'!$C$6),2)*(IF('Rate Card'!$G$6="YES",'Rate Card'!$E$6,0)+IF('Rate Card'!$K$6="YES",'Rate Card'!$I$6,0)),2)</f>
        <v/>
      </c>
      <c r="F39" s="23">
        <f>IF(35&lt;=2,'Rate Card'!$AD$22,IF(35&lt;=5,'Rate Card'!$AE$22,IF(35&lt;=10,'Rate Card'!$AF$22,IF(35&lt;=15,'Rate Card'!$AG$22,IF(35&lt;=20,'Rate Card'!$AH$22,IF(35&lt;=35,'Rate Card'!$AH$22+(35-20)*'Rate Card'!$AI$22,'Rate Card'!$AK$22+(35-35)*'Rate Card'!$AJ$22))))))</f>
        <v/>
      </c>
      <c r="G39" s="23">
        <f>ROUND((IF(35&lt;=2,'Rate Card'!$AD$22,IF(35&lt;=5,'Rate Card'!$AE$22,IF(35&lt;=10,'Rate Card'!$AF$22,IF(35&lt;=15,'Rate Card'!$AG$22,IF(35&lt;=20,'Rate Card'!$AH$22,IF(35&lt;=35,'Rate Card'!$AH$22+(35-20)*'Rate Card'!$AI$22,'Rate Card'!$AK$22+(35-35)*'Rate Card'!$AJ$22)))))))*(1+'Rate Card'!$C$6),2)+ROUND(ROUND((IF(35&lt;=2,'Rate Card'!$AD$22,IF(35&lt;=5,'Rate Card'!$AE$22,IF(35&lt;=10,'Rate Card'!$AF$22,IF(35&lt;=15,'Rate Card'!$AG$22,IF(35&lt;=20,'Rate Card'!$AH$22,IF(35&lt;=35,'Rate Card'!$AH$22+(35-20)*'Rate Card'!$AI$22,'Rate Card'!$AK$22+(35-35)*'Rate Card'!$AJ$22)))))))*(1+'Rate Card'!$C$6),2)*(IF('Rate Card'!$G$6="YES",'Rate Card'!$E$6,0)+IF('Rate Card'!$K$6="YES",'Rate Card'!$I$6,0)),2)</f>
        <v/>
      </c>
      <c r="H39" s="23">
        <f>IF(35&lt;=2,'Rate Card'!$AD$23,IF(35&lt;=5,'Rate Card'!$AE$23,IF(35&lt;=10,'Rate Card'!$AF$23,IF(35&lt;=15,'Rate Card'!$AG$23,IF(35&lt;=20,'Rate Card'!$AH$23,IF(35&lt;=35,'Rate Card'!$AH$23+(35-20)*'Rate Card'!$AI$23,'Rate Card'!$AK$23+(35-35)*'Rate Card'!$AJ$23))))))</f>
        <v/>
      </c>
      <c r="I39" s="23">
        <f>ROUND((IF(35&lt;=2,'Rate Card'!$AD$23,IF(35&lt;=5,'Rate Card'!$AE$23,IF(35&lt;=10,'Rate Card'!$AF$23,IF(35&lt;=15,'Rate Card'!$AG$23,IF(35&lt;=20,'Rate Card'!$AH$23,IF(35&lt;=35,'Rate Card'!$AH$23+(35-20)*'Rate Card'!$AI$23,'Rate Card'!$AK$23+(35-35)*'Rate Card'!$AJ$23)))))))*(1+'Rate Card'!$C$6),2)+ROUND(ROUND((IF(35&lt;=2,'Rate Card'!$AD$23,IF(35&lt;=5,'Rate Card'!$AE$23,IF(35&lt;=10,'Rate Card'!$AF$23,IF(35&lt;=15,'Rate Card'!$AG$23,IF(35&lt;=20,'Rate Card'!$AH$23,IF(35&lt;=35,'Rate Card'!$AH$23+(35-20)*'Rate Card'!$AI$23,'Rate Card'!$AK$23+(35-35)*'Rate Card'!$AJ$23)))))))*(1+'Rate Card'!$C$6),2)*(IF('Rate Card'!$G$6="YES",'Rate Card'!$E$6,0)+IF('Rate Card'!$K$6="YES",'Rate Card'!$I$6,0)),2)</f>
        <v/>
      </c>
      <c r="J39" s="23">
        <f>IF(35&lt;=5,'Rate Card'!$AD$117,'Rate Card'!$AD$117+(35-5)*'Rate Card'!$AE$117)</f>
        <v/>
      </c>
      <c r="K39" s="23">
        <f>ROUND((IF(35&lt;=5,'Rate Card'!$AD$117,'Rate Card'!$AD$117+(35-5)*'Rate Card'!$AE$117))*(1+'Rate Card'!$C$6),2)+ROUND(ROUND((IF(35&lt;=5,'Rate Card'!$AD$117,'Rate Card'!$AD$117+(35-5)*'Rate Card'!$AE$117))*(1+'Rate Card'!$C$6),2)*(IF('Rate Card'!$G$6="YES",'Rate Card'!$E$6,0)+IF('Rate Card'!$K$6="YES",'Rate Card'!$I$6,0)),2)</f>
        <v/>
      </c>
      <c r="L39" s="23">
        <f>IF(35&lt;=15,'Rate Card'!$AD$118,'Rate Card'!$AD$118+(35-15)*'Rate Card'!$AE$118)</f>
        <v/>
      </c>
      <c r="M39" s="23">
        <f>ROUND((IF(35&lt;=15,'Rate Card'!$AD$118,'Rate Card'!$AD$118+(35-15)*'Rate Card'!$AE$118))*(1+'Rate Card'!$C$6),2)+ROUND(ROUND((IF(35&lt;=15,'Rate Card'!$AD$118,'Rate Card'!$AD$118+(35-15)*'Rate Card'!$AE$118))*(1+'Rate Card'!$C$6),2)*(IF('Rate Card'!$G$6="YES",'Rate Card'!$E$6,0)+IF('Rate Card'!$K$6="YES",'Rate Card'!$I$6,0)),2)</f>
        <v/>
      </c>
      <c r="N39" s="23">
        <f>IF(35&lt;=2,'Rate Card'!$AD$119,IF(35&lt;=5,'Rate Card'!$AE$119,IF(35&lt;=10,'Rate Card'!$AF$119,IF(35&lt;=15,'Rate Card'!$AG$119,IF(35&lt;=20,'Rate Card'!$AH$119,IF(35&lt;=35,'Rate Card'!$AH$119+(35-20)*'Rate Card'!$AI$119,'Rate Card'!$AK$119+(35-35)*'Rate Card'!$AJ$119))))))</f>
        <v/>
      </c>
      <c r="O39" s="23">
        <f>ROUND((IF(35&lt;=2,'Rate Card'!$AD$119,IF(35&lt;=5,'Rate Card'!$AE$119,IF(35&lt;=10,'Rate Card'!$AF$119,IF(35&lt;=15,'Rate Card'!$AG$119,IF(35&lt;=20,'Rate Card'!$AH$119,IF(35&lt;=35,'Rate Card'!$AH$119+(35-20)*'Rate Card'!$AI$119,'Rate Card'!$AK$119+(35-35)*'Rate Card'!$AJ$119)))))))*(1+'Rate Card'!$C$6),2)+ROUND(ROUND((IF(35&lt;=2,'Rate Card'!$AD$119,IF(35&lt;=5,'Rate Card'!$AE$119,IF(35&lt;=10,'Rate Card'!$AF$119,IF(35&lt;=15,'Rate Card'!$AG$119,IF(35&lt;=20,'Rate Card'!$AH$119,IF(35&lt;=35,'Rate Card'!$AH$119+(35-20)*'Rate Card'!$AI$119,'Rate Card'!$AK$119+(35-35)*'Rate Card'!$AJ$119)))))))*(1+'Rate Card'!$C$6),2)*(IF('Rate Card'!$G$6="YES",'Rate Card'!$E$6,0)+IF('Rate Card'!$K$6="YES",'Rate Card'!$I$6,0)),2)</f>
        <v/>
      </c>
      <c r="P39" s="23">
        <f>IF(35&lt;=2,'Rate Card'!$AD$120,IF(35&lt;=5,'Rate Card'!$AE$120,IF(35&lt;=10,'Rate Card'!$AF$120,IF(35&lt;=15,'Rate Card'!$AG$120,IF(35&lt;=20,'Rate Card'!$AH$120,IF(35&lt;=35,'Rate Card'!$AH$120+(35-20)*'Rate Card'!$AI$120,'Rate Card'!$AK$120+(35-35)*'Rate Card'!$AJ$120))))))</f>
        <v/>
      </c>
      <c r="Q39" s="12">
        <f>ROUND((IF(35&lt;=2,'Rate Card'!$AD$120,IF(35&lt;=5,'Rate Card'!$AE$120,IF(35&lt;=10,'Rate Card'!$AF$120,IF(35&lt;=15,'Rate Card'!$AG$120,IF(35&lt;=20,'Rate Card'!$AH$120,IF(35&lt;=35,'Rate Card'!$AH$120+(35-20)*'Rate Card'!$AI$120,'Rate Card'!$AK$120+(35-35)*'Rate Card'!$AJ$120)))))))*(1+'Rate Card'!$C$6),2)+ROUND(ROUND((IF(35&lt;=2,'Rate Card'!$AD$120,IF(35&lt;=5,'Rate Card'!$AE$120,IF(35&lt;=10,'Rate Card'!$AF$120,IF(35&lt;=15,'Rate Card'!$AG$120,IF(35&lt;=20,'Rate Card'!$AH$120,IF(35&lt;=35,'Rate Card'!$AH$120+(35-20)*'Rate Card'!$AI$120,'Rate Card'!$AK$120+(35-35)*'Rate Card'!$AJ$120)))))))*(1+'Rate Card'!$C$6),2)*(IF('Rate Card'!$G$6="YES",'Rate Card'!$E$6,0)+IF('Rate Card'!$K$6="YES",'Rate Card'!$I$6,0)),2)</f>
        <v/>
      </c>
    </row>
    <row r="40">
      <c r="A40" s="75" t="n">
        <v>36</v>
      </c>
      <c r="B40" s="10">
        <f>""</f>
        <v/>
      </c>
      <c r="C40" s="10">
        <f>""</f>
        <v/>
      </c>
      <c r="D40" s="10">
        <f>""</f>
        <v/>
      </c>
      <c r="E40" s="10">
        <f>""</f>
        <v/>
      </c>
      <c r="F40" s="23">
        <f>IF(36&lt;=2,'Rate Card'!$AD$22,IF(36&lt;=5,'Rate Card'!$AE$22,IF(36&lt;=10,'Rate Card'!$AF$22,IF(36&lt;=15,'Rate Card'!$AG$22,IF(36&lt;=20,'Rate Card'!$AH$22,IF(36&lt;=35,'Rate Card'!$AH$22+(36-20)*'Rate Card'!$AI$22,'Rate Card'!$AK$22+(36-35)*'Rate Card'!$AJ$22))))))</f>
        <v/>
      </c>
      <c r="G40" s="23">
        <f>ROUND((IF(36&lt;=2,'Rate Card'!$AD$22,IF(36&lt;=5,'Rate Card'!$AE$22,IF(36&lt;=10,'Rate Card'!$AF$22,IF(36&lt;=15,'Rate Card'!$AG$22,IF(36&lt;=20,'Rate Card'!$AH$22,IF(36&lt;=35,'Rate Card'!$AH$22+(36-20)*'Rate Card'!$AI$22,'Rate Card'!$AK$22+(36-35)*'Rate Card'!$AJ$22)))))))*(1+'Rate Card'!$C$6),2)+ROUND(ROUND((IF(36&lt;=2,'Rate Card'!$AD$22,IF(36&lt;=5,'Rate Card'!$AE$22,IF(36&lt;=10,'Rate Card'!$AF$22,IF(36&lt;=15,'Rate Card'!$AG$22,IF(36&lt;=20,'Rate Card'!$AH$22,IF(36&lt;=35,'Rate Card'!$AH$22+(36-20)*'Rate Card'!$AI$22,'Rate Card'!$AK$22+(36-35)*'Rate Card'!$AJ$22)))))))*(1+'Rate Card'!$C$6),2)*(IF('Rate Card'!$G$6="YES",'Rate Card'!$E$6,0)+IF('Rate Card'!$K$6="YES",'Rate Card'!$I$6,0)),2)</f>
        <v/>
      </c>
      <c r="H40" s="23">
        <f>IF(36&lt;=2,'Rate Card'!$AD$23,IF(36&lt;=5,'Rate Card'!$AE$23,IF(36&lt;=10,'Rate Card'!$AF$23,IF(36&lt;=15,'Rate Card'!$AG$23,IF(36&lt;=20,'Rate Card'!$AH$23,IF(36&lt;=35,'Rate Card'!$AH$23+(36-20)*'Rate Card'!$AI$23,'Rate Card'!$AK$23+(36-35)*'Rate Card'!$AJ$23))))))</f>
        <v/>
      </c>
      <c r="I40" s="23">
        <f>ROUND((IF(36&lt;=2,'Rate Card'!$AD$23,IF(36&lt;=5,'Rate Card'!$AE$23,IF(36&lt;=10,'Rate Card'!$AF$23,IF(36&lt;=15,'Rate Card'!$AG$23,IF(36&lt;=20,'Rate Card'!$AH$23,IF(36&lt;=35,'Rate Card'!$AH$23+(36-20)*'Rate Card'!$AI$23,'Rate Card'!$AK$23+(36-35)*'Rate Card'!$AJ$23)))))))*(1+'Rate Card'!$C$6),2)+ROUND(ROUND((IF(36&lt;=2,'Rate Card'!$AD$23,IF(36&lt;=5,'Rate Card'!$AE$23,IF(36&lt;=10,'Rate Card'!$AF$23,IF(36&lt;=15,'Rate Card'!$AG$23,IF(36&lt;=20,'Rate Card'!$AH$23,IF(36&lt;=35,'Rate Card'!$AH$23+(36-20)*'Rate Card'!$AI$23,'Rate Card'!$AK$23+(36-35)*'Rate Card'!$AJ$23)))))))*(1+'Rate Card'!$C$6),2)*(IF('Rate Card'!$G$6="YES",'Rate Card'!$E$6,0)+IF('Rate Card'!$K$6="YES",'Rate Card'!$I$6,0)),2)</f>
        <v/>
      </c>
      <c r="J40" s="10">
        <f>""</f>
        <v/>
      </c>
      <c r="K40" s="10">
        <f>""</f>
        <v/>
      </c>
      <c r="L40" s="10">
        <f>""</f>
        <v/>
      </c>
      <c r="M40" s="10">
        <f>""</f>
        <v/>
      </c>
      <c r="N40" s="23">
        <f>IF(36&lt;=2,'Rate Card'!$AD$119,IF(36&lt;=5,'Rate Card'!$AE$119,IF(36&lt;=10,'Rate Card'!$AF$119,IF(36&lt;=15,'Rate Card'!$AG$119,IF(36&lt;=20,'Rate Card'!$AH$119,IF(36&lt;=35,'Rate Card'!$AH$119+(36-20)*'Rate Card'!$AI$119,'Rate Card'!$AK$119+(36-35)*'Rate Card'!$AJ$119))))))</f>
        <v/>
      </c>
      <c r="O40" s="23">
        <f>ROUND((IF(36&lt;=2,'Rate Card'!$AD$119,IF(36&lt;=5,'Rate Card'!$AE$119,IF(36&lt;=10,'Rate Card'!$AF$119,IF(36&lt;=15,'Rate Card'!$AG$119,IF(36&lt;=20,'Rate Card'!$AH$119,IF(36&lt;=35,'Rate Card'!$AH$119+(36-20)*'Rate Card'!$AI$119,'Rate Card'!$AK$119+(36-35)*'Rate Card'!$AJ$119)))))))*(1+'Rate Card'!$C$6),2)+ROUND(ROUND((IF(36&lt;=2,'Rate Card'!$AD$119,IF(36&lt;=5,'Rate Card'!$AE$119,IF(36&lt;=10,'Rate Card'!$AF$119,IF(36&lt;=15,'Rate Card'!$AG$119,IF(36&lt;=20,'Rate Card'!$AH$119,IF(36&lt;=35,'Rate Card'!$AH$119+(36-20)*'Rate Card'!$AI$119,'Rate Card'!$AK$119+(36-35)*'Rate Card'!$AJ$119)))))))*(1+'Rate Card'!$C$6),2)*(IF('Rate Card'!$G$6="YES",'Rate Card'!$E$6,0)+IF('Rate Card'!$K$6="YES",'Rate Card'!$I$6,0)),2)</f>
        <v/>
      </c>
      <c r="P40" s="23">
        <f>IF(36&lt;=2,'Rate Card'!$AD$120,IF(36&lt;=5,'Rate Card'!$AE$120,IF(36&lt;=10,'Rate Card'!$AF$120,IF(36&lt;=15,'Rate Card'!$AG$120,IF(36&lt;=20,'Rate Card'!$AH$120,IF(36&lt;=35,'Rate Card'!$AH$120+(36-20)*'Rate Card'!$AI$120,'Rate Card'!$AK$120+(36-35)*'Rate Card'!$AJ$120))))))</f>
        <v/>
      </c>
      <c r="Q40" s="12">
        <f>ROUND((IF(36&lt;=2,'Rate Card'!$AD$120,IF(36&lt;=5,'Rate Card'!$AE$120,IF(36&lt;=10,'Rate Card'!$AF$120,IF(36&lt;=15,'Rate Card'!$AG$120,IF(36&lt;=20,'Rate Card'!$AH$120,IF(36&lt;=35,'Rate Card'!$AH$120+(36-20)*'Rate Card'!$AI$120,'Rate Card'!$AK$120+(36-35)*'Rate Card'!$AJ$120)))))))*(1+'Rate Card'!$C$6),2)+ROUND(ROUND((IF(36&lt;=2,'Rate Card'!$AD$120,IF(36&lt;=5,'Rate Card'!$AE$120,IF(36&lt;=10,'Rate Card'!$AF$120,IF(36&lt;=15,'Rate Card'!$AG$120,IF(36&lt;=20,'Rate Card'!$AH$120,IF(36&lt;=35,'Rate Card'!$AH$120+(36-20)*'Rate Card'!$AI$120,'Rate Card'!$AK$120+(36-35)*'Rate Card'!$AJ$120)))))))*(1+'Rate Card'!$C$6),2)*(IF('Rate Card'!$G$6="YES",'Rate Card'!$E$6,0)+IF('Rate Card'!$K$6="YES",'Rate Card'!$I$6,0)),2)</f>
        <v/>
      </c>
    </row>
    <row r="41">
      <c r="A41" s="75" t="n">
        <v>37</v>
      </c>
      <c r="B41" s="10">
        <f>""</f>
        <v/>
      </c>
      <c r="C41" s="10">
        <f>""</f>
        <v/>
      </c>
      <c r="D41" s="10">
        <f>""</f>
        <v/>
      </c>
      <c r="E41" s="10">
        <f>""</f>
        <v/>
      </c>
      <c r="F41" s="23">
        <f>IF(37&lt;=2,'Rate Card'!$AD$22,IF(37&lt;=5,'Rate Card'!$AE$22,IF(37&lt;=10,'Rate Card'!$AF$22,IF(37&lt;=15,'Rate Card'!$AG$22,IF(37&lt;=20,'Rate Card'!$AH$22,IF(37&lt;=35,'Rate Card'!$AH$22+(37-20)*'Rate Card'!$AI$22,'Rate Card'!$AK$22+(37-35)*'Rate Card'!$AJ$22))))))</f>
        <v/>
      </c>
      <c r="G41" s="23">
        <f>ROUND((IF(37&lt;=2,'Rate Card'!$AD$22,IF(37&lt;=5,'Rate Card'!$AE$22,IF(37&lt;=10,'Rate Card'!$AF$22,IF(37&lt;=15,'Rate Card'!$AG$22,IF(37&lt;=20,'Rate Card'!$AH$22,IF(37&lt;=35,'Rate Card'!$AH$22+(37-20)*'Rate Card'!$AI$22,'Rate Card'!$AK$22+(37-35)*'Rate Card'!$AJ$22)))))))*(1+'Rate Card'!$C$6),2)+ROUND(ROUND((IF(37&lt;=2,'Rate Card'!$AD$22,IF(37&lt;=5,'Rate Card'!$AE$22,IF(37&lt;=10,'Rate Card'!$AF$22,IF(37&lt;=15,'Rate Card'!$AG$22,IF(37&lt;=20,'Rate Card'!$AH$22,IF(37&lt;=35,'Rate Card'!$AH$22+(37-20)*'Rate Card'!$AI$22,'Rate Card'!$AK$22+(37-35)*'Rate Card'!$AJ$22)))))))*(1+'Rate Card'!$C$6),2)*(IF('Rate Card'!$G$6="YES",'Rate Card'!$E$6,0)+IF('Rate Card'!$K$6="YES",'Rate Card'!$I$6,0)),2)</f>
        <v/>
      </c>
      <c r="H41" s="23">
        <f>IF(37&lt;=2,'Rate Card'!$AD$23,IF(37&lt;=5,'Rate Card'!$AE$23,IF(37&lt;=10,'Rate Card'!$AF$23,IF(37&lt;=15,'Rate Card'!$AG$23,IF(37&lt;=20,'Rate Card'!$AH$23,IF(37&lt;=35,'Rate Card'!$AH$23+(37-20)*'Rate Card'!$AI$23,'Rate Card'!$AK$23+(37-35)*'Rate Card'!$AJ$23))))))</f>
        <v/>
      </c>
      <c r="I41" s="23">
        <f>ROUND((IF(37&lt;=2,'Rate Card'!$AD$23,IF(37&lt;=5,'Rate Card'!$AE$23,IF(37&lt;=10,'Rate Card'!$AF$23,IF(37&lt;=15,'Rate Card'!$AG$23,IF(37&lt;=20,'Rate Card'!$AH$23,IF(37&lt;=35,'Rate Card'!$AH$23+(37-20)*'Rate Card'!$AI$23,'Rate Card'!$AK$23+(37-35)*'Rate Card'!$AJ$23)))))))*(1+'Rate Card'!$C$6),2)+ROUND(ROUND((IF(37&lt;=2,'Rate Card'!$AD$23,IF(37&lt;=5,'Rate Card'!$AE$23,IF(37&lt;=10,'Rate Card'!$AF$23,IF(37&lt;=15,'Rate Card'!$AG$23,IF(37&lt;=20,'Rate Card'!$AH$23,IF(37&lt;=35,'Rate Card'!$AH$23+(37-20)*'Rate Card'!$AI$23,'Rate Card'!$AK$23+(37-35)*'Rate Card'!$AJ$23)))))))*(1+'Rate Card'!$C$6),2)*(IF('Rate Card'!$G$6="YES",'Rate Card'!$E$6,0)+IF('Rate Card'!$K$6="YES",'Rate Card'!$I$6,0)),2)</f>
        <v/>
      </c>
      <c r="J41" s="10">
        <f>""</f>
        <v/>
      </c>
      <c r="K41" s="10">
        <f>""</f>
        <v/>
      </c>
      <c r="L41" s="10">
        <f>""</f>
        <v/>
      </c>
      <c r="M41" s="10">
        <f>""</f>
        <v/>
      </c>
      <c r="N41" s="23">
        <f>IF(37&lt;=2,'Rate Card'!$AD$119,IF(37&lt;=5,'Rate Card'!$AE$119,IF(37&lt;=10,'Rate Card'!$AF$119,IF(37&lt;=15,'Rate Card'!$AG$119,IF(37&lt;=20,'Rate Card'!$AH$119,IF(37&lt;=35,'Rate Card'!$AH$119+(37-20)*'Rate Card'!$AI$119,'Rate Card'!$AK$119+(37-35)*'Rate Card'!$AJ$119))))))</f>
        <v/>
      </c>
      <c r="O41" s="23">
        <f>ROUND((IF(37&lt;=2,'Rate Card'!$AD$119,IF(37&lt;=5,'Rate Card'!$AE$119,IF(37&lt;=10,'Rate Card'!$AF$119,IF(37&lt;=15,'Rate Card'!$AG$119,IF(37&lt;=20,'Rate Card'!$AH$119,IF(37&lt;=35,'Rate Card'!$AH$119+(37-20)*'Rate Card'!$AI$119,'Rate Card'!$AK$119+(37-35)*'Rate Card'!$AJ$119)))))))*(1+'Rate Card'!$C$6),2)+ROUND(ROUND((IF(37&lt;=2,'Rate Card'!$AD$119,IF(37&lt;=5,'Rate Card'!$AE$119,IF(37&lt;=10,'Rate Card'!$AF$119,IF(37&lt;=15,'Rate Card'!$AG$119,IF(37&lt;=20,'Rate Card'!$AH$119,IF(37&lt;=35,'Rate Card'!$AH$119+(37-20)*'Rate Card'!$AI$119,'Rate Card'!$AK$119+(37-35)*'Rate Card'!$AJ$119)))))))*(1+'Rate Card'!$C$6),2)*(IF('Rate Card'!$G$6="YES",'Rate Card'!$E$6,0)+IF('Rate Card'!$K$6="YES",'Rate Card'!$I$6,0)),2)</f>
        <v/>
      </c>
      <c r="P41" s="23">
        <f>IF(37&lt;=2,'Rate Card'!$AD$120,IF(37&lt;=5,'Rate Card'!$AE$120,IF(37&lt;=10,'Rate Card'!$AF$120,IF(37&lt;=15,'Rate Card'!$AG$120,IF(37&lt;=20,'Rate Card'!$AH$120,IF(37&lt;=35,'Rate Card'!$AH$120+(37-20)*'Rate Card'!$AI$120,'Rate Card'!$AK$120+(37-35)*'Rate Card'!$AJ$120))))))</f>
        <v/>
      </c>
      <c r="Q41" s="12">
        <f>ROUND((IF(37&lt;=2,'Rate Card'!$AD$120,IF(37&lt;=5,'Rate Card'!$AE$120,IF(37&lt;=10,'Rate Card'!$AF$120,IF(37&lt;=15,'Rate Card'!$AG$120,IF(37&lt;=20,'Rate Card'!$AH$120,IF(37&lt;=35,'Rate Card'!$AH$120+(37-20)*'Rate Card'!$AI$120,'Rate Card'!$AK$120+(37-35)*'Rate Card'!$AJ$120)))))))*(1+'Rate Card'!$C$6),2)+ROUND(ROUND((IF(37&lt;=2,'Rate Card'!$AD$120,IF(37&lt;=5,'Rate Card'!$AE$120,IF(37&lt;=10,'Rate Card'!$AF$120,IF(37&lt;=15,'Rate Card'!$AG$120,IF(37&lt;=20,'Rate Card'!$AH$120,IF(37&lt;=35,'Rate Card'!$AH$120+(37-20)*'Rate Card'!$AI$120,'Rate Card'!$AK$120+(37-35)*'Rate Card'!$AJ$120)))))))*(1+'Rate Card'!$C$6),2)*(IF('Rate Card'!$G$6="YES",'Rate Card'!$E$6,0)+IF('Rate Card'!$K$6="YES",'Rate Card'!$I$6,0)),2)</f>
        <v/>
      </c>
    </row>
    <row r="42">
      <c r="A42" s="75" t="n">
        <v>38</v>
      </c>
      <c r="B42" s="10">
        <f>""</f>
        <v/>
      </c>
      <c r="C42" s="10">
        <f>""</f>
        <v/>
      </c>
      <c r="D42" s="10">
        <f>""</f>
        <v/>
      </c>
      <c r="E42" s="10">
        <f>""</f>
        <v/>
      </c>
      <c r="F42" s="23">
        <f>IF(38&lt;=2,'Rate Card'!$AD$22,IF(38&lt;=5,'Rate Card'!$AE$22,IF(38&lt;=10,'Rate Card'!$AF$22,IF(38&lt;=15,'Rate Card'!$AG$22,IF(38&lt;=20,'Rate Card'!$AH$22,IF(38&lt;=35,'Rate Card'!$AH$22+(38-20)*'Rate Card'!$AI$22,'Rate Card'!$AK$22+(38-35)*'Rate Card'!$AJ$22))))))</f>
        <v/>
      </c>
      <c r="G42" s="23">
        <f>ROUND((IF(38&lt;=2,'Rate Card'!$AD$22,IF(38&lt;=5,'Rate Card'!$AE$22,IF(38&lt;=10,'Rate Card'!$AF$22,IF(38&lt;=15,'Rate Card'!$AG$22,IF(38&lt;=20,'Rate Card'!$AH$22,IF(38&lt;=35,'Rate Card'!$AH$22+(38-20)*'Rate Card'!$AI$22,'Rate Card'!$AK$22+(38-35)*'Rate Card'!$AJ$22)))))))*(1+'Rate Card'!$C$6),2)+ROUND(ROUND((IF(38&lt;=2,'Rate Card'!$AD$22,IF(38&lt;=5,'Rate Card'!$AE$22,IF(38&lt;=10,'Rate Card'!$AF$22,IF(38&lt;=15,'Rate Card'!$AG$22,IF(38&lt;=20,'Rate Card'!$AH$22,IF(38&lt;=35,'Rate Card'!$AH$22+(38-20)*'Rate Card'!$AI$22,'Rate Card'!$AK$22+(38-35)*'Rate Card'!$AJ$22)))))))*(1+'Rate Card'!$C$6),2)*(IF('Rate Card'!$G$6="YES",'Rate Card'!$E$6,0)+IF('Rate Card'!$K$6="YES",'Rate Card'!$I$6,0)),2)</f>
        <v/>
      </c>
      <c r="H42" s="23">
        <f>IF(38&lt;=2,'Rate Card'!$AD$23,IF(38&lt;=5,'Rate Card'!$AE$23,IF(38&lt;=10,'Rate Card'!$AF$23,IF(38&lt;=15,'Rate Card'!$AG$23,IF(38&lt;=20,'Rate Card'!$AH$23,IF(38&lt;=35,'Rate Card'!$AH$23+(38-20)*'Rate Card'!$AI$23,'Rate Card'!$AK$23+(38-35)*'Rate Card'!$AJ$23))))))</f>
        <v/>
      </c>
      <c r="I42" s="23">
        <f>ROUND((IF(38&lt;=2,'Rate Card'!$AD$23,IF(38&lt;=5,'Rate Card'!$AE$23,IF(38&lt;=10,'Rate Card'!$AF$23,IF(38&lt;=15,'Rate Card'!$AG$23,IF(38&lt;=20,'Rate Card'!$AH$23,IF(38&lt;=35,'Rate Card'!$AH$23+(38-20)*'Rate Card'!$AI$23,'Rate Card'!$AK$23+(38-35)*'Rate Card'!$AJ$23)))))))*(1+'Rate Card'!$C$6),2)+ROUND(ROUND((IF(38&lt;=2,'Rate Card'!$AD$23,IF(38&lt;=5,'Rate Card'!$AE$23,IF(38&lt;=10,'Rate Card'!$AF$23,IF(38&lt;=15,'Rate Card'!$AG$23,IF(38&lt;=20,'Rate Card'!$AH$23,IF(38&lt;=35,'Rate Card'!$AH$23+(38-20)*'Rate Card'!$AI$23,'Rate Card'!$AK$23+(38-35)*'Rate Card'!$AJ$23)))))))*(1+'Rate Card'!$C$6),2)*(IF('Rate Card'!$G$6="YES",'Rate Card'!$E$6,0)+IF('Rate Card'!$K$6="YES",'Rate Card'!$I$6,0)),2)</f>
        <v/>
      </c>
      <c r="J42" s="10">
        <f>""</f>
        <v/>
      </c>
      <c r="K42" s="10">
        <f>""</f>
        <v/>
      </c>
      <c r="L42" s="10">
        <f>""</f>
        <v/>
      </c>
      <c r="M42" s="10">
        <f>""</f>
        <v/>
      </c>
      <c r="N42" s="23">
        <f>IF(38&lt;=2,'Rate Card'!$AD$119,IF(38&lt;=5,'Rate Card'!$AE$119,IF(38&lt;=10,'Rate Card'!$AF$119,IF(38&lt;=15,'Rate Card'!$AG$119,IF(38&lt;=20,'Rate Card'!$AH$119,IF(38&lt;=35,'Rate Card'!$AH$119+(38-20)*'Rate Card'!$AI$119,'Rate Card'!$AK$119+(38-35)*'Rate Card'!$AJ$119))))))</f>
        <v/>
      </c>
      <c r="O42" s="23">
        <f>ROUND((IF(38&lt;=2,'Rate Card'!$AD$119,IF(38&lt;=5,'Rate Card'!$AE$119,IF(38&lt;=10,'Rate Card'!$AF$119,IF(38&lt;=15,'Rate Card'!$AG$119,IF(38&lt;=20,'Rate Card'!$AH$119,IF(38&lt;=35,'Rate Card'!$AH$119+(38-20)*'Rate Card'!$AI$119,'Rate Card'!$AK$119+(38-35)*'Rate Card'!$AJ$119)))))))*(1+'Rate Card'!$C$6),2)+ROUND(ROUND((IF(38&lt;=2,'Rate Card'!$AD$119,IF(38&lt;=5,'Rate Card'!$AE$119,IF(38&lt;=10,'Rate Card'!$AF$119,IF(38&lt;=15,'Rate Card'!$AG$119,IF(38&lt;=20,'Rate Card'!$AH$119,IF(38&lt;=35,'Rate Card'!$AH$119+(38-20)*'Rate Card'!$AI$119,'Rate Card'!$AK$119+(38-35)*'Rate Card'!$AJ$119)))))))*(1+'Rate Card'!$C$6),2)*(IF('Rate Card'!$G$6="YES",'Rate Card'!$E$6,0)+IF('Rate Card'!$K$6="YES",'Rate Card'!$I$6,0)),2)</f>
        <v/>
      </c>
      <c r="P42" s="23">
        <f>IF(38&lt;=2,'Rate Card'!$AD$120,IF(38&lt;=5,'Rate Card'!$AE$120,IF(38&lt;=10,'Rate Card'!$AF$120,IF(38&lt;=15,'Rate Card'!$AG$120,IF(38&lt;=20,'Rate Card'!$AH$120,IF(38&lt;=35,'Rate Card'!$AH$120+(38-20)*'Rate Card'!$AI$120,'Rate Card'!$AK$120+(38-35)*'Rate Card'!$AJ$120))))))</f>
        <v/>
      </c>
      <c r="Q42" s="12">
        <f>ROUND((IF(38&lt;=2,'Rate Card'!$AD$120,IF(38&lt;=5,'Rate Card'!$AE$120,IF(38&lt;=10,'Rate Card'!$AF$120,IF(38&lt;=15,'Rate Card'!$AG$120,IF(38&lt;=20,'Rate Card'!$AH$120,IF(38&lt;=35,'Rate Card'!$AH$120+(38-20)*'Rate Card'!$AI$120,'Rate Card'!$AK$120+(38-35)*'Rate Card'!$AJ$120)))))))*(1+'Rate Card'!$C$6),2)+ROUND(ROUND((IF(38&lt;=2,'Rate Card'!$AD$120,IF(38&lt;=5,'Rate Card'!$AE$120,IF(38&lt;=10,'Rate Card'!$AF$120,IF(38&lt;=15,'Rate Card'!$AG$120,IF(38&lt;=20,'Rate Card'!$AH$120,IF(38&lt;=35,'Rate Card'!$AH$120+(38-20)*'Rate Card'!$AI$120,'Rate Card'!$AK$120+(38-35)*'Rate Card'!$AJ$120)))))))*(1+'Rate Card'!$C$6),2)*(IF('Rate Card'!$G$6="YES",'Rate Card'!$E$6,0)+IF('Rate Card'!$K$6="YES",'Rate Card'!$I$6,0)),2)</f>
        <v/>
      </c>
    </row>
    <row r="43">
      <c r="A43" s="75" t="n">
        <v>39</v>
      </c>
      <c r="B43" s="10">
        <f>""</f>
        <v/>
      </c>
      <c r="C43" s="10">
        <f>""</f>
        <v/>
      </c>
      <c r="D43" s="10">
        <f>""</f>
        <v/>
      </c>
      <c r="E43" s="10">
        <f>""</f>
        <v/>
      </c>
      <c r="F43" s="23">
        <f>IF(39&lt;=2,'Rate Card'!$AD$22,IF(39&lt;=5,'Rate Card'!$AE$22,IF(39&lt;=10,'Rate Card'!$AF$22,IF(39&lt;=15,'Rate Card'!$AG$22,IF(39&lt;=20,'Rate Card'!$AH$22,IF(39&lt;=35,'Rate Card'!$AH$22+(39-20)*'Rate Card'!$AI$22,'Rate Card'!$AK$22+(39-35)*'Rate Card'!$AJ$22))))))</f>
        <v/>
      </c>
      <c r="G43" s="23">
        <f>ROUND((IF(39&lt;=2,'Rate Card'!$AD$22,IF(39&lt;=5,'Rate Card'!$AE$22,IF(39&lt;=10,'Rate Card'!$AF$22,IF(39&lt;=15,'Rate Card'!$AG$22,IF(39&lt;=20,'Rate Card'!$AH$22,IF(39&lt;=35,'Rate Card'!$AH$22+(39-20)*'Rate Card'!$AI$22,'Rate Card'!$AK$22+(39-35)*'Rate Card'!$AJ$22)))))))*(1+'Rate Card'!$C$6),2)+ROUND(ROUND((IF(39&lt;=2,'Rate Card'!$AD$22,IF(39&lt;=5,'Rate Card'!$AE$22,IF(39&lt;=10,'Rate Card'!$AF$22,IF(39&lt;=15,'Rate Card'!$AG$22,IF(39&lt;=20,'Rate Card'!$AH$22,IF(39&lt;=35,'Rate Card'!$AH$22+(39-20)*'Rate Card'!$AI$22,'Rate Card'!$AK$22+(39-35)*'Rate Card'!$AJ$22)))))))*(1+'Rate Card'!$C$6),2)*(IF('Rate Card'!$G$6="YES",'Rate Card'!$E$6,0)+IF('Rate Card'!$K$6="YES",'Rate Card'!$I$6,0)),2)</f>
        <v/>
      </c>
      <c r="H43" s="23">
        <f>IF(39&lt;=2,'Rate Card'!$AD$23,IF(39&lt;=5,'Rate Card'!$AE$23,IF(39&lt;=10,'Rate Card'!$AF$23,IF(39&lt;=15,'Rate Card'!$AG$23,IF(39&lt;=20,'Rate Card'!$AH$23,IF(39&lt;=35,'Rate Card'!$AH$23+(39-20)*'Rate Card'!$AI$23,'Rate Card'!$AK$23+(39-35)*'Rate Card'!$AJ$23))))))</f>
        <v/>
      </c>
      <c r="I43" s="23">
        <f>ROUND((IF(39&lt;=2,'Rate Card'!$AD$23,IF(39&lt;=5,'Rate Card'!$AE$23,IF(39&lt;=10,'Rate Card'!$AF$23,IF(39&lt;=15,'Rate Card'!$AG$23,IF(39&lt;=20,'Rate Card'!$AH$23,IF(39&lt;=35,'Rate Card'!$AH$23+(39-20)*'Rate Card'!$AI$23,'Rate Card'!$AK$23+(39-35)*'Rate Card'!$AJ$23)))))))*(1+'Rate Card'!$C$6),2)+ROUND(ROUND((IF(39&lt;=2,'Rate Card'!$AD$23,IF(39&lt;=5,'Rate Card'!$AE$23,IF(39&lt;=10,'Rate Card'!$AF$23,IF(39&lt;=15,'Rate Card'!$AG$23,IF(39&lt;=20,'Rate Card'!$AH$23,IF(39&lt;=35,'Rate Card'!$AH$23+(39-20)*'Rate Card'!$AI$23,'Rate Card'!$AK$23+(39-35)*'Rate Card'!$AJ$23)))))))*(1+'Rate Card'!$C$6),2)*(IF('Rate Card'!$G$6="YES",'Rate Card'!$E$6,0)+IF('Rate Card'!$K$6="YES",'Rate Card'!$I$6,0)),2)</f>
        <v/>
      </c>
      <c r="J43" s="10">
        <f>""</f>
        <v/>
      </c>
      <c r="K43" s="10">
        <f>""</f>
        <v/>
      </c>
      <c r="L43" s="10">
        <f>""</f>
        <v/>
      </c>
      <c r="M43" s="10">
        <f>""</f>
        <v/>
      </c>
      <c r="N43" s="23">
        <f>IF(39&lt;=2,'Rate Card'!$AD$119,IF(39&lt;=5,'Rate Card'!$AE$119,IF(39&lt;=10,'Rate Card'!$AF$119,IF(39&lt;=15,'Rate Card'!$AG$119,IF(39&lt;=20,'Rate Card'!$AH$119,IF(39&lt;=35,'Rate Card'!$AH$119+(39-20)*'Rate Card'!$AI$119,'Rate Card'!$AK$119+(39-35)*'Rate Card'!$AJ$119))))))</f>
        <v/>
      </c>
      <c r="O43" s="23">
        <f>ROUND((IF(39&lt;=2,'Rate Card'!$AD$119,IF(39&lt;=5,'Rate Card'!$AE$119,IF(39&lt;=10,'Rate Card'!$AF$119,IF(39&lt;=15,'Rate Card'!$AG$119,IF(39&lt;=20,'Rate Card'!$AH$119,IF(39&lt;=35,'Rate Card'!$AH$119+(39-20)*'Rate Card'!$AI$119,'Rate Card'!$AK$119+(39-35)*'Rate Card'!$AJ$119)))))))*(1+'Rate Card'!$C$6),2)+ROUND(ROUND((IF(39&lt;=2,'Rate Card'!$AD$119,IF(39&lt;=5,'Rate Card'!$AE$119,IF(39&lt;=10,'Rate Card'!$AF$119,IF(39&lt;=15,'Rate Card'!$AG$119,IF(39&lt;=20,'Rate Card'!$AH$119,IF(39&lt;=35,'Rate Card'!$AH$119+(39-20)*'Rate Card'!$AI$119,'Rate Card'!$AK$119+(39-35)*'Rate Card'!$AJ$119)))))))*(1+'Rate Card'!$C$6),2)*(IF('Rate Card'!$G$6="YES",'Rate Card'!$E$6,0)+IF('Rate Card'!$K$6="YES",'Rate Card'!$I$6,0)),2)</f>
        <v/>
      </c>
      <c r="P43" s="23">
        <f>IF(39&lt;=2,'Rate Card'!$AD$120,IF(39&lt;=5,'Rate Card'!$AE$120,IF(39&lt;=10,'Rate Card'!$AF$120,IF(39&lt;=15,'Rate Card'!$AG$120,IF(39&lt;=20,'Rate Card'!$AH$120,IF(39&lt;=35,'Rate Card'!$AH$120+(39-20)*'Rate Card'!$AI$120,'Rate Card'!$AK$120+(39-35)*'Rate Card'!$AJ$120))))))</f>
        <v/>
      </c>
      <c r="Q43" s="12">
        <f>ROUND((IF(39&lt;=2,'Rate Card'!$AD$120,IF(39&lt;=5,'Rate Card'!$AE$120,IF(39&lt;=10,'Rate Card'!$AF$120,IF(39&lt;=15,'Rate Card'!$AG$120,IF(39&lt;=20,'Rate Card'!$AH$120,IF(39&lt;=35,'Rate Card'!$AH$120+(39-20)*'Rate Card'!$AI$120,'Rate Card'!$AK$120+(39-35)*'Rate Card'!$AJ$120)))))))*(1+'Rate Card'!$C$6),2)+ROUND(ROUND((IF(39&lt;=2,'Rate Card'!$AD$120,IF(39&lt;=5,'Rate Card'!$AE$120,IF(39&lt;=10,'Rate Card'!$AF$120,IF(39&lt;=15,'Rate Card'!$AG$120,IF(39&lt;=20,'Rate Card'!$AH$120,IF(39&lt;=35,'Rate Card'!$AH$120+(39-20)*'Rate Card'!$AI$120,'Rate Card'!$AK$120+(39-35)*'Rate Card'!$AJ$120)))))))*(1+'Rate Card'!$C$6),2)*(IF('Rate Card'!$G$6="YES",'Rate Card'!$E$6,0)+IF('Rate Card'!$K$6="YES",'Rate Card'!$I$6,0)),2)</f>
        <v/>
      </c>
    </row>
    <row r="44">
      <c r="A44" s="75" t="n">
        <v>40</v>
      </c>
      <c r="B44" s="10">
        <f>""</f>
        <v/>
      </c>
      <c r="C44" s="10">
        <f>""</f>
        <v/>
      </c>
      <c r="D44" s="10">
        <f>""</f>
        <v/>
      </c>
      <c r="E44" s="10">
        <f>""</f>
        <v/>
      </c>
      <c r="F44" s="23">
        <f>IF(40&lt;=2,'Rate Card'!$AD$22,IF(40&lt;=5,'Rate Card'!$AE$22,IF(40&lt;=10,'Rate Card'!$AF$22,IF(40&lt;=15,'Rate Card'!$AG$22,IF(40&lt;=20,'Rate Card'!$AH$22,IF(40&lt;=35,'Rate Card'!$AH$22+(40-20)*'Rate Card'!$AI$22,'Rate Card'!$AK$22+(40-35)*'Rate Card'!$AJ$22))))))</f>
        <v/>
      </c>
      <c r="G44" s="23">
        <f>ROUND((IF(40&lt;=2,'Rate Card'!$AD$22,IF(40&lt;=5,'Rate Card'!$AE$22,IF(40&lt;=10,'Rate Card'!$AF$22,IF(40&lt;=15,'Rate Card'!$AG$22,IF(40&lt;=20,'Rate Card'!$AH$22,IF(40&lt;=35,'Rate Card'!$AH$22+(40-20)*'Rate Card'!$AI$22,'Rate Card'!$AK$22+(40-35)*'Rate Card'!$AJ$22)))))))*(1+'Rate Card'!$C$6),2)+ROUND(ROUND((IF(40&lt;=2,'Rate Card'!$AD$22,IF(40&lt;=5,'Rate Card'!$AE$22,IF(40&lt;=10,'Rate Card'!$AF$22,IF(40&lt;=15,'Rate Card'!$AG$22,IF(40&lt;=20,'Rate Card'!$AH$22,IF(40&lt;=35,'Rate Card'!$AH$22+(40-20)*'Rate Card'!$AI$22,'Rate Card'!$AK$22+(40-35)*'Rate Card'!$AJ$22)))))))*(1+'Rate Card'!$C$6),2)*(IF('Rate Card'!$G$6="YES",'Rate Card'!$E$6,0)+IF('Rate Card'!$K$6="YES",'Rate Card'!$I$6,0)),2)</f>
        <v/>
      </c>
      <c r="H44" s="23">
        <f>IF(40&lt;=2,'Rate Card'!$AD$23,IF(40&lt;=5,'Rate Card'!$AE$23,IF(40&lt;=10,'Rate Card'!$AF$23,IF(40&lt;=15,'Rate Card'!$AG$23,IF(40&lt;=20,'Rate Card'!$AH$23,IF(40&lt;=35,'Rate Card'!$AH$23+(40-20)*'Rate Card'!$AI$23,'Rate Card'!$AK$23+(40-35)*'Rate Card'!$AJ$23))))))</f>
        <v/>
      </c>
      <c r="I44" s="23">
        <f>ROUND((IF(40&lt;=2,'Rate Card'!$AD$23,IF(40&lt;=5,'Rate Card'!$AE$23,IF(40&lt;=10,'Rate Card'!$AF$23,IF(40&lt;=15,'Rate Card'!$AG$23,IF(40&lt;=20,'Rate Card'!$AH$23,IF(40&lt;=35,'Rate Card'!$AH$23+(40-20)*'Rate Card'!$AI$23,'Rate Card'!$AK$23+(40-35)*'Rate Card'!$AJ$23)))))))*(1+'Rate Card'!$C$6),2)+ROUND(ROUND((IF(40&lt;=2,'Rate Card'!$AD$23,IF(40&lt;=5,'Rate Card'!$AE$23,IF(40&lt;=10,'Rate Card'!$AF$23,IF(40&lt;=15,'Rate Card'!$AG$23,IF(40&lt;=20,'Rate Card'!$AH$23,IF(40&lt;=35,'Rate Card'!$AH$23+(40-20)*'Rate Card'!$AI$23,'Rate Card'!$AK$23+(40-35)*'Rate Card'!$AJ$23)))))))*(1+'Rate Card'!$C$6),2)*(IF('Rate Card'!$G$6="YES",'Rate Card'!$E$6,0)+IF('Rate Card'!$K$6="YES",'Rate Card'!$I$6,0)),2)</f>
        <v/>
      </c>
      <c r="J44" s="10">
        <f>""</f>
        <v/>
      </c>
      <c r="K44" s="10">
        <f>""</f>
        <v/>
      </c>
      <c r="L44" s="10">
        <f>""</f>
        <v/>
      </c>
      <c r="M44" s="10">
        <f>""</f>
        <v/>
      </c>
      <c r="N44" s="23">
        <f>IF(40&lt;=2,'Rate Card'!$AD$119,IF(40&lt;=5,'Rate Card'!$AE$119,IF(40&lt;=10,'Rate Card'!$AF$119,IF(40&lt;=15,'Rate Card'!$AG$119,IF(40&lt;=20,'Rate Card'!$AH$119,IF(40&lt;=35,'Rate Card'!$AH$119+(40-20)*'Rate Card'!$AI$119,'Rate Card'!$AK$119+(40-35)*'Rate Card'!$AJ$119))))))</f>
        <v/>
      </c>
      <c r="O44" s="23">
        <f>ROUND((IF(40&lt;=2,'Rate Card'!$AD$119,IF(40&lt;=5,'Rate Card'!$AE$119,IF(40&lt;=10,'Rate Card'!$AF$119,IF(40&lt;=15,'Rate Card'!$AG$119,IF(40&lt;=20,'Rate Card'!$AH$119,IF(40&lt;=35,'Rate Card'!$AH$119+(40-20)*'Rate Card'!$AI$119,'Rate Card'!$AK$119+(40-35)*'Rate Card'!$AJ$119)))))))*(1+'Rate Card'!$C$6),2)+ROUND(ROUND((IF(40&lt;=2,'Rate Card'!$AD$119,IF(40&lt;=5,'Rate Card'!$AE$119,IF(40&lt;=10,'Rate Card'!$AF$119,IF(40&lt;=15,'Rate Card'!$AG$119,IF(40&lt;=20,'Rate Card'!$AH$119,IF(40&lt;=35,'Rate Card'!$AH$119+(40-20)*'Rate Card'!$AI$119,'Rate Card'!$AK$119+(40-35)*'Rate Card'!$AJ$119)))))))*(1+'Rate Card'!$C$6),2)*(IF('Rate Card'!$G$6="YES",'Rate Card'!$E$6,0)+IF('Rate Card'!$K$6="YES",'Rate Card'!$I$6,0)),2)</f>
        <v/>
      </c>
      <c r="P44" s="23">
        <f>IF(40&lt;=2,'Rate Card'!$AD$120,IF(40&lt;=5,'Rate Card'!$AE$120,IF(40&lt;=10,'Rate Card'!$AF$120,IF(40&lt;=15,'Rate Card'!$AG$120,IF(40&lt;=20,'Rate Card'!$AH$120,IF(40&lt;=35,'Rate Card'!$AH$120+(40-20)*'Rate Card'!$AI$120,'Rate Card'!$AK$120+(40-35)*'Rate Card'!$AJ$120))))))</f>
        <v/>
      </c>
      <c r="Q44" s="12">
        <f>ROUND((IF(40&lt;=2,'Rate Card'!$AD$120,IF(40&lt;=5,'Rate Card'!$AE$120,IF(40&lt;=10,'Rate Card'!$AF$120,IF(40&lt;=15,'Rate Card'!$AG$120,IF(40&lt;=20,'Rate Card'!$AH$120,IF(40&lt;=35,'Rate Card'!$AH$120+(40-20)*'Rate Card'!$AI$120,'Rate Card'!$AK$120+(40-35)*'Rate Card'!$AJ$120)))))))*(1+'Rate Card'!$C$6),2)+ROUND(ROUND((IF(40&lt;=2,'Rate Card'!$AD$120,IF(40&lt;=5,'Rate Card'!$AE$120,IF(40&lt;=10,'Rate Card'!$AF$120,IF(40&lt;=15,'Rate Card'!$AG$120,IF(40&lt;=20,'Rate Card'!$AH$120,IF(40&lt;=35,'Rate Card'!$AH$120+(40-20)*'Rate Card'!$AI$120,'Rate Card'!$AK$120+(40-35)*'Rate Card'!$AJ$120)))))))*(1+'Rate Card'!$C$6),2)*(IF('Rate Card'!$G$6="YES",'Rate Card'!$E$6,0)+IF('Rate Card'!$K$6="YES",'Rate Card'!$I$6,0)),2)</f>
        <v/>
      </c>
    </row>
    <row r="45">
      <c r="A45" s="75" t="n">
        <v>41</v>
      </c>
      <c r="B45" s="10">
        <f>""</f>
        <v/>
      </c>
      <c r="C45" s="10">
        <f>""</f>
        <v/>
      </c>
      <c r="D45" s="10">
        <f>""</f>
        <v/>
      </c>
      <c r="E45" s="10">
        <f>""</f>
        <v/>
      </c>
      <c r="F45" s="23">
        <f>IF(41&lt;=2,'Rate Card'!$AD$22,IF(41&lt;=5,'Rate Card'!$AE$22,IF(41&lt;=10,'Rate Card'!$AF$22,IF(41&lt;=15,'Rate Card'!$AG$22,IF(41&lt;=20,'Rate Card'!$AH$22,IF(41&lt;=35,'Rate Card'!$AH$22+(41-20)*'Rate Card'!$AI$22,'Rate Card'!$AK$22+(41-35)*'Rate Card'!$AJ$22))))))</f>
        <v/>
      </c>
      <c r="G45" s="23">
        <f>ROUND((IF(41&lt;=2,'Rate Card'!$AD$22,IF(41&lt;=5,'Rate Card'!$AE$22,IF(41&lt;=10,'Rate Card'!$AF$22,IF(41&lt;=15,'Rate Card'!$AG$22,IF(41&lt;=20,'Rate Card'!$AH$22,IF(41&lt;=35,'Rate Card'!$AH$22+(41-20)*'Rate Card'!$AI$22,'Rate Card'!$AK$22+(41-35)*'Rate Card'!$AJ$22)))))))*(1+'Rate Card'!$C$6),2)+ROUND(ROUND((IF(41&lt;=2,'Rate Card'!$AD$22,IF(41&lt;=5,'Rate Card'!$AE$22,IF(41&lt;=10,'Rate Card'!$AF$22,IF(41&lt;=15,'Rate Card'!$AG$22,IF(41&lt;=20,'Rate Card'!$AH$22,IF(41&lt;=35,'Rate Card'!$AH$22+(41-20)*'Rate Card'!$AI$22,'Rate Card'!$AK$22+(41-35)*'Rate Card'!$AJ$22)))))))*(1+'Rate Card'!$C$6),2)*(IF('Rate Card'!$G$6="YES",'Rate Card'!$E$6,0)+IF('Rate Card'!$K$6="YES",'Rate Card'!$I$6,0)),2)</f>
        <v/>
      </c>
      <c r="H45" s="23">
        <f>IF(41&lt;=2,'Rate Card'!$AD$23,IF(41&lt;=5,'Rate Card'!$AE$23,IF(41&lt;=10,'Rate Card'!$AF$23,IF(41&lt;=15,'Rate Card'!$AG$23,IF(41&lt;=20,'Rate Card'!$AH$23,IF(41&lt;=35,'Rate Card'!$AH$23+(41-20)*'Rate Card'!$AI$23,'Rate Card'!$AK$23+(41-35)*'Rate Card'!$AJ$23))))))</f>
        <v/>
      </c>
      <c r="I45" s="23">
        <f>ROUND((IF(41&lt;=2,'Rate Card'!$AD$23,IF(41&lt;=5,'Rate Card'!$AE$23,IF(41&lt;=10,'Rate Card'!$AF$23,IF(41&lt;=15,'Rate Card'!$AG$23,IF(41&lt;=20,'Rate Card'!$AH$23,IF(41&lt;=35,'Rate Card'!$AH$23+(41-20)*'Rate Card'!$AI$23,'Rate Card'!$AK$23+(41-35)*'Rate Card'!$AJ$23)))))))*(1+'Rate Card'!$C$6),2)+ROUND(ROUND((IF(41&lt;=2,'Rate Card'!$AD$23,IF(41&lt;=5,'Rate Card'!$AE$23,IF(41&lt;=10,'Rate Card'!$AF$23,IF(41&lt;=15,'Rate Card'!$AG$23,IF(41&lt;=20,'Rate Card'!$AH$23,IF(41&lt;=35,'Rate Card'!$AH$23+(41-20)*'Rate Card'!$AI$23,'Rate Card'!$AK$23+(41-35)*'Rate Card'!$AJ$23)))))))*(1+'Rate Card'!$C$6),2)*(IF('Rate Card'!$G$6="YES",'Rate Card'!$E$6,0)+IF('Rate Card'!$K$6="YES",'Rate Card'!$I$6,0)),2)</f>
        <v/>
      </c>
      <c r="J45" s="10">
        <f>""</f>
        <v/>
      </c>
      <c r="K45" s="10">
        <f>""</f>
        <v/>
      </c>
      <c r="L45" s="10">
        <f>""</f>
        <v/>
      </c>
      <c r="M45" s="10">
        <f>""</f>
        <v/>
      </c>
      <c r="N45" s="23">
        <f>IF(41&lt;=2,'Rate Card'!$AD$119,IF(41&lt;=5,'Rate Card'!$AE$119,IF(41&lt;=10,'Rate Card'!$AF$119,IF(41&lt;=15,'Rate Card'!$AG$119,IF(41&lt;=20,'Rate Card'!$AH$119,IF(41&lt;=35,'Rate Card'!$AH$119+(41-20)*'Rate Card'!$AI$119,'Rate Card'!$AK$119+(41-35)*'Rate Card'!$AJ$119))))))</f>
        <v/>
      </c>
      <c r="O45" s="23">
        <f>ROUND((IF(41&lt;=2,'Rate Card'!$AD$119,IF(41&lt;=5,'Rate Card'!$AE$119,IF(41&lt;=10,'Rate Card'!$AF$119,IF(41&lt;=15,'Rate Card'!$AG$119,IF(41&lt;=20,'Rate Card'!$AH$119,IF(41&lt;=35,'Rate Card'!$AH$119+(41-20)*'Rate Card'!$AI$119,'Rate Card'!$AK$119+(41-35)*'Rate Card'!$AJ$119)))))))*(1+'Rate Card'!$C$6),2)+ROUND(ROUND((IF(41&lt;=2,'Rate Card'!$AD$119,IF(41&lt;=5,'Rate Card'!$AE$119,IF(41&lt;=10,'Rate Card'!$AF$119,IF(41&lt;=15,'Rate Card'!$AG$119,IF(41&lt;=20,'Rate Card'!$AH$119,IF(41&lt;=35,'Rate Card'!$AH$119+(41-20)*'Rate Card'!$AI$119,'Rate Card'!$AK$119+(41-35)*'Rate Card'!$AJ$119)))))))*(1+'Rate Card'!$C$6),2)*(IF('Rate Card'!$G$6="YES",'Rate Card'!$E$6,0)+IF('Rate Card'!$K$6="YES",'Rate Card'!$I$6,0)),2)</f>
        <v/>
      </c>
      <c r="P45" s="23">
        <f>IF(41&lt;=2,'Rate Card'!$AD$120,IF(41&lt;=5,'Rate Card'!$AE$120,IF(41&lt;=10,'Rate Card'!$AF$120,IF(41&lt;=15,'Rate Card'!$AG$120,IF(41&lt;=20,'Rate Card'!$AH$120,IF(41&lt;=35,'Rate Card'!$AH$120+(41-20)*'Rate Card'!$AI$120,'Rate Card'!$AK$120+(41-35)*'Rate Card'!$AJ$120))))))</f>
        <v/>
      </c>
      <c r="Q45" s="12">
        <f>ROUND((IF(41&lt;=2,'Rate Card'!$AD$120,IF(41&lt;=5,'Rate Card'!$AE$120,IF(41&lt;=10,'Rate Card'!$AF$120,IF(41&lt;=15,'Rate Card'!$AG$120,IF(41&lt;=20,'Rate Card'!$AH$120,IF(41&lt;=35,'Rate Card'!$AH$120+(41-20)*'Rate Card'!$AI$120,'Rate Card'!$AK$120+(41-35)*'Rate Card'!$AJ$120)))))))*(1+'Rate Card'!$C$6),2)+ROUND(ROUND((IF(41&lt;=2,'Rate Card'!$AD$120,IF(41&lt;=5,'Rate Card'!$AE$120,IF(41&lt;=10,'Rate Card'!$AF$120,IF(41&lt;=15,'Rate Card'!$AG$120,IF(41&lt;=20,'Rate Card'!$AH$120,IF(41&lt;=35,'Rate Card'!$AH$120+(41-20)*'Rate Card'!$AI$120,'Rate Card'!$AK$120+(41-35)*'Rate Card'!$AJ$120)))))))*(1+'Rate Card'!$C$6),2)*(IF('Rate Card'!$G$6="YES",'Rate Card'!$E$6,0)+IF('Rate Card'!$K$6="YES",'Rate Card'!$I$6,0)),2)</f>
        <v/>
      </c>
    </row>
    <row r="46">
      <c r="A46" s="75" t="n">
        <v>42</v>
      </c>
      <c r="B46" s="10">
        <f>""</f>
        <v/>
      </c>
      <c r="C46" s="10">
        <f>""</f>
        <v/>
      </c>
      <c r="D46" s="10">
        <f>""</f>
        <v/>
      </c>
      <c r="E46" s="10">
        <f>""</f>
        <v/>
      </c>
      <c r="F46" s="23">
        <f>IF(42&lt;=2,'Rate Card'!$AD$22,IF(42&lt;=5,'Rate Card'!$AE$22,IF(42&lt;=10,'Rate Card'!$AF$22,IF(42&lt;=15,'Rate Card'!$AG$22,IF(42&lt;=20,'Rate Card'!$AH$22,IF(42&lt;=35,'Rate Card'!$AH$22+(42-20)*'Rate Card'!$AI$22,'Rate Card'!$AK$22+(42-35)*'Rate Card'!$AJ$22))))))</f>
        <v/>
      </c>
      <c r="G46" s="23">
        <f>ROUND((IF(42&lt;=2,'Rate Card'!$AD$22,IF(42&lt;=5,'Rate Card'!$AE$22,IF(42&lt;=10,'Rate Card'!$AF$22,IF(42&lt;=15,'Rate Card'!$AG$22,IF(42&lt;=20,'Rate Card'!$AH$22,IF(42&lt;=35,'Rate Card'!$AH$22+(42-20)*'Rate Card'!$AI$22,'Rate Card'!$AK$22+(42-35)*'Rate Card'!$AJ$22)))))))*(1+'Rate Card'!$C$6),2)+ROUND(ROUND((IF(42&lt;=2,'Rate Card'!$AD$22,IF(42&lt;=5,'Rate Card'!$AE$22,IF(42&lt;=10,'Rate Card'!$AF$22,IF(42&lt;=15,'Rate Card'!$AG$22,IF(42&lt;=20,'Rate Card'!$AH$22,IF(42&lt;=35,'Rate Card'!$AH$22+(42-20)*'Rate Card'!$AI$22,'Rate Card'!$AK$22+(42-35)*'Rate Card'!$AJ$22)))))))*(1+'Rate Card'!$C$6),2)*(IF('Rate Card'!$G$6="YES",'Rate Card'!$E$6,0)+IF('Rate Card'!$K$6="YES",'Rate Card'!$I$6,0)),2)</f>
        <v/>
      </c>
      <c r="H46" s="23">
        <f>IF(42&lt;=2,'Rate Card'!$AD$23,IF(42&lt;=5,'Rate Card'!$AE$23,IF(42&lt;=10,'Rate Card'!$AF$23,IF(42&lt;=15,'Rate Card'!$AG$23,IF(42&lt;=20,'Rate Card'!$AH$23,IF(42&lt;=35,'Rate Card'!$AH$23+(42-20)*'Rate Card'!$AI$23,'Rate Card'!$AK$23+(42-35)*'Rate Card'!$AJ$23))))))</f>
        <v/>
      </c>
      <c r="I46" s="23">
        <f>ROUND((IF(42&lt;=2,'Rate Card'!$AD$23,IF(42&lt;=5,'Rate Card'!$AE$23,IF(42&lt;=10,'Rate Card'!$AF$23,IF(42&lt;=15,'Rate Card'!$AG$23,IF(42&lt;=20,'Rate Card'!$AH$23,IF(42&lt;=35,'Rate Card'!$AH$23+(42-20)*'Rate Card'!$AI$23,'Rate Card'!$AK$23+(42-35)*'Rate Card'!$AJ$23)))))))*(1+'Rate Card'!$C$6),2)+ROUND(ROUND((IF(42&lt;=2,'Rate Card'!$AD$23,IF(42&lt;=5,'Rate Card'!$AE$23,IF(42&lt;=10,'Rate Card'!$AF$23,IF(42&lt;=15,'Rate Card'!$AG$23,IF(42&lt;=20,'Rate Card'!$AH$23,IF(42&lt;=35,'Rate Card'!$AH$23+(42-20)*'Rate Card'!$AI$23,'Rate Card'!$AK$23+(42-35)*'Rate Card'!$AJ$23)))))))*(1+'Rate Card'!$C$6),2)*(IF('Rate Card'!$G$6="YES",'Rate Card'!$E$6,0)+IF('Rate Card'!$K$6="YES",'Rate Card'!$I$6,0)),2)</f>
        <v/>
      </c>
      <c r="J46" s="10">
        <f>""</f>
        <v/>
      </c>
      <c r="K46" s="10">
        <f>""</f>
        <v/>
      </c>
      <c r="L46" s="10">
        <f>""</f>
        <v/>
      </c>
      <c r="M46" s="10">
        <f>""</f>
        <v/>
      </c>
      <c r="N46" s="23">
        <f>IF(42&lt;=2,'Rate Card'!$AD$119,IF(42&lt;=5,'Rate Card'!$AE$119,IF(42&lt;=10,'Rate Card'!$AF$119,IF(42&lt;=15,'Rate Card'!$AG$119,IF(42&lt;=20,'Rate Card'!$AH$119,IF(42&lt;=35,'Rate Card'!$AH$119+(42-20)*'Rate Card'!$AI$119,'Rate Card'!$AK$119+(42-35)*'Rate Card'!$AJ$119))))))</f>
        <v/>
      </c>
      <c r="O46" s="23">
        <f>ROUND((IF(42&lt;=2,'Rate Card'!$AD$119,IF(42&lt;=5,'Rate Card'!$AE$119,IF(42&lt;=10,'Rate Card'!$AF$119,IF(42&lt;=15,'Rate Card'!$AG$119,IF(42&lt;=20,'Rate Card'!$AH$119,IF(42&lt;=35,'Rate Card'!$AH$119+(42-20)*'Rate Card'!$AI$119,'Rate Card'!$AK$119+(42-35)*'Rate Card'!$AJ$119)))))))*(1+'Rate Card'!$C$6),2)+ROUND(ROUND((IF(42&lt;=2,'Rate Card'!$AD$119,IF(42&lt;=5,'Rate Card'!$AE$119,IF(42&lt;=10,'Rate Card'!$AF$119,IF(42&lt;=15,'Rate Card'!$AG$119,IF(42&lt;=20,'Rate Card'!$AH$119,IF(42&lt;=35,'Rate Card'!$AH$119+(42-20)*'Rate Card'!$AI$119,'Rate Card'!$AK$119+(42-35)*'Rate Card'!$AJ$119)))))))*(1+'Rate Card'!$C$6),2)*(IF('Rate Card'!$G$6="YES",'Rate Card'!$E$6,0)+IF('Rate Card'!$K$6="YES",'Rate Card'!$I$6,0)),2)</f>
        <v/>
      </c>
      <c r="P46" s="23">
        <f>IF(42&lt;=2,'Rate Card'!$AD$120,IF(42&lt;=5,'Rate Card'!$AE$120,IF(42&lt;=10,'Rate Card'!$AF$120,IF(42&lt;=15,'Rate Card'!$AG$120,IF(42&lt;=20,'Rate Card'!$AH$120,IF(42&lt;=35,'Rate Card'!$AH$120+(42-20)*'Rate Card'!$AI$120,'Rate Card'!$AK$120+(42-35)*'Rate Card'!$AJ$120))))))</f>
        <v/>
      </c>
      <c r="Q46" s="12">
        <f>ROUND((IF(42&lt;=2,'Rate Card'!$AD$120,IF(42&lt;=5,'Rate Card'!$AE$120,IF(42&lt;=10,'Rate Card'!$AF$120,IF(42&lt;=15,'Rate Card'!$AG$120,IF(42&lt;=20,'Rate Card'!$AH$120,IF(42&lt;=35,'Rate Card'!$AH$120+(42-20)*'Rate Card'!$AI$120,'Rate Card'!$AK$120+(42-35)*'Rate Card'!$AJ$120)))))))*(1+'Rate Card'!$C$6),2)+ROUND(ROUND((IF(42&lt;=2,'Rate Card'!$AD$120,IF(42&lt;=5,'Rate Card'!$AE$120,IF(42&lt;=10,'Rate Card'!$AF$120,IF(42&lt;=15,'Rate Card'!$AG$120,IF(42&lt;=20,'Rate Card'!$AH$120,IF(42&lt;=35,'Rate Card'!$AH$120+(42-20)*'Rate Card'!$AI$120,'Rate Card'!$AK$120+(42-35)*'Rate Card'!$AJ$120)))))))*(1+'Rate Card'!$C$6),2)*(IF('Rate Card'!$G$6="YES",'Rate Card'!$E$6,0)+IF('Rate Card'!$K$6="YES",'Rate Card'!$I$6,0)),2)</f>
        <v/>
      </c>
    </row>
    <row r="47">
      <c r="A47" s="75" t="n">
        <v>43</v>
      </c>
      <c r="B47" s="10">
        <f>""</f>
        <v/>
      </c>
      <c r="C47" s="10">
        <f>""</f>
        <v/>
      </c>
      <c r="D47" s="10">
        <f>""</f>
        <v/>
      </c>
      <c r="E47" s="10">
        <f>""</f>
        <v/>
      </c>
      <c r="F47" s="23">
        <f>IF(43&lt;=2,'Rate Card'!$AD$22,IF(43&lt;=5,'Rate Card'!$AE$22,IF(43&lt;=10,'Rate Card'!$AF$22,IF(43&lt;=15,'Rate Card'!$AG$22,IF(43&lt;=20,'Rate Card'!$AH$22,IF(43&lt;=35,'Rate Card'!$AH$22+(43-20)*'Rate Card'!$AI$22,'Rate Card'!$AK$22+(43-35)*'Rate Card'!$AJ$22))))))</f>
        <v/>
      </c>
      <c r="G47" s="23">
        <f>ROUND((IF(43&lt;=2,'Rate Card'!$AD$22,IF(43&lt;=5,'Rate Card'!$AE$22,IF(43&lt;=10,'Rate Card'!$AF$22,IF(43&lt;=15,'Rate Card'!$AG$22,IF(43&lt;=20,'Rate Card'!$AH$22,IF(43&lt;=35,'Rate Card'!$AH$22+(43-20)*'Rate Card'!$AI$22,'Rate Card'!$AK$22+(43-35)*'Rate Card'!$AJ$22)))))))*(1+'Rate Card'!$C$6),2)+ROUND(ROUND((IF(43&lt;=2,'Rate Card'!$AD$22,IF(43&lt;=5,'Rate Card'!$AE$22,IF(43&lt;=10,'Rate Card'!$AF$22,IF(43&lt;=15,'Rate Card'!$AG$22,IF(43&lt;=20,'Rate Card'!$AH$22,IF(43&lt;=35,'Rate Card'!$AH$22+(43-20)*'Rate Card'!$AI$22,'Rate Card'!$AK$22+(43-35)*'Rate Card'!$AJ$22)))))))*(1+'Rate Card'!$C$6),2)*(IF('Rate Card'!$G$6="YES",'Rate Card'!$E$6,0)+IF('Rate Card'!$K$6="YES",'Rate Card'!$I$6,0)),2)</f>
        <v/>
      </c>
      <c r="H47" s="23">
        <f>IF(43&lt;=2,'Rate Card'!$AD$23,IF(43&lt;=5,'Rate Card'!$AE$23,IF(43&lt;=10,'Rate Card'!$AF$23,IF(43&lt;=15,'Rate Card'!$AG$23,IF(43&lt;=20,'Rate Card'!$AH$23,IF(43&lt;=35,'Rate Card'!$AH$23+(43-20)*'Rate Card'!$AI$23,'Rate Card'!$AK$23+(43-35)*'Rate Card'!$AJ$23))))))</f>
        <v/>
      </c>
      <c r="I47" s="23">
        <f>ROUND((IF(43&lt;=2,'Rate Card'!$AD$23,IF(43&lt;=5,'Rate Card'!$AE$23,IF(43&lt;=10,'Rate Card'!$AF$23,IF(43&lt;=15,'Rate Card'!$AG$23,IF(43&lt;=20,'Rate Card'!$AH$23,IF(43&lt;=35,'Rate Card'!$AH$23+(43-20)*'Rate Card'!$AI$23,'Rate Card'!$AK$23+(43-35)*'Rate Card'!$AJ$23)))))))*(1+'Rate Card'!$C$6),2)+ROUND(ROUND((IF(43&lt;=2,'Rate Card'!$AD$23,IF(43&lt;=5,'Rate Card'!$AE$23,IF(43&lt;=10,'Rate Card'!$AF$23,IF(43&lt;=15,'Rate Card'!$AG$23,IF(43&lt;=20,'Rate Card'!$AH$23,IF(43&lt;=35,'Rate Card'!$AH$23+(43-20)*'Rate Card'!$AI$23,'Rate Card'!$AK$23+(43-35)*'Rate Card'!$AJ$23)))))))*(1+'Rate Card'!$C$6),2)*(IF('Rate Card'!$G$6="YES",'Rate Card'!$E$6,0)+IF('Rate Card'!$K$6="YES",'Rate Card'!$I$6,0)),2)</f>
        <v/>
      </c>
      <c r="J47" s="10">
        <f>""</f>
        <v/>
      </c>
      <c r="K47" s="10">
        <f>""</f>
        <v/>
      </c>
      <c r="L47" s="10">
        <f>""</f>
        <v/>
      </c>
      <c r="M47" s="10">
        <f>""</f>
        <v/>
      </c>
      <c r="N47" s="23">
        <f>IF(43&lt;=2,'Rate Card'!$AD$119,IF(43&lt;=5,'Rate Card'!$AE$119,IF(43&lt;=10,'Rate Card'!$AF$119,IF(43&lt;=15,'Rate Card'!$AG$119,IF(43&lt;=20,'Rate Card'!$AH$119,IF(43&lt;=35,'Rate Card'!$AH$119+(43-20)*'Rate Card'!$AI$119,'Rate Card'!$AK$119+(43-35)*'Rate Card'!$AJ$119))))))</f>
        <v/>
      </c>
      <c r="O47" s="23">
        <f>ROUND((IF(43&lt;=2,'Rate Card'!$AD$119,IF(43&lt;=5,'Rate Card'!$AE$119,IF(43&lt;=10,'Rate Card'!$AF$119,IF(43&lt;=15,'Rate Card'!$AG$119,IF(43&lt;=20,'Rate Card'!$AH$119,IF(43&lt;=35,'Rate Card'!$AH$119+(43-20)*'Rate Card'!$AI$119,'Rate Card'!$AK$119+(43-35)*'Rate Card'!$AJ$119)))))))*(1+'Rate Card'!$C$6),2)+ROUND(ROUND((IF(43&lt;=2,'Rate Card'!$AD$119,IF(43&lt;=5,'Rate Card'!$AE$119,IF(43&lt;=10,'Rate Card'!$AF$119,IF(43&lt;=15,'Rate Card'!$AG$119,IF(43&lt;=20,'Rate Card'!$AH$119,IF(43&lt;=35,'Rate Card'!$AH$119+(43-20)*'Rate Card'!$AI$119,'Rate Card'!$AK$119+(43-35)*'Rate Card'!$AJ$119)))))))*(1+'Rate Card'!$C$6),2)*(IF('Rate Card'!$G$6="YES",'Rate Card'!$E$6,0)+IF('Rate Card'!$K$6="YES",'Rate Card'!$I$6,0)),2)</f>
        <v/>
      </c>
      <c r="P47" s="23">
        <f>IF(43&lt;=2,'Rate Card'!$AD$120,IF(43&lt;=5,'Rate Card'!$AE$120,IF(43&lt;=10,'Rate Card'!$AF$120,IF(43&lt;=15,'Rate Card'!$AG$120,IF(43&lt;=20,'Rate Card'!$AH$120,IF(43&lt;=35,'Rate Card'!$AH$120+(43-20)*'Rate Card'!$AI$120,'Rate Card'!$AK$120+(43-35)*'Rate Card'!$AJ$120))))))</f>
        <v/>
      </c>
      <c r="Q47" s="12">
        <f>ROUND((IF(43&lt;=2,'Rate Card'!$AD$120,IF(43&lt;=5,'Rate Card'!$AE$120,IF(43&lt;=10,'Rate Card'!$AF$120,IF(43&lt;=15,'Rate Card'!$AG$120,IF(43&lt;=20,'Rate Card'!$AH$120,IF(43&lt;=35,'Rate Card'!$AH$120+(43-20)*'Rate Card'!$AI$120,'Rate Card'!$AK$120+(43-35)*'Rate Card'!$AJ$120)))))))*(1+'Rate Card'!$C$6),2)+ROUND(ROUND((IF(43&lt;=2,'Rate Card'!$AD$120,IF(43&lt;=5,'Rate Card'!$AE$120,IF(43&lt;=10,'Rate Card'!$AF$120,IF(43&lt;=15,'Rate Card'!$AG$120,IF(43&lt;=20,'Rate Card'!$AH$120,IF(43&lt;=35,'Rate Card'!$AH$120+(43-20)*'Rate Card'!$AI$120,'Rate Card'!$AK$120+(43-35)*'Rate Card'!$AJ$120)))))))*(1+'Rate Card'!$C$6),2)*(IF('Rate Card'!$G$6="YES",'Rate Card'!$E$6,0)+IF('Rate Card'!$K$6="YES",'Rate Card'!$I$6,0)),2)</f>
        <v/>
      </c>
    </row>
    <row r="48">
      <c r="A48" s="75" t="n">
        <v>44</v>
      </c>
      <c r="B48" s="10">
        <f>""</f>
        <v/>
      </c>
      <c r="C48" s="10">
        <f>""</f>
        <v/>
      </c>
      <c r="D48" s="10">
        <f>""</f>
        <v/>
      </c>
      <c r="E48" s="10">
        <f>""</f>
        <v/>
      </c>
      <c r="F48" s="23">
        <f>IF(44&lt;=2,'Rate Card'!$AD$22,IF(44&lt;=5,'Rate Card'!$AE$22,IF(44&lt;=10,'Rate Card'!$AF$22,IF(44&lt;=15,'Rate Card'!$AG$22,IF(44&lt;=20,'Rate Card'!$AH$22,IF(44&lt;=35,'Rate Card'!$AH$22+(44-20)*'Rate Card'!$AI$22,'Rate Card'!$AK$22+(44-35)*'Rate Card'!$AJ$22))))))</f>
        <v/>
      </c>
      <c r="G48" s="23">
        <f>ROUND((IF(44&lt;=2,'Rate Card'!$AD$22,IF(44&lt;=5,'Rate Card'!$AE$22,IF(44&lt;=10,'Rate Card'!$AF$22,IF(44&lt;=15,'Rate Card'!$AG$22,IF(44&lt;=20,'Rate Card'!$AH$22,IF(44&lt;=35,'Rate Card'!$AH$22+(44-20)*'Rate Card'!$AI$22,'Rate Card'!$AK$22+(44-35)*'Rate Card'!$AJ$22)))))))*(1+'Rate Card'!$C$6),2)+ROUND(ROUND((IF(44&lt;=2,'Rate Card'!$AD$22,IF(44&lt;=5,'Rate Card'!$AE$22,IF(44&lt;=10,'Rate Card'!$AF$22,IF(44&lt;=15,'Rate Card'!$AG$22,IF(44&lt;=20,'Rate Card'!$AH$22,IF(44&lt;=35,'Rate Card'!$AH$22+(44-20)*'Rate Card'!$AI$22,'Rate Card'!$AK$22+(44-35)*'Rate Card'!$AJ$22)))))))*(1+'Rate Card'!$C$6),2)*(IF('Rate Card'!$G$6="YES",'Rate Card'!$E$6,0)+IF('Rate Card'!$K$6="YES",'Rate Card'!$I$6,0)),2)</f>
        <v/>
      </c>
      <c r="H48" s="23">
        <f>IF(44&lt;=2,'Rate Card'!$AD$23,IF(44&lt;=5,'Rate Card'!$AE$23,IF(44&lt;=10,'Rate Card'!$AF$23,IF(44&lt;=15,'Rate Card'!$AG$23,IF(44&lt;=20,'Rate Card'!$AH$23,IF(44&lt;=35,'Rate Card'!$AH$23+(44-20)*'Rate Card'!$AI$23,'Rate Card'!$AK$23+(44-35)*'Rate Card'!$AJ$23))))))</f>
        <v/>
      </c>
      <c r="I48" s="23">
        <f>ROUND((IF(44&lt;=2,'Rate Card'!$AD$23,IF(44&lt;=5,'Rate Card'!$AE$23,IF(44&lt;=10,'Rate Card'!$AF$23,IF(44&lt;=15,'Rate Card'!$AG$23,IF(44&lt;=20,'Rate Card'!$AH$23,IF(44&lt;=35,'Rate Card'!$AH$23+(44-20)*'Rate Card'!$AI$23,'Rate Card'!$AK$23+(44-35)*'Rate Card'!$AJ$23)))))))*(1+'Rate Card'!$C$6),2)+ROUND(ROUND((IF(44&lt;=2,'Rate Card'!$AD$23,IF(44&lt;=5,'Rate Card'!$AE$23,IF(44&lt;=10,'Rate Card'!$AF$23,IF(44&lt;=15,'Rate Card'!$AG$23,IF(44&lt;=20,'Rate Card'!$AH$23,IF(44&lt;=35,'Rate Card'!$AH$23+(44-20)*'Rate Card'!$AI$23,'Rate Card'!$AK$23+(44-35)*'Rate Card'!$AJ$23)))))))*(1+'Rate Card'!$C$6),2)*(IF('Rate Card'!$G$6="YES",'Rate Card'!$E$6,0)+IF('Rate Card'!$K$6="YES",'Rate Card'!$I$6,0)),2)</f>
        <v/>
      </c>
      <c r="J48" s="10">
        <f>""</f>
        <v/>
      </c>
      <c r="K48" s="10">
        <f>""</f>
        <v/>
      </c>
      <c r="L48" s="10">
        <f>""</f>
        <v/>
      </c>
      <c r="M48" s="10">
        <f>""</f>
        <v/>
      </c>
      <c r="N48" s="23">
        <f>IF(44&lt;=2,'Rate Card'!$AD$119,IF(44&lt;=5,'Rate Card'!$AE$119,IF(44&lt;=10,'Rate Card'!$AF$119,IF(44&lt;=15,'Rate Card'!$AG$119,IF(44&lt;=20,'Rate Card'!$AH$119,IF(44&lt;=35,'Rate Card'!$AH$119+(44-20)*'Rate Card'!$AI$119,'Rate Card'!$AK$119+(44-35)*'Rate Card'!$AJ$119))))))</f>
        <v/>
      </c>
      <c r="O48" s="23">
        <f>ROUND((IF(44&lt;=2,'Rate Card'!$AD$119,IF(44&lt;=5,'Rate Card'!$AE$119,IF(44&lt;=10,'Rate Card'!$AF$119,IF(44&lt;=15,'Rate Card'!$AG$119,IF(44&lt;=20,'Rate Card'!$AH$119,IF(44&lt;=35,'Rate Card'!$AH$119+(44-20)*'Rate Card'!$AI$119,'Rate Card'!$AK$119+(44-35)*'Rate Card'!$AJ$119)))))))*(1+'Rate Card'!$C$6),2)+ROUND(ROUND((IF(44&lt;=2,'Rate Card'!$AD$119,IF(44&lt;=5,'Rate Card'!$AE$119,IF(44&lt;=10,'Rate Card'!$AF$119,IF(44&lt;=15,'Rate Card'!$AG$119,IF(44&lt;=20,'Rate Card'!$AH$119,IF(44&lt;=35,'Rate Card'!$AH$119+(44-20)*'Rate Card'!$AI$119,'Rate Card'!$AK$119+(44-35)*'Rate Card'!$AJ$119)))))))*(1+'Rate Card'!$C$6),2)*(IF('Rate Card'!$G$6="YES",'Rate Card'!$E$6,0)+IF('Rate Card'!$K$6="YES",'Rate Card'!$I$6,0)),2)</f>
        <v/>
      </c>
      <c r="P48" s="23">
        <f>IF(44&lt;=2,'Rate Card'!$AD$120,IF(44&lt;=5,'Rate Card'!$AE$120,IF(44&lt;=10,'Rate Card'!$AF$120,IF(44&lt;=15,'Rate Card'!$AG$120,IF(44&lt;=20,'Rate Card'!$AH$120,IF(44&lt;=35,'Rate Card'!$AH$120+(44-20)*'Rate Card'!$AI$120,'Rate Card'!$AK$120+(44-35)*'Rate Card'!$AJ$120))))))</f>
        <v/>
      </c>
      <c r="Q48" s="12">
        <f>ROUND((IF(44&lt;=2,'Rate Card'!$AD$120,IF(44&lt;=5,'Rate Card'!$AE$120,IF(44&lt;=10,'Rate Card'!$AF$120,IF(44&lt;=15,'Rate Card'!$AG$120,IF(44&lt;=20,'Rate Card'!$AH$120,IF(44&lt;=35,'Rate Card'!$AH$120+(44-20)*'Rate Card'!$AI$120,'Rate Card'!$AK$120+(44-35)*'Rate Card'!$AJ$120)))))))*(1+'Rate Card'!$C$6),2)+ROUND(ROUND((IF(44&lt;=2,'Rate Card'!$AD$120,IF(44&lt;=5,'Rate Card'!$AE$120,IF(44&lt;=10,'Rate Card'!$AF$120,IF(44&lt;=15,'Rate Card'!$AG$120,IF(44&lt;=20,'Rate Card'!$AH$120,IF(44&lt;=35,'Rate Card'!$AH$120+(44-20)*'Rate Card'!$AI$120,'Rate Card'!$AK$120+(44-35)*'Rate Card'!$AJ$120)))))))*(1+'Rate Card'!$C$6),2)*(IF('Rate Card'!$G$6="YES",'Rate Card'!$E$6,0)+IF('Rate Card'!$K$6="YES",'Rate Card'!$I$6,0)),2)</f>
        <v/>
      </c>
    </row>
    <row r="49">
      <c r="A49" s="75" t="n">
        <v>45</v>
      </c>
      <c r="B49" s="10">
        <f>""</f>
        <v/>
      </c>
      <c r="C49" s="10">
        <f>""</f>
        <v/>
      </c>
      <c r="D49" s="10">
        <f>""</f>
        <v/>
      </c>
      <c r="E49" s="10">
        <f>""</f>
        <v/>
      </c>
      <c r="F49" s="23">
        <f>IF(45&lt;=2,'Rate Card'!$AD$22,IF(45&lt;=5,'Rate Card'!$AE$22,IF(45&lt;=10,'Rate Card'!$AF$22,IF(45&lt;=15,'Rate Card'!$AG$22,IF(45&lt;=20,'Rate Card'!$AH$22,IF(45&lt;=35,'Rate Card'!$AH$22+(45-20)*'Rate Card'!$AI$22,'Rate Card'!$AK$22+(45-35)*'Rate Card'!$AJ$22))))))</f>
        <v/>
      </c>
      <c r="G49" s="23">
        <f>ROUND((IF(45&lt;=2,'Rate Card'!$AD$22,IF(45&lt;=5,'Rate Card'!$AE$22,IF(45&lt;=10,'Rate Card'!$AF$22,IF(45&lt;=15,'Rate Card'!$AG$22,IF(45&lt;=20,'Rate Card'!$AH$22,IF(45&lt;=35,'Rate Card'!$AH$22+(45-20)*'Rate Card'!$AI$22,'Rate Card'!$AK$22+(45-35)*'Rate Card'!$AJ$22)))))))*(1+'Rate Card'!$C$6),2)+ROUND(ROUND((IF(45&lt;=2,'Rate Card'!$AD$22,IF(45&lt;=5,'Rate Card'!$AE$22,IF(45&lt;=10,'Rate Card'!$AF$22,IF(45&lt;=15,'Rate Card'!$AG$22,IF(45&lt;=20,'Rate Card'!$AH$22,IF(45&lt;=35,'Rate Card'!$AH$22+(45-20)*'Rate Card'!$AI$22,'Rate Card'!$AK$22+(45-35)*'Rate Card'!$AJ$22)))))))*(1+'Rate Card'!$C$6),2)*(IF('Rate Card'!$G$6="YES",'Rate Card'!$E$6,0)+IF('Rate Card'!$K$6="YES",'Rate Card'!$I$6,0)),2)</f>
        <v/>
      </c>
      <c r="H49" s="23">
        <f>IF(45&lt;=2,'Rate Card'!$AD$23,IF(45&lt;=5,'Rate Card'!$AE$23,IF(45&lt;=10,'Rate Card'!$AF$23,IF(45&lt;=15,'Rate Card'!$AG$23,IF(45&lt;=20,'Rate Card'!$AH$23,IF(45&lt;=35,'Rate Card'!$AH$23+(45-20)*'Rate Card'!$AI$23,'Rate Card'!$AK$23+(45-35)*'Rate Card'!$AJ$23))))))</f>
        <v/>
      </c>
      <c r="I49" s="23">
        <f>ROUND((IF(45&lt;=2,'Rate Card'!$AD$23,IF(45&lt;=5,'Rate Card'!$AE$23,IF(45&lt;=10,'Rate Card'!$AF$23,IF(45&lt;=15,'Rate Card'!$AG$23,IF(45&lt;=20,'Rate Card'!$AH$23,IF(45&lt;=35,'Rate Card'!$AH$23+(45-20)*'Rate Card'!$AI$23,'Rate Card'!$AK$23+(45-35)*'Rate Card'!$AJ$23)))))))*(1+'Rate Card'!$C$6),2)+ROUND(ROUND((IF(45&lt;=2,'Rate Card'!$AD$23,IF(45&lt;=5,'Rate Card'!$AE$23,IF(45&lt;=10,'Rate Card'!$AF$23,IF(45&lt;=15,'Rate Card'!$AG$23,IF(45&lt;=20,'Rate Card'!$AH$23,IF(45&lt;=35,'Rate Card'!$AH$23+(45-20)*'Rate Card'!$AI$23,'Rate Card'!$AK$23+(45-35)*'Rate Card'!$AJ$23)))))))*(1+'Rate Card'!$C$6),2)*(IF('Rate Card'!$G$6="YES",'Rate Card'!$E$6,0)+IF('Rate Card'!$K$6="YES",'Rate Card'!$I$6,0)),2)</f>
        <v/>
      </c>
      <c r="J49" s="10">
        <f>""</f>
        <v/>
      </c>
      <c r="K49" s="10">
        <f>""</f>
        <v/>
      </c>
      <c r="L49" s="10">
        <f>""</f>
        <v/>
      </c>
      <c r="M49" s="10">
        <f>""</f>
        <v/>
      </c>
      <c r="N49" s="23">
        <f>IF(45&lt;=2,'Rate Card'!$AD$119,IF(45&lt;=5,'Rate Card'!$AE$119,IF(45&lt;=10,'Rate Card'!$AF$119,IF(45&lt;=15,'Rate Card'!$AG$119,IF(45&lt;=20,'Rate Card'!$AH$119,IF(45&lt;=35,'Rate Card'!$AH$119+(45-20)*'Rate Card'!$AI$119,'Rate Card'!$AK$119+(45-35)*'Rate Card'!$AJ$119))))))</f>
        <v/>
      </c>
      <c r="O49" s="23">
        <f>ROUND((IF(45&lt;=2,'Rate Card'!$AD$119,IF(45&lt;=5,'Rate Card'!$AE$119,IF(45&lt;=10,'Rate Card'!$AF$119,IF(45&lt;=15,'Rate Card'!$AG$119,IF(45&lt;=20,'Rate Card'!$AH$119,IF(45&lt;=35,'Rate Card'!$AH$119+(45-20)*'Rate Card'!$AI$119,'Rate Card'!$AK$119+(45-35)*'Rate Card'!$AJ$119)))))))*(1+'Rate Card'!$C$6),2)+ROUND(ROUND((IF(45&lt;=2,'Rate Card'!$AD$119,IF(45&lt;=5,'Rate Card'!$AE$119,IF(45&lt;=10,'Rate Card'!$AF$119,IF(45&lt;=15,'Rate Card'!$AG$119,IF(45&lt;=20,'Rate Card'!$AH$119,IF(45&lt;=35,'Rate Card'!$AH$119+(45-20)*'Rate Card'!$AI$119,'Rate Card'!$AK$119+(45-35)*'Rate Card'!$AJ$119)))))))*(1+'Rate Card'!$C$6),2)*(IF('Rate Card'!$G$6="YES",'Rate Card'!$E$6,0)+IF('Rate Card'!$K$6="YES",'Rate Card'!$I$6,0)),2)</f>
        <v/>
      </c>
      <c r="P49" s="23">
        <f>IF(45&lt;=2,'Rate Card'!$AD$120,IF(45&lt;=5,'Rate Card'!$AE$120,IF(45&lt;=10,'Rate Card'!$AF$120,IF(45&lt;=15,'Rate Card'!$AG$120,IF(45&lt;=20,'Rate Card'!$AH$120,IF(45&lt;=35,'Rate Card'!$AH$120+(45-20)*'Rate Card'!$AI$120,'Rate Card'!$AK$120+(45-35)*'Rate Card'!$AJ$120))))))</f>
        <v/>
      </c>
      <c r="Q49" s="12">
        <f>ROUND((IF(45&lt;=2,'Rate Card'!$AD$120,IF(45&lt;=5,'Rate Card'!$AE$120,IF(45&lt;=10,'Rate Card'!$AF$120,IF(45&lt;=15,'Rate Card'!$AG$120,IF(45&lt;=20,'Rate Card'!$AH$120,IF(45&lt;=35,'Rate Card'!$AH$120+(45-20)*'Rate Card'!$AI$120,'Rate Card'!$AK$120+(45-35)*'Rate Card'!$AJ$120)))))))*(1+'Rate Card'!$C$6),2)+ROUND(ROUND((IF(45&lt;=2,'Rate Card'!$AD$120,IF(45&lt;=5,'Rate Card'!$AE$120,IF(45&lt;=10,'Rate Card'!$AF$120,IF(45&lt;=15,'Rate Card'!$AG$120,IF(45&lt;=20,'Rate Card'!$AH$120,IF(45&lt;=35,'Rate Card'!$AH$120+(45-20)*'Rate Card'!$AI$120,'Rate Card'!$AK$120+(45-35)*'Rate Card'!$AJ$120)))))))*(1+'Rate Card'!$C$6),2)*(IF('Rate Card'!$G$6="YES",'Rate Card'!$E$6,0)+IF('Rate Card'!$K$6="YES",'Rate Card'!$I$6,0)),2)</f>
        <v/>
      </c>
    </row>
    <row r="50">
      <c r="A50" s="75" t="n">
        <v>46</v>
      </c>
      <c r="B50" s="10">
        <f>""</f>
        <v/>
      </c>
      <c r="C50" s="10">
        <f>""</f>
        <v/>
      </c>
      <c r="D50" s="10">
        <f>""</f>
        <v/>
      </c>
      <c r="E50" s="10">
        <f>""</f>
        <v/>
      </c>
      <c r="F50" s="23">
        <f>IF(46&lt;=2,'Rate Card'!$AD$22,IF(46&lt;=5,'Rate Card'!$AE$22,IF(46&lt;=10,'Rate Card'!$AF$22,IF(46&lt;=15,'Rate Card'!$AG$22,IF(46&lt;=20,'Rate Card'!$AH$22,IF(46&lt;=35,'Rate Card'!$AH$22+(46-20)*'Rate Card'!$AI$22,'Rate Card'!$AK$22+(46-35)*'Rate Card'!$AJ$22))))))</f>
        <v/>
      </c>
      <c r="G50" s="23">
        <f>ROUND((IF(46&lt;=2,'Rate Card'!$AD$22,IF(46&lt;=5,'Rate Card'!$AE$22,IF(46&lt;=10,'Rate Card'!$AF$22,IF(46&lt;=15,'Rate Card'!$AG$22,IF(46&lt;=20,'Rate Card'!$AH$22,IF(46&lt;=35,'Rate Card'!$AH$22+(46-20)*'Rate Card'!$AI$22,'Rate Card'!$AK$22+(46-35)*'Rate Card'!$AJ$22)))))))*(1+'Rate Card'!$C$6),2)+ROUND(ROUND((IF(46&lt;=2,'Rate Card'!$AD$22,IF(46&lt;=5,'Rate Card'!$AE$22,IF(46&lt;=10,'Rate Card'!$AF$22,IF(46&lt;=15,'Rate Card'!$AG$22,IF(46&lt;=20,'Rate Card'!$AH$22,IF(46&lt;=35,'Rate Card'!$AH$22+(46-20)*'Rate Card'!$AI$22,'Rate Card'!$AK$22+(46-35)*'Rate Card'!$AJ$22)))))))*(1+'Rate Card'!$C$6),2)*(IF('Rate Card'!$G$6="YES",'Rate Card'!$E$6,0)+IF('Rate Card'!$K$6="YES",'Rate Card'!$I$6,0)),2)</f>
        <v/>
      </c>
      <c r="H50" s="23">
        <f>IF(46&lt;=2,'Rate Card'!$AD$23,IF(46&lt;=5,'Rate Card'!$AE$23,IF(46&lt;=10,'Rate Card'!$AF$23,IF(46&lt;=15,'Rate Card'!$AG$23,IF(46&lt;=20,'Rate Card'!$AH$23,IF(46&lt;=35,'Rate Card'!$AH$23+(46-20)*'Rate Card'!$AI$23,'Rate Card'!$AK$23+(46-35)*'Rate Card'!$AJ$23))))))</f>
        <v/>
      </c>
      <c r="I50" s="23">
        <f>ROUND((IF(46&lt;=2,'Rate Card'!$AD$23,IF(46&lt;=5,'Rate Card'!$AE$23,IF(46&lt;=10,'Rate Card'!$AF$23,IF(46&lt;=15,'Rate Card'!$AG$23,IF(46&lt;=20,'Rate Card'!$AH$23,IF(46&lt;=35,'Rate Card'!$AH$23+(46-20)*'Rate Card'!$AI$23,'Rate Card'!$AK$23+(46-35)*'Rate Card'!$AJ$23)))))))*(1+'Rate Card'!$C$6),2)+ROUND(ROUND((IF(46&lt;=2,'Rate Card'!$AD$23,IF(46&lt;=5,'Rate Card'!$AE$23,IF(46&lt;=10,'Rate Card'!$AF$23,IF(46&lt;=15,'Rate Card'!$AG$23,IF(46&lt;=20,'Rate Card'!$AH$23,IF(46&lt;=35,'Rate Card'!$AH$23+(46-20)*'Rate Card'!$AI$23,'Rate Card'!$AK$23+(46-35)*'Rate Card'!$AJ$23)))))))*(1+'Rate Card'!$C$6),2)*(IF('Rate Card'!$G$6="YES",'Rate Card'!$E$6,0)+IF('Rate Card'!$K$6="YES",'Rate Card'!$I$6,0)),2)</f>
        <v/>
      </c>
      <c r="J50" s="10">
        <f>""</f>
        <v/>
      </c>
      <c r="K50" s="10">
        <f>""</f>
        <v/>
      </c>
      <c r="L50" s="10">
        <f>""</f>
        <v/>
      </c>
      <c r="M50" s="10">
        <f>""</f>
        <v/>
      </c>
      <c r="N50" s="23">
        <f>IF(46&lt;=2,'Rate Card'!$AD$119,IF(46&lt;=5,'Rate Card'!$AE$119,IF(46&lt;=10,'Rate Card'!$AF$119,IF(46&lt;=15,'Rate Card'!$AG$119,IF(46&lt;=20,'Rate Card'!$AH$119,IF(46&lt;=35,'Rate Card'!$AH$119+(46-20)*'Rate Card'!$AI$119,'Rate Card'!$AK$119+(46-35)*'Rate Card'!$AJ$119))))))</f>
        <v/>
      </c>
      <c r="O50" s="23">
        <f>ROUND((IF(46&lt;=2,'Rate Card'!$AD$119,IF(46&lt;=5,'Rate Card'!$AE$119,IF(46&lt;=10,'Rate Card'!$AF$119,IF(46&lt;=15,'Rate Card'!$AG$119,IF(46&lt;=20,'Rate Card'!$AH$119,IF(46&lt;=35,'Rate Card'!$AH$119+(46-20)*'Rate Card'!$AI$119,'Rate Card'!$AK$119+(46-35)*'Rate Card'!$AJ$119)))))))*(1+'Rate Card'!$C$6),2)+ROUND(ROUND((IF(46&lt;=2,'Rate Card'!$AD$119,IF(46&lt;=5,'Rate Card'!$AE$119,IF(46&lt;=10,'Rate Card'!$AF$119,IF(46&lt;=15,'Rate Card'!$AG$119,IF(46&lt;=20,'Rate Card'!$AH$119,IF(46&lt;=35,'Rate Card'!$AH$119+(46-20)*'Rate Card'!$AI$119,'Rate Card'!$AK$119+(46-35)*'Rate Card'!$AJ$119)))))))*(1+'Rate Card'!$C$6),2)*(IF('Rate Card'!$G$6="YES",'Rate Card'!$E$6,0)+IF('Rate Card'!$K$6="YES",'Rate Card'!$I$6,0)),2)</f>
        <v/>
      </c>
      <c r="P50" s="23">
        <f>IF(46&lt;=2,'Rate Card'!$AD$120,IF(46&lt;=5,'Rate Card'!$AE$120,IF(46&lt;=10,'Rate Card'!$AF$120,IF(46&lt;=15,'Rate Card'!$AG$120,IF(46&lt;=20,'Rate Card'!$AH$120,IF(46&lt;=35,'Rate Card'!$AH$120+(46-20)*'Rate Card'!$AI$120,'Rate Card'!$AK$120+(46-35)*'Rate Card'!$AJ$120))))))</f>
        <v/>
      </c>
      <c r="Q50" s="12">
        <f>ROUND((IF(46&lt;=2,'Rate Card'!$AD$120,IF(46&lt;=5,'Rate Card'!$AE$120,IF(46&lt;=10,'Rate Card'!$AF$120,IF(46&lt;=15,'Rate Card'!$AG$120,IF(46&lt;=20,'Rate Card'!$AH$120,IF(46&lt;=35,'Rate Card'!$AH$120+(46-20)*'Rate Card'!$AI$120,'Rate Card'!$AK$120+(46-35)*'Rate Card'!$AJ$120)))))))*(1+'Rate Card'!$C$6),2)+ROUND(ROUND((IF(46&lt;=2,'Rate Card'!$AD$120,IF(46&lt;=5,'Rate Card'!$AE$120,IF(46&lt;=10,'Rate Card'!$AF$120,IF(46&lt;=15,'Rate Card'!$AG$120,IF(46&lt;=20,'Rate Card'!$AH$120,IF(46&lt;=35,'Rate Card'!$AH$120+(46-20)*'Rate Card'!$AI$120,'Rate Card'!$AK$120+(46-35)*'Rate Card'!$AJ$120)))))))*(1+'Rate Card'!$C$6),2)*(IF('Rate Card'!$G$6="YES",'Rate Card'!$E$6,0)+IF('Rate Card'!$K$6="YES",'Rate Card'!$I$6,0)),2)</f>
        <v/>
      </c>
    </row>
    <row r="51">
      <c r="A51" s="75" t="n">
        <v>47</v>
      </c>
      <c r="B51" s="10">
        <f>""</f>
        <v/>
      </c>
      <c r="C51" s="10">
        <f>""</f>
        <v/>
      </c>
      <c r="D51" s="10">
        <f>""</f>
        <v/>
      </c>
      <c r="E51" s="10">
        <f>""</f>
        <v/>
      </c>
      <c r="F51" s="23">
        <f>IF(47&lt;=2,'Rate Card'!$AD$22,IF(47&lt;=5,'Rate Card'!$AE$22,IF(47&lt;=10,'Rate Card'!$AF$22,IF(47&lt;=15,'Rate Card'!$AG$22,IF(47&lt;=20,'Rate Card'!$AH$22,IF(47&lt;=35,'Rate Card'!$AH$22+(47-20)*'Rate Card'!$AI$22,'Rate Card'!$AK$22+(47-35)*'Rate Card'!$AJ$22))))))</f>
        <v/>
      </c>
      <c r="G51" s="23">
        <f>ROUND((IF(47&lt;=2,'Rate Card'!$AD$22,IF(47&lt;=5,'Rate Card'!$AE$22,IF(47&lt;=10,'Rate Card'!$AF$22,IF(47&lt;=15,'Rate Card'!$AG$22,IF(47&lt;=20,'Rate Card'!$AH$22,IF(47&lt;=35,'Rate Card'!$AH$22+(47-20)*'Rate Card'!$AI$22,'Rate Card'!$AK$22+(47-35)*'Rate Card'!$AJ$22)))))))*(1+'Rate Card'!$C$6),2)+ROUND(ROUND((IF(47&lt;=2,'Rate Card'!$AD$22,IF(47&lt;=5,'Rate Card'!$AE$22,IF(47&lt;=10,'Rate Card'!$AF$22,IF(47&lt;=15,'Rate Card'!$AG$22,IF(47&lt;=20,'Rate Card'!$AH$22,IF(47&lt;=35,'Rate Card'!$AH$22+(47-20)*'Rate Card'!$AI$22,'Rate Card'!$AK$22+(47-35)*'Rate Card'!$AJ$22)))))))*(1+'Rate Card'!$C$6),2)*(IF('Rate Card'!$G$6="YES",'Rate Card'!$E$6,0)+IF('Rate Card'!$K$6="YES",'Rate Card'!$I$6,0)),2)</f>
        <v/>
      </c>
      <c r="H51" s="23">
        <f>IF(47&lt;=2,'Rate Card'!$AD$23,IF(47&lt;=5,'Rate Card'!$AE$23,IF(47&lt;=10,'Rate Card'!$AF$23,IF(47&lt;=15,'Rate Card'!$AG$23,IF(47&lt;=20,'Rate Card'!$AH$23,IF(47&lt;=35,'Rate Card'!$AH$23+(47-20)*'Rate Card'!$AI$23,'Rate Card'!$AK$23+(47-35)*'Rate Card'!$AJ$23))))))</f>
        <v/>
      </c>
      <c r="I51" s="23">
        <f>ROUND((IF(47&lt;=2,'Rate Card'!$AD$23,IF(47&lt;=5,'Rate Card'!$AE$23,IF(47&lt;=10,'Rate Card'!$AF$23,IF(47&lt;=15,'Rate Card'!$AG$23,IF(47&lt;=20,'Rate Card'!$AH$23,IF(47&lt;=35,'Rate Card'!$AH$23+(47-20)*'Rate Card'!$AI$23,'Rate Card'!$AK$23+(47-35)*'Rate Card'!$AJ$23)))))))*(1+'Rate Card'!$C$6),2)+ROUND(ROUND((IF(47&lt;=2,'Rate Card'!$AD$23,IF(47&lt;=5,'Rate Card'!$AE$23,IF(47&lt;=10,'Rate Card'!$AF$23,IF(47&lt;=15,'Rate Card'!$AG$23,IF(47&lt;=20,'Rate Card'!$AH$23,IF(47&lt;=35,'Rate Card'!$AH$23+(47-20)*'Rate Card'!$AI$23,'Rate Card'!$AK$23+(47-35)*'Rate Card'!$AJ$23)))))))*(1+'Rate Card'!$C$6),2)*(IF('Rate Card'!$G$6="YES",'Rate Card'!$E$6,0)+IF('Rate Card'!$K$6="YES",'Rate Card'!$I$6,0)),2)</f>
        <v/>
      </c>
      <c r="J51" s="10">
        <f>""</f>
        <v/>
      </c>
      <c r="K51" s="10">
        <f>""</f>
        <v/>
      </c>
      <c r="L51" s="10">
        <f>""</f>
        <v/>
      </c>
      <c r="M51" s="10">
        <f>""</f>
        <v/>
      </c>
      <c r="N51" s="23">
        <f>IF(47&lt;=2,'Rate Card'!$AD$119,IF(47&lt;=5,'Rate Card'!$AE$119,IF(47&lt;=10,'Rate Card'!$AF$119,IF(47&lt;=15,'Rate Card'!$AG$119,IF(47&lt;=20,'Rate Card'!$AH$119,IF(47&lt;=35,'Rate Card'!$AH$119+(47-20)*'Rate Card'!$AI$119,'Rate Card'!$AK$119+(47-35)*'Rate Card'!$AJ$119))))))</f>
        <v/>
      </c>
      <c r="O51" s="23">
        <f>ROUND((IF(47&lt;=2,'Rate Card'!$AD$119,IF(47&lt;=5,'Rate Card'!$AE$119,IF(47&lt;=10,'Rate Card'!$AF$119,IF(47&lt;=15,'Rate Card'!$AG$119,IF(47&lt;=20,'Rate Card'!$AH$119,IF(47&lt;=35,'Rate Card'!$AH$119+(47-20)*'Rate Card'!$AI$119,'Rate Card'!$AK$119+(47-35)*'Rate Card'!$AJ$119)))))))*(1+'Rate Card'!$C$6),2)+ROUND(ROUND((IF(47&lt;=2,'Rate Card'!$AD$119,IF(47&lt;=5,'Rate Card'!$AE$119,IF(47&lt;=10,'Rate Card'!$AF$119,IF(47&lt;=15,'Rate Card'!$AG$119,IF(47&lt;=20,'Rate Card'!$AH$119,IF(47&lt;=35,'Rate Card'!$AH$119+(47-20)*'Rate Card'!$AI$119,'Rate Card'!$AK$119+(47-35)*'Rate Card'!$AJ$119)))))))*(1+'Rate Card'!$C$6),2)*(IF('Rate Card'!$G$6="YES",'Rate Card'!$E$6,0)+IF('Rate Card'!$K$6="YES",'Rate Card'!$I$6,0)),2)</f>
        <v/>
      </c>
      <c r="P51" s="23">
        <f>IF(47&lt;=2,'Rate Card'!$AD$120,IF(47&lt;=5,'Rate Card'!$AE$120,IF(47&lt;=10,'Rate Card'!$AF$120,IF(47&lt;=15,'Rate Card'!$AG$120,IF(47&lt;=20,'Rate Card'!$AH$120,IF(47&lt;=35,'Rate Card'!$AH$120+(47-20)*'Rate Card'!$AI$120,'Rate Card'!$AK$120+(47-35)*'Rate Card'!$AJ$120))))))</f>
        <v/>
      </c>
      <c r="Q51" s="12">
        <f>ROUND((IF(47&lt;=2,'Rate Card'!$AD$120,IF(47&lt;=5,'Rate Card'!$AE$120,IF(47&lt;=10,'Rate Card'!$AF$120,IF(47&lt;=15,'Rate Card'!$AG$120,IF(47&lt;=20,'Rate Card'!$AH$120,IF(47&lt;=35,'Rate Card'!$AH$120+(47-20)*'Rate Card'!$AI$120,'Rate Card'!$AK$120+(47-35)*'Rate Card'!$AJ$120)))))))*(1+'Rate Card'!$C$6),2)+ROUND(ROUND((IF(47&lt;=2,'Rate Card'!$AD$120,IF(47&lt;=5,'Rate Card'!$AE$120,IF(47&lt;=10,'Rate Card'!$AF$120,IF(47&lt;=15,'Rate Card'!$AG$120,IF(47&lt;=20,'Rate Card'!$AH$120,IF(47&lt;=35,'Rate Card'!$AH$120+(47-20)*'Rate Card'!$AI$120,'Rate Card'!$AK$120+(47-35)*'Rate Card'!$AJ$120)))))))*(1+'Rate Card'!$C$6),2)*(IF('Rate Card'!$G$6="YES",'Rate Card'!$E$6,0)+IF('Rate Card'!$K$6="YES",'Rate Card'!$I$6,0)),2)</f>
        <v/>
      </c>
    </row>
    <row r="52">
      <c r="A52" s="75" t="n">
        <v>48</v>
      </c>
      <c r="B52" s="10">
        <f>""</f>
        <v/>
      </c>
      <c r="C52" s="10">
        <f>""</f>
        <v/>
      </c>
      <c r="D52" s="10">
        <f>""</f>
        <v/>
      </c>
      <c r="E52" s="10">
        <f>""</f>
        <v/>
      </c>
      <c r="F52" s="23">
        <f>IF(48&lt;=2,'Rate Card'!$AD$22,IF(48&lt;=5,'Rate Card'!$AE$22,IF(48&lt;=10,'Rate Card'!$AF$22,IF(48&lt;=15,'Rate Card'!$AG$22,IF(48&lt;=20,'Rate Card'!$AH$22,IF(48&lt;=35,'Rate Card'!$AH$22+(48-20)*'Rate Card'!$AI$22,'Rate Card'!$AK$22+(48-35)*'Rate Card'!$AJ$22))))))</f>
        <v/>
      </c>
      <c r="G52" s="23">
        <f>ROUND((IF(48&lt;=2,'Rate Card'!$AD$22,IF(48&lt;=5,'Rate Card'!$AE$22,IF(48&lt;=10,'Rate Card'!$AF$22,IF(48&lt;=15,'Rate Card'!$AG$22,IF(48&lt;=20,'Rate Card'!$AH$22,IF(48&lt;=35,'Rate Card'!$AH$22+(48-20)*'Rate Card'!$AI$22,'Rate Card'!$AK$22+(48-35)*'Rate Card'!$AJ$22)))))))*(1+'Rate Card'!$C$6),2)+ROUND(ROUND((IF(48&lt;=2,'Rate Card'!$AD$22,IF(48&lt;=5,'Rate Card'!$AE$22,IF(48&lt;=10,'Rate Card'!$AF$22,IF(48&lt;=15,'Rate Card'!$AG$22,IF(48&lt;=20,'Rate Card'!$AH$22,IF(48&lt;=35,'Rate Card'!$AH$22+(48-20)*'Rate Card'!$AI$22,'Rate Card'!$AK$22+(48-35)*'Rate Card'!$AJ$22)))))))*(1+'Rate Card'!$C$6),2)*(IF('Rate Card'!$G$6="YES",'Rate Card'!$E$6,0)+IF('Rate Card'!$K$6="YES",'Rate Card'!$I$6,0)),2)</f>
        <v/>
      </c>
      <c r="H52" s="23">
        <f>IF(48&lt;=2,'Rate Card'!$AD$23,IF(48&lt;=5,'Rate Card'!$AE$23,IF(48&lt;=10,'Rate Card'!$AF$23,IF(48&lt;=15,'Rate Card'!$AG$23,IF(48&lt;=20,'Rate Card'!$AH$23,IF(48&lt;=35,'Rate Card'!$AH$23+(48-20)*'Rate Card'!$AI$23,'Rate Card'!$AK$23+(48-35)*'Rate Card'!$AJ$23))))))</f>
        <v/>
      </c>
      <c r="I52" s="23">
        <f>ROUND((IF(48&lt;=2,'Rate Card'!$AD$23,IF(48&lt;=5,'Rate Card'!$AE$23,IF(48&lt;=10,'Rate Card'!$AF$23,IF(48&lt;=15,'Rate Card'!$AG$23,IF(48&lt;=20,'Rate Card'!$AH$23,IF(48&lt;=35,'Rate Card'!$AH$23+(48-20)*'Rate Card'!$AI$23,'Rate Card'!$AK$23+(48-35)*'Rate Card'!$AJ$23)))))))*(1+'Rate Card'!$C$6),2)+ROUND(ROUND((IF(48&lt;=2,'Rate Card'!$AD$23,IF(48&lt;=5,'Rate Card'!$AE$23,IF(48&lt;=10,'Rate Card'!$AF$23,IF(48&lt;=15,'Rate Card'!$AG$23,IF(48&lt;=20,'Rate Card'!$AH$23,IF(48&lt;=35,'Rate Card'!$AH$23+(48-20)*'Rate Card'!$AI$23,'Rate Card'!$AK$23+(48-35)*'Rate Card'!$AJ$23)))))))*(1+'Rate Card'!$C$6),2)*(IF('Rate Card'!$G$6="YES",'Rate Card'!$E$6,0)+IF('Rate Card'!$K$6="YES",'Rate Card'!$I$6,0)),2)</f>
        <v/>
      </c>
      <c r="J52" s="10">
        <f>""</f>
        <v/>
      </c>
      <c r="K52" s="10">
        <f>""</f>
        <v/>
      </c>
      <c r="L52" s="10">
        <f>""</f>
        <v/>
      </c>
      <c r="M52" s="10">
        <f>""</f>
        <v/>
      </c>
      <c r="N52" s="23">
        <f>IF(48&lt;=2,'Rate Card'!$AD$119,IF(48&lt;=5,'Rate Card'!$AE$119,IF(48&lt;=10,'Rate Card'!$AF$119,IF(48&lt;=15,'Rate Card'!$AG$119,IF(48&lt;=20,'Rate Card'!$AH$119,IF(48&lt;=35,'Rate Card'!$AH$119+(48-20)*'Rate Card'!$AI$119,'Rate Card'!$AK$119+(48-35)*'Rate Card'!$AJ$119))))))</f>
        <v/>
      </c>
      <c r="O52" s="23">
        <f>ROUND((IF(48&lt;=2,'Rate Card'!$AD$119,IF(48&lt;=5,'Rate Card'!$AE$119,IF(48&lt;=10,'Rate Card'!$AF$119,IF(48&lt;=15,'Rate Card'!$AG$119,IF(48&lt;=20,'Rate Card'!$AH$119,IF(48&lt;=35,'Rate Card'!$AH$119+(48-20)*'Rate Card'!$AI$119,'Rate Card'!$AK$119+(48-35)*'Rate Card'!$AJ$119)))))))*(1+'Rate Card'!$C$6),2)+ROUND(ROUND((IF(48&lt;=2,'Rate Card'!$AD$119,IF(48&lt;=5,'Rate Card'!$AE$119,IF(48&lt;=10,'Rate Card'!$AF$119,IF(48&lt;=15,'Rate Card'!$AG$119,IF(48&lt;=20,'Rate Card'!$AH$119,IF(48&lt;=35,'Rate Card'!$AH$119+(48-20)*'Rate Card'!$AI$119,'Rate Card'!$AK$119+(48-35)*'Rate Card'!$AJ$119)))))))*(1+'Rate Card'!$C$6),2)*(IF('Rate Card'!$G$6="YES",'Rate Card'!$E$6,0)+IF('Rate Card'!$K$6="YES",'Rate Card'!$I$6,0)),2)</f>
        <v/>
      </c>
      <c r="P52" s="23">
        <f>IF(48&lt;=2,'Rate Card'!$AD$120,IF(48&lt;=5,'Rate Card'!$AE$120,IF(48&lt;=10,'Rate Card'!$AF$120,IF(48&lt;=15,'Rate Card'!$AG$120,IF(48&lt;=20,'Rate Card'!$AH$120,IF(48&lt;=35,'Rate Card'!$AH$120+(48-20)*'Rate Card'!$AI$120,'Rate Card'!$AK$120+(48-35)*'Rate Card'!$AJ$120))))))</f>
        <v/>
      </c>
      <c r="Q52" s="12">
        <f>ROUND((IF(48&lt;=2,'Rate Card'!$AD$120,IF(48&lt;=5,'Rate Card'!$AE$120,IF(48&lt;=10,'Rate Card'!$AF$120,IF(48&lt;=15,'Rate Card'!$AG$120,IF(48&lt;=20,'Rate Card'!$AH$120,IF(48&lt;=35,'Rate Card'!$AH$120+(48-20)*'Rate Card'!$AI$120,'Rate Card'!$AK$120+(48-35)*'Rate Card'!$AJ$120)))))))*(1+'Rate Card'!$C$6),2)+ROUND(ROUND((IF(48&lt;=2,'Rate Card'!$AD$120,IF(48&lt;=5,'Rate Card'!$AE$120,IF(48&lt;=10,'Rate Card'!$AF$120,IF(48&lt;=15,'Rate Card'!$AG$120,IF(48&lt;=20,'Rate Card'!$AH$120,IF(48&lt;=35,'Rate Card'!$AH$120+(48-20)*'Rate Card'!$AI$120,'Rate Card'!$AK$120+(48-35)*'Rate Card'!$AJ$120)))))))*(1+'Rate Card'!$C$6),2)*(IF('Rate Card'!$G$6="YES",'Rate Card'!$E$6,0)+IF('Rate Card'!$K$6="YES",'Rate Card'!$I$6,0)),2)</f>
        <v/>
      </c>
    </row>
    <row r="53">
      <c r="A53" s="75" t="n">
        <v>49</v>
      </c>
      <c r="B53" s="10">
        <f>""</f>
        <v/>
      </c>
      <c r="C53" s="10">
        <f>""</f>
        <v/>
      </c>
      <c r="D53" s="10">
        <f>""</f>
        <v/>
      </c>
      <c r="E53" s="10">
        <f>""</f>
        <v/>
      </c>
      <c r="F53" s="23">
        <f>IF(49&lt;=2,'Rate Card'!$AD$22,IF(49&lt;=5,'Rate Card'!$AE$22,IF(49&lt;=10,'Rate Card'!$AF$22,IF(49&lt;=15,'Rate Card'!$AG$22,IF(49&lt;=20,'Rate Card'!$AH$22,IF(49&lt;=35,'Rate Card'!$AH$22+(49-20)*'Rate Card'!$AI$22,'Rate Card'!$AK$22+(49-35)*'Rate Card'!$AJ$22))))))</f>
        <v/>
      </c>
      <c r="G53" s="23">
        <f>ROUND((IF(49&lt;=2,'Rate Card'!$AD$22,IF(49&lt;=5,'Rate Card'!$AE$22,IF(49&lt;=10,'Rate Card'!$AF$22,IF(49&lt;=15,'Rate Card'!$AG$22,IF(49&lt;=20,'Rate Card'!$AH$22,IF(49&lt;=35,'Rate Card'!$AH$22+(49-20)*'Rate Card'!$AI$22,'Rate Card'!$AK$22+(49-35)*'Rate Card'!$AJ$22)))))))*(1+'Rate Card'!$C$6),2)+ROUND(ROUND((IF(49&lt;=2,'Rate Card'!$AD$22,IF(49&lt;=5,'Rate Card'!$AE$22,IF(49&lt;=10,'Rate Card'!$AF$22,IF(49&lt;=15,'Rate Card'!$AG$22,IF(49&lt;=20,'Rate Card'!$AH$22,IF(49&lt;=35,'Rate Card'!$AH$22+(49-20)*'Rate Card'!$AI$22,'Rate Card'!$AK$22+(49-35)*'Rate Card'!$AJ$22)))))))*(1+'Rate Card'!$C$6),2)*(IF('Rate Card'!$G$6="YES",'Rate Card'!$E$6,0)+IF('Rate Card'!$K$6="YES",'Rate Card'!$I$6,0)),2)</f>
        <v/>
      </c>
      <c r="H53" s="23">
        <f>IF(49&lt;=2,'Rate Card'!$AD$23,IF(49&lt;=5,'Rate Card'!$AE$23,IF(49&lt;=10,'Rate Card'!$AF$23,IF(49&lt;=15,'Rate Card'!$AG$23,IF(49&lt;=20,'Rate Card'!$AH$23,IF(49&lt;=35,'Rate Card'!$AH$23+(49-20)*'Rate Card'!$AI$23,'Rate Card'!$AK$23+(49-35)*'Rate Card'!$AJ$23))))))</f>
        <v/>
      </c>
      <c r="I53" s="23">
        <f>ROUND((IF(49&lt;=2,'Rate Card'!$AD$23,IF(49&lt;=5,'Rate Card'!$AE$23,IF(49&lt;=10,'Rate Card'!$AF$23,IF(49&lt;=15,'Rate Card'!$AG$23,IF(49&lt;=20,'Rate Card'!$AH$23,IF(49&lt;=35,'Rate Card'!$AH$23+(49-20)*'Rate Card'!$AI$23,'Rate Card'!$AK$23+(49-35)*'Rate Card'!$AJ$23)))))))*(1+'Rate Card'!$C$6),2)+ROUND(ROUND((IF(49&lt;=2,'Rate Card'!$AD$23,IF(49&lt;=5,'Rate Card'!$AE$23,IF(49&lt;=10,'Rate Card'!$AF$23,IF(49&lt;=15,'Rate Card'!$AG$23,IF(49&lt;=20,'Rate Card'!$AH$23,IF(49&lt;=35,'Rate Card'!$AH$23+(49-20)*'Rate Card'!$AI$23,'Rate Card'!$AK$23+(49-35)*'Rate Card'!$AJ$23)))))))*(1+'Rate Card'!$C$6),2)*(IF('Rate Card'!$G$6="YES",'Rate Card'!$E$6,0)+IF('Rate Card'!$K$6="YES",'Rate Card'!$I$6,0)),2)</f>
        <v/>
      </c>
      <c r="J53" s="10">
        <f>""</f>
        <v/>
      </c>
      <c r="K53" s="10">
        <f>""</f>
        <v/>
      </c>
      <c r="L53" s="10">
        <f>""</f>
        <v/>
      </c>
      <c r="M53" s="10">
        <f>""</f>
        <v/>
      </c>
      <c r="N53" s="23">
        <f>IF(49&lt;=2,'Rate Card'!$AD$119,IF(49&lt;=5,'Rate Card'!$AE$119,IF(49&lt;=10,'Rate Card'!$AF$119,IF(49&lt;=15,'Rate Card'!$AG$119,IF(49&lt;=20,'Rate Card'!$AH$119,IF(49&lt;=35,'Rate Card'!$AH$119+(49-20)*'Rate Card'!$AI$119,'Rate Card'!$AK$119+(49-35)*'Rate Card'!$AJ$119))))))</f>
        <v/>
      </c>
      <c r="O53" s="23">
        <f>ROUND((IF(49&lt;=2,'Rate Card'!$AD$119,IF(49&lt;=5,'Rate Card'!$AE$119,IF(49&lt;=10,'Rate Card'!$AF$119,IF(49&lt;=15,'Rate Card'!$AG$119,IF(49&lt;=20,'Rate Card'!$AH$119,IF(49&lt;=35,'Rate Card'!$AH$119+(49-20)*'Rate Card'!$AI$119,'Rate Card'!$AK$119+(49-35)*'Rate Card'!$AJ$119)))))))*(1+'Rate Card'!$C$6),2)+ROUND(ROUND((IF(49&lt;=2,'Rate Card'!$AD$119,IF(49&lt;=5,'Rate Card'!$AE$119,IF(49&lt;=10,'Rate Card'!$AF$119,IF(49&lt;=15,'Rate Card'!$AG$119,IF(49&lt;=20,'Rate Card'!$AH$119,IF(49&lt;=35,'Rate Card'!$AH$119+(49-20)*'Rate Card'!$AI$119,'Rate Card'!$AK$119+(49-35)*'Rate Card'!$AJ$119)))))))*(1+'Rate Card'!$C$6),2)*(IF('Rate Card'!$G$6="YES",'Rate Card'!$E$6,0)+IF('Rate Card'!$K$6="YES",'Rate Card'!$I$6,0)),2)</f>
        <v/>
      </c>
      <c r="P53" s="23">
        <f>IF(49&lt;=2,'Rate Card'!$AD$120,IF(49&lt;=5,'Rate Card'!$AE$120,IF(49&lt;=10,'Rate Card'!$AF$120,IF(49&lt;=15,'Rate Card'!$AG$120,IF(49&lt;=20,'Rate Card'!$AH$120,IF(49&lt;=35,'Rate Card'!$AH$120+(49-20)*'Rate Card'!$AI$120,'Rate Card'!$AK$120+(49-35)*'Rate Card'!$AJ$120))))))</f>
        <v/>
      </c>
      <c r="Q53" s="12">
        <f>ROUND((IF(49&lt;=2,'Rate Card'!$AD$120,IF(49&lt;=5,'Rate Card'!$AE$120,IF(49&lt;=10,'Rate Card'!$AF$120,IF(49&lt;=15,'Rate Card'!$AG$120,IF(49&lt;=20,'Rate Card'!$AH$120,IF(49&lt;=35,'Rate Card'!$AH$120+(49-20)*'Rate Card'!$AI$120,'Rate Card'!$AK$120+(49-35)*'Rate Card'!$AJ$120)))))))*(1+'Rate Card'!$C$6),2)+ROUND(ROUND((IF(49&lt;=2,'Rate Card'!$AD$120,IF(49&lt;=5,'Rate Card'!$AE$120,IF(49&lt;=10,'Rate Card'!$AF$120,IF(49&lt;=15,'Rate Card'!$AG$120,IF(49&lt;=20,'Rate Card'!$AH$120,IF(49&lt;=35,'Rate Card'!$AH$120+(49-20)*'Rate Card'!$AI$120,'Rate Card'!$AK$120+(49-35)*'Rate Card'!$AJ$120)))))))*(1+'Rate Card'!$C$6),2)*(IF('Rate Card'!$G$6="YES",'Rate Card'!$E$6,0)+IF('Rate Card'!$K$6="YES",'Rate Card'!$I$6,0)),2)</f>
        <v/>
      </c>
    </row>
    <row r="54">
      <c r="A54" s="75" t="n">
        <v>50</v>
      </c>
      <c r="B54" s="10">
        <f>""</f>
        <v/>
      </c>
      <c r="C54" s="10">
        <f>""</f>
        <v/>
      </c>
      <c r="D54" s="10">
        <f>""</f>
        <v/>
      </c>
      <c r="E54" s="10">
        <f>""</f>
        <v/>
      </c>
      <c r="F54" s="23">
        <f>IF(50&lt;=2,'Rate Card'!$AD$22,IF(50&lt;=5,'Rate Card'!$AE$22,IF(50&lt;=10,'Rate Card'!$AF$22,IF(50&lt;=15,'Rate Card'!$AG$22,IF(50&lt;=20,'Rate Card'!$AH$22,IF(50&lt;=35,'Rate Card'!$AH$22+(50-20)*'Rate Card'!$AI$22,'Rate Card'!$AK$22+(50-35)*'Rate Card'!$AJ$22))))))</f>
        <v/>
      </c>
      <c r="G54" s="23">
        <f>ROUND((IF(50&lt;=2,'Rate Card'!$AD$22,IF(50&lt;=5,'Rate Card'!$AE$22,IF(50&lt;=10,'Rate Card'!$AF$22,IF(50&lt;=15,'Rate Card'!$AG$22,IF(50&lt;=20,'Rate Card'!$AH$22,IF(50&lt;=35,'Rate Card'!$AH$22+(50-20)*'Rate Card'!$AI$22,'Rate Card'!$AK$22+(50-35)*'Rate Card'!$AJ$22)))))))*(1+'Rate Card'!$C$6),2)+ROUND(ROUND((IF(50&lt;=2,'Rate Card'!$AD$22,IF(50&lt;=5,'Rate Card'!$AE$22,IF(50&lt;=10,'Rate Card'!$AF$22,IF(50&lt;=15,'Rate Card'!$AG$22,IF(50&lt;=20,'Rate Card'!$AH$22,IF(50&lt;=35,'Rate Card'!$AH$22+(50-20)*'Rate Card'!$AI$22,'Rate Card'!$AK$22+(50-35)*'Rate Card'!$AJ$22)))))))*(1+'Rate Card'!$C$6),2)*(IF('Rate Card'!$G$6="YES",'Rate Card'!$E$6,0)+IF('Rate Card'!$K$6="YES",'Rate Card'!$I$6,0)),2)</f>
        <v/>
      </c>
      <c r="H54" s="23">
        <f>IF(50&lt;=2,'Rate Card'!$AD$23,IF(50&lt;=5,'Rate Card'!$AE$23,IF(50&lt;=10,'Rate Card'!$AF$23,IF(50&lt;=15,'Rate Card'!$AG$23,IF(50&lt;=20,'Rate Card'!$AH$23,IF(50&lt;=35,'Rate Card'!$AH$23+(50-20)*'Rate Card'!$AI$23,'Rate Card'!$AK$23+(50-35)*'Rate Card'!$AJ$23))))))</f>
        <v/>
      </c>
      <c r="I54" s="23">
        <f>ROUND((IF(50&lt;=2,'Rate Card'!$AD$23,IF(50&lt;=5,'Rate Card'!$AE$23,IF(50&lt;=10,'Rate Card'!$AF$23,IF(50&lt;=15,'Rate Card'!$AG$23,IF(50&lt;=20,'Rate Card'!$AH$23,IF(50&lt;=35,'Rate Card'!$AH$23+(50-20)*'Rate Card'!$AI$23,'Rate Card'!$AK$23+(50-35)*'Rate Card'!$AJ$23)))))))*(1+'Rate Card'!$C$6),2)+ROUND(ROUND((IF(50&lt;=2,'Rate Card'!$AD$23,IF(50&lt;=5,'Rate Card'!$AE$23,IF(50&lt;=10,'Rate Card'!$AF$23,IF(50&lt;=15,'Rate Card'!$AG$23,IF(50&lt;=20,'Rate Card'!$AH$23,IF(50&lt;=35,'Rate Card'!$AH$23+(50-20)*'Rate Card'!$AI$23,'Rate Card'!$AK$23+(50-35)*'Rate Card'!$AJ$23)))))))*(1+'Rate Card'!$C$6),2)*(IF('Rate Card'!$G$6="YES",'Rate Card'!$E$6,0)+IF('Rate Card'!$K$6="YES",'Rate Card'!$I$6,0)),2)</f>
        <v/>
      </c>
      <c r="J54" s="10">
        <f>""</f>
        <v/>
      </c>
      <c r="K54" s="10">
        <f>""</f>
        <v/>
      </c>
      <c r="L54" s="10">
        <f>""</f>
        <v/>
      </c>
      <c r="M54" s="10">
        <f>""</f>
        <v/>
      </c>
      <c r="N54" s="23">
        <f>IF(50&lt;=2,'Rate Card'!$AD$119,IF(50&lt;=5,'Rate Card'!$AE$119,IF(50&lt;=10,'Rate Card'!$AF$119,IF(50&lt;=15,'Rate Card'!$AG$119,IF(50&lt;=20,'Rate Card'!$AH$119,IF(50&lt;=35,'Rate Card'!$AH$119+(50-20)*'Rate Card'!$AI$119,'Rate Card'!$AK$119+(50-35)*'Rate Card'!$AJ$119))))))</f>
        <v/>
      </c>
      <c r="O54" s="23">
        <f>ROUND((IF(50&lt;=2,'Rate Card'!$AD$119,IF(50&lt;=5,'Rate Card'!$AE$119,IF(50&lt;=10,'Rate Card'!$AF$119,IF(50&lt;=15,'Rate Card'!$AG$119,IF(50&lt;=20,'Rate Card'!$AH$119,IF(50&lt;=35,'Rate Card'!$AH$119+(50-20)*'Rate Card'!$AI$119,'Rate Card'!$AK$119+(50-35)*'Rate Card'!$AJ$119)))))))*(1+'Rate Card'!$C$6),2)+ROUND(ROUND((IF(50&lt;=2,'Rate Card'!$AD$119,IF(50&lt;=5,'Rate Card'!$AE$119,IF(50&lt;=10,'Rate Card'!$AF$119,IF(50&lt;=15,'Rate Card'!$AG$119,IF(50&lt;=20,'Rate Card'!$AH$119,IF(50&lt;=35,'Rate Card'!$AH$119+(50-20)*'Rate Card'!$AI$119,'Rate Card'!$AK$119+(50-35)*'Rate Card'!$AJ$119)))))))*(1+'Rate Card'!$C$6),2)*(IF('Rate Card'!$G$6="YES",'Rate Card'!$E$6,0)+IF('Rate Card'!$K$6="YES",'Rate Card'!$I$6,0)),2)</f>
        <v/>
      </c>
      <c r="P54" s="23">
        <f>IF(50&lt;=2,'Rate Card'!$AD$120,IF(50&lt;=5,'Rate Card'!$AE$120,IF(50&lt;=10,'Rate Card'!$AF$120,IF(50&lt;=15,'Rate Card'!$AG$120,IF(50&lt;=20,'Rate Card'!$AH$120,IF(50&lt;=35,'Rate Card'!$AH$120+(50-20)*'Rate Card'!$AI$120,'Rate Card'!$AK$120+(50-35)*'Rate Card'!$AJ$120))))))</f>
        <v/>
      </c>
      <c r="Q54" s="12">
        <f>ROUND((IF(50&lt;=2,'Rate Card'!$AD$120,IF(50&lt;=5,'Rate Card'!$AE$120,IF(50&lt;=10,'Rate Card'!$AF$120,IF(50&lt;=15,'Rate Card'!$AG$120,IF(50&lt;=20,'Rate Card'!$AH$120,IF(50&lt;=35,'Rate Card'!$AH$120+(50-20)*'Rate Card'!$AI$120,'Rate Card'!$AK$120+(50-35)*'Rate Card'!$AJ$120)))))))*(1+'Rate Card'!$C$6),2)+ROUND(ROUND((IF(50&lt;=2,'Rate Card'!$AD$120,IF(50&lt;=5,'Rate Card'!$AE$120,IF(50&lt;=10,'Rate Card'!$AF$120,IF(50&lt;=15,'Rate Card'!$AG$120,IF(50&lt;=20,'Rate Card'!$AH$120,IF(50&lt;=35,'Rate Card'!$AH$120+(50-20)*'Rate Card'!$AI$120,'Rate Card'!$AK$120+(50-35)*'Rate Card'!$AJ$120)))))))*(1+'Rate Card'!$C$6),2)*(IF('Rate Card'!$G$6="YES",'Rate Card'!$E$6,0)+IF('Rate Card'!$K$6="YES",'Rate Card'!$I$6,0)),2)</f>
        <v/>
      </c>
    </row>
    <row r="55">
      <c r="A55" s="75" t="n">
        <v>51</v>
      </c>
      <c r="B55" s="10">
        <f>""</f>
        <v/>
      </c>
      <c r="C55" s="10">
        <f>""</f>
        <v/>
      </c>
      <c r="D55" s="10">
        <f>""</f>
        <v/>
      </c>
      <c r="E55" s="10">
        <f>""</f>
        <v/>
      </c>
      <c r="F55" s="23">
        <f>IF(51&lt;=2,'Rate Card'!$AD$22,IF(51&lt;=5,'Rate Card'!$AE$22,IF(51&lt;=10,'Rate Card'!$AF$22,IF(51&lt;=15,'Rate Card'!$AG$22,IF(51&lt;=20,'Rate Card'!$AH$22,IF(51&lt;=35,'Rate Card'!$AH$22+(51-20)*'Rate Card'!$AI$22,'Rate Card'!$AK$22+(51-35)*'Rate Card'!$AJ$22))))))</f>
        <v/>
      </c>
      <c r="G55" s="23">
        <f>ROUND((IF(51&lt;=2,'Rate Card'!$AD$22,IF(51&lt;=5,'Rate Card'!$AE$22,IF(51&lt;=10,'Rate Card'!$AF$22,IF(51&lt;=15,'Rate Card'!$AG$22,IF(51&lt;=20,'Rate Card'!$AH$22,IF(51&lt;=35,'Rate Card'!$AH$22+(51-20)*'Rate Card'!$AI$22,'Rate Card'!$AK$22+(51-35)*'Rate Card'!$AJ$22)))))))*(1+'Rate Card'!$C$6),2)+ROUND(ROUND((IF(51&lt;=2,'Rate Card'!$AD$22,IF(51&lt;=5,'Rate Card'!$AE$22,IF(51&lt;=10,'Rate Card'!$AF$22,IF(51&lt;=15,'Rate Card'!$AG$22,IF(51&lt;=20,'Rate Card'!$AH$22,IF(51&lt;=35,'Rate Card'!$AH$22+(51-20)*'Rate Card'!$AI$22,'Rate Card'!$AK$22+(51-35)*'Rate Card'!$AJ$22)))))))*(1+'Rate Card'!$C$6),2)*(IF('Rate Card'!$G$6="YES",'Rate Card'!$E$6,0)+IF('Rate Card'!$K$6="YES",'Rate Card'!$I$6,0)),2)</f>
        <v/>
      </c>
      <c r="H55" s="23">
        <f>IF(51&lt;=2,'Rate Card'!$AD$23,IF(51&lt;=5,'Rate Card'!$AE$23,IF(51&lt;=10,'Rate Card'!$AF$23,IF(51&lt;=15,'Rate Card'!$AG$23,IF(51&lt;=20,'Rate Card'!$AH$23,IF(51&lt;=35,'Rate Card'!$AH$23+(51-20)*'Rate Card'!$AI$23,'Rate Card'!$AK$23+(51-35)*'Rate Card'!$AJ$23))))))</f>
        <v/>
      </c>
      <c r="I55" s="23">
        <f>ROUND((IF(51&lt;=2,'Rate Card'!$AD$23,IF(51&lt;=5,'Rate Card'!$AE$23,IF(51&lt;=10,'Rate Card'!$AF$23,IF(51&lt;=15,'Rate Card'!$AG$23,IF(51&lt;=20,'Rate Card'!$AH$23,IF(51&lt;=35,'Rate Card'!$AH$23+(51-20)*'Rate Card'!$AI$23,'Rate Card'!$AK$23+(51-35)*'Rate Card'!$AJ$23)))))))*(1+'Rate Card'!$C$6),2)+ROUND(ROUND((IF(51&lt;=2,'Rate Card'!$AD$23,IF(51&lt;=5,'Rate Card'!$AE$23,IF(51&lt;=10,'Rate Card'!$AF$23,IF(51&lt;=15,'Rate Card'!$AG$23,IF(51&lt;=20,'Rate Card'!$AH$23,IF(51&lt;=35,'Rate Card'!$AH$23+(51-20)*'Rate Card'!$AI$23,'Rate Card'!$AK$23+(51-35)*'Rate Card'!$AJ$23)))))))*(1+'Rate Card'!$C$6),2)*(IF('Rate Card'!$G$6="YES",'Rate Card'!$E$6,0)+IF('Rate Card'!$K$6="YES",'Rate Card'!$I$6,0)),2)</f>
        <v/>
      </c>
      <c r="J55" s="10">
        <f>""</f>
        <v/>
      </c>
      <c r="K55" s="10">
        <f>""</f>
        <v/>
      </c>
      <c r="L55" s="10">
        <f>""</f>
        <v/>
      </c>
      <c r="M55" s="10">
        <f>""</f>
        <v/>
      </c>
      <c r="N55" s="23">
        <f>IF(51&lt;=2,'Rate Card'!$AD$119,IF(51&lt;=5,'Rate Card'!$AE$119,IF(51&lt;=10,'Rate Card'!$AF$119,IF(51&lt;=15,'Rate Card'!$AG$119,IF(51&lt;=20,'Rate Card'!$AH$119,IF(51&lt;=35,'Rate Card'!$AH$119+(51-20)*'Rate Card'!$AI$119,'Rate Card'!$AK$119+(51-35)*'Rate Card'!$AJ$119))))))</f>
        <v/>
      </c>
      <c r="O55" s="23">
        <f>ROUND((IF(51&lt;=2,'Rate Card'!$AD$119,IF(51&lt;=5,'Rate Card'!$AE$119,IF(51&lt;=10,'Rate Card'!$AF$119,IF(51&lt;=15,'Rate Card'!$AG$119,IF(51&lt;=20,'Rate Card'!$AH$119,IF(51&lt;=35,'Rate Card'!$AH$119+(51-20)*'Rate Card'!$AI$119,'Rate Card'!$AK$119+(51-35)*'Rate Card'!$AJ$119)))))))*(1+'Rate Card'!$C$6),2)+ROUND(ROUND((IF(51&lt;=2,'Rate Card'!$AD$119,IF(51&lt;=5,'Rate Card'!$AE$119,IF(51&lt;=10,'Rate Card'!$AF$119,IF(51&lt;=15,'Rate Card'!$AG$119,IF(51&lt;=20,'Rate Card'!$AH$119,IF(51&lt;=35,'Rate Card'!$AH$119+(51-20)*'Rate Card'!$AI$119,'Rate Card'!$AK$119+(51-35)*'Rate Card'!$AJ$119)))))))*(1+'Rate Card'!$C$6),2)*(IF('Rate Card'!$G$6="YES",'Rate Card'!$E$6,0)+IF('Rate Card'!$K$6="YES",'Rate Card'!$I$6,0)),2)</f>
        <v/>
      </c>
      <c r="P55" s="23">
        <f>IF(51&lt;=2,'Rate Card'!$AD$120,IF(51&lt;=5,'Rate Card'!$AE$120,IF(51&lt;=10,'Rate Card'!$AF$120,IF(51&lt;=15,'Rate Card'!$AG$120,IF(51&lt;=20,'Rate Card'!$AH$120,IF(51&lt;=35,'Rate Card'!$AH$120+(51-20)*'Rate Card'!$AI$120,'Rate Card'!$AK$120+(51-35)*'Rate Card'!$AJ$120))))))</f>
        <v/>
      </c>
      <c r="Q55" s="12">
        <f>ROUND((IF(51&lt;=2,'Rate Card'!$AD$120,IF(51&lt;=5,'Rate Card'!$AE$120,IF(51&lt;=10,'Rate Card'!$AF$120,IF(51&lt;=15,'Rate Card'!$AG$120,IF(51&lt;=20,'Rate Card'!$AH$120,IF(51&lt;=35,'Rate Card'!$AH$120+(51-20)*'Rate Card'!$AI$120,'Rate Card'!$AK$120+(51-35)*'Rate Card'!$AJ$120)))))))*(1+'Rate Card'!$C$6),2)+ROUND(ROUND((IF(51&lt;=2,'Rate Card'!$AD$120,IF(51&lt;=5,'Rate Card'!$AE$120,IF(51&lt;=10,'Rate Card'!$AF$120,IF(51&lt;=15,'Rate Card'!$AG$120,IF(51&lt;=20,'Rate Card'!$AH$120,IF(51&lt;=35,'Rate Card'!$AH$120+(51-20)*'Rate Card'!$AI$120,'Rate Card'!$AK$120+(51-35)*'Rate Card'!$AJ$120)))))))*(1+'Rate Card'!$C$6),2)*(IF('Rate Card'!$G$6="YES",'Rate Card'!$E$6,0)+IF('Rate Card'!$K$6="YES",'Rate Card'!$I$6,0)),2)</f>
        <v/>
      </c>
    </row>
    <row r="56">
      <c r="A56" s="75" t="n">
        <v>52</v>
      </c>
      <c r="B56" s="10">
        <f>""</f>
        <v/>
      </c>
      <c r="C56" s="10">
        <f>""</f>
        <v/>
      </c>
      <c r="D56" s="10">
        <f>""</f>
        <v/>
      </c>
      <c r="E56" s="10">
        <f>""</f>
        <v/>
      </c>
      <c r="F56" s="23">
        <f>IF(52&lt;=2,'Rate Card'!$AD$22,IF(52&lt;=5,'Rate Card'!$AE$22,IF(52&lt;=10,'Rate Card'!$AF$22,IF(52&lt;=15,'Rate Card'!$AG$22,IF(52&lt;=20,'Rate Card'!$AH$22,IF(52&lt;=35,'Rate Card'!$AH$22+(52-20)*'Rate Card'!$AI$22,'Rate Card'!$AK$22+(52-35)*'Rate Card'!$AJ$22))))))</f>
        <v/>
      </c>
      <c r="G56" s="23">
        <f>ROUND((IF(52&lt;=2,'Rate Card'!$AD$22,IF(52&lt;=5,'Rate Card'!$AE$22,IF(52&lt;=10,'Rate Card'!$AF$22,IF(52&lt;=15,'Rate Card'!$AG$22,IF(52&lt;=20,'Rate Card'!$AH$22,IF(52&lt;=35,'Rate Card'!$AH$22+(52-20)*'Rate Card'!$AI$22,'Rate Card'!$AK$22+(52-35)*'Rate Card'!$AJ$22)))))))*(1+'Rate Card'!$C$6),2)+ROUND(ROUND((IF(52&lt;=2,'Rate Card'!$AD$22,IF(52&lt;=5,'Rate Card'!$AE$22,IF(52&lt;=10,'Rate Card'!$AF$22,IF(52&lt;=15,'Rate Card'!$AG$22,IF(52&lt;=20,'Rate Card'!$AH$22,IF(52&lt;=35,'Rate Card'!$AH$22+(52-20)*'Rate Card'!$AI$22,'Rate Card'!$AK$22+(52-35)*'Rate Card'!$AJ$22)))))))*(1+'Rate Card'!$C$6),2)*(IF('Rate Card'!$G$6="YES",'Rate Card'!$E$6,0)+IF('Rate Card'!$K$6="YES",'Rate Card'!$I$6,0)),2)</f>
        <v/>
      </c>
      <c r="H56" s="23">
        <f>IF(52&lt;=2,'Rate Card'!$AD$23,IF(52&lt;=5,'Rate Card'!$AE$23,IF(52&lt;=10,'Rate Card'!$AF$23,IF(52&lt;=15,'Rate Card'!$AG$23,IF(52&lt;=20,'Rate Card'!$AH$23,IF(52&lt;=35,'Rate Card'!$AH$23+(52-20)*'Rate Card'!$AI$23,'Rate Card'!$AK$23+(52-35)*'Rate Card'!$AJ$23))))))</f>
        <v/>
      </c>
      <c r="I56" s="23">
        <f>ROUND((IF(52&lt;=2,'Rate Card'!$AD$23,IF(52&lt;=5,'Rate Card'!$AE$23,IF(52&lt;=10,'Rate Card'!$AF$23,IF(52&lt;=15,'Rate Card'!$AG$23,IF(52&lt;=20,'Rate Card'!$AH$23,IF(52&lt;=35,'Rate Card'!$AH$23+(52-20)*'Rate Card'!$AI$23,'Rate Card'!$AK$23+(52-35)*'Rate Card'!$AJ$23)))))))*(1+'Rate Card'!$C$6),2)+ROUND(ROUND((IF(52&lt;=2,'Rate Card'!$AD$23,IF(52&lt;=5,'Rate Card'!$AE$23,IF(52&lt;=10,'Rate Card'!$AF$23,IF(52&lt;=15,'Rate Card'!$AG$23,IF(52&lt;=20,'Rate Card'!$AH$23,IF(52&lt;=35,'Rate Card'!$AH$23+(52-20)*'Rate Card'!$AI$23,'Rate Card'!$AK$23+(52-35)*'Rate Card'!$AJ$23)))))))*(1+'Rate Card'!$C$6),2)*(IF('Rate Card'!$G$6="YES",'Rate Card'!$E$6,0)+IF('Rate Card'!$K$6="YES",'Rate Card'!$I$6,0)),2)</f>
        <v/>
      </c>
      <c r="J56" s="10">
        <f>""</f>
        <v/>
      </c>
      <c r="K56" s="10">
        <f>""</f>
        <v/>
      </c>
      <c r="L56" s="10">
        <f>""</f>
        <v/>
      </c>
      <c r="M56" s="10">
        <f>""</f>
        <v/>
      </c>
      <c r="N56" s="23">
        <f>IF(52&lt;=2,'Rate Card'!$AD$119,IF(52&lt;=5,'Rate Card'!$AE$119,IF(52&lt;=10,'Rate Card'!$AF$119,IF(52&lt;=15,'Rate Card'!$AG$119,IF(52&lt;=20,'Rate Card'!$AH$119,IF(52&lt;=35,'Rate Card'!$AH$119+(52-20)*'Rate Card'!$AI$119,'Rate Card'!$AK$119+(52-35)*'Rate Card'!$AJ$119))))))</f>
        <v/>
      </c>
      <c r="O56" s="23">
        <f>ROUND((IF(52&lt;=2,'Rate Card'!$AD$119,IF(52&lt;=5,'Rate Card'!$AE$119,IF(52&lt;=10,'Rate Card'!$AF$119,IF(52&lt;=15,'Rate Card'!$AG$119,IF(52&lt;=20,'Rate Card'!$AH$119,IF(52&lt;=35,'Rate Card'!$AH$119+(52-20)*'Rate Card'!$AI$119,'Rate Card'!$AK$119+(52-35)*'Rate Card'!$AJ$119)))))))*(1+'Rate Card'!$C$6),2)+ROUND(ROUND((IF(52&lt;=2,'Rate Card'!$AD$119,IF(52&lt;=5,'Rate Card'!$AE$119,IF(52&lt;=10,'Rate Card'!$AF$119,IF(52&lt;=15,'Rate Card'!$AG$119,IF(52&lt;=20,'Rate Card'!$AH$119,IF(52&lt;=35,'Rate Card'!$AH$119+(52-20)*'Rate Card'!$AI$119,'Rate Card'!$AK$119+(52-35)*'Rate Card'!$AJ$119)))))))*(1+'Rate Card'!$C$6),2)*(IF('Rate Card'!$G$6="YES",'Rate Card'!$E$6,0)+IF('Rate Card'!$K$6="YES",'Rate Card'!$I$6,0)),2)</f>
        <v/>
      </c>
      <c r="P56" s="23">
        <f>IF(52&lt;=2,'Rate Card'!$AD$120,IF(52&lt;=5,'Rate Card'!$AE$120,IF(52&lt;=10,'Rate Card'!$AF$120,IF(52&lt;=15,'Rate Card'!$AG$120,IF(52&lt;=20,'Rate Card'!$AH$120,IF(52&lt;=35,'Rate Card'!$AH$120+(52-20)*'Rate Card'!$AI$120,'Rate Card'!$AK$120+(52-35)*'Rate Card'!$AJ$120))))))</f>
        <v/>
      </c>
      <c r="Q56" s="12">
        <f>ROUND((IF(52&lt;=2,'Rate Card'!$AD$120,IF(52&lt;=5,'Rate Card'!$AE$120,IF(52&lt;=10,'Rate Card'!$AF$120,IF(52&lt;=15,'Rate Card'!$AG$120,IF(52&lt;=20,'Rate Card'!$AH$120,IF(52&lt;=35,'Rate Card'!$AH$120+(52-20)*'Rate Card'!$AI$120,'Rate Card'!$AK$120+(52-35)*'Rate Card'!$AJ$120)))))))*(1+'Rate Card'!$C$6),2)+ROUND(ROUND((IF(52&lt;=2,'Rate Card'!$AD$120,IF(52&lt;=5,'Rate Card'!$AE$120,IF(52&lt;=10,'Rate Card'!$AF$120,IF(52&lt;=15,'Rate Card'!$AG$120,IF(52&lt;=20,'Rate Card'!$AH$120,IF(52&lt;=35,'Rate Card'!$AH$120+(52-20)*'Rate Card'!$AI$120,'Rate Card'!$AK$120+(52-35)*'Rate Card'!$AJ$120)))))))*(1+'Rate Card'!$C$6),2)*(IF('Rate Card'!$G$6="YES",'Rate Card'!$E$6,0)+IF('Rate Card'!$K$6="YES",'Rate Card'!$I$6,0)),2)</f>
        <v/>
      </c>
    </row>
    <row r="57">
      <c r="A57" s="75" t="n">
        <v>53</v>
      </c>
      <c r="B57" s="10">
        <f>""</f>
        <v/>
      </c>
      <c r="C57" s="10">
        <f>""</f>
        <v/>
      </c>
      <c r="D57" s="10">
        <f>""</f>
        <v/>
      </c>
      <c r="E57" s="10">
        <f>""</f>
        <v/>
      </c>
      <c r="F57" s="23">
        <f>IF(53&lt;=2,'Rate Card'!$AD$22,IF(53&lt;=5,'Rate Card'!$AE$22,IF(53&lt;=10,'Rate Card'!$AF$22,IF(53&lt;=15,'Rate Card'!$AG$22,IF(53&lt;=20,'Rate Card'!$AH$22,IF(53&lt;=35,'Rate Card'!$AH$22+(53-20)*'Rate Card'!$AI$22,'Rate Card'!$AK$22+(53-35)*'Rate Card'!$AJ$22))))))</f>
        <v/>
      </c>
      <c r="G57" s="23">
        <f>ROUND((IF(53&lt;=2,'Rate Card'!$AD$22,IF(53&lt;=5,'Rate Card'!$AE$22,IF(53&lt;=10,'Rate Card'!$AF$22,IF(53&lt;=15,'Rate Card'!$AG$22,IF(53&lt;=20,'Rate Card'!$AH$22,IF(53&lt;=35,'Rate Card'!$AH$22+(53-20)*'Rate Card'!$AI$22,'Rate Card'!$AK$22+(53-35)*'Rate Card'!$AJ$22)))))))*(1+'Rate Card'!$C$6),2)+ROUND(ROUND((IF(53&lt;=2,'Rate Card'!$AD$22,IF(53&lt;=5,'Rate Card'!$AE$22,IF(53&lt;=10,'Rate Card'!$AF$22,IF(53&lt;=15,'Rate Card'!$AG$22,IF(53&lt;=20,'Rate Card'!$AH$22,IF(53&lt;=35,'Rate Card'!$AH$22+(53-20)*'Rate Card'!$AI$22,'Rate Card'!$AK$22+(53-35)*'Rate Card'!$AJ$22)))))))*(1+'Rate Card'!$C$6),2)*(IF('Rate Card'!$G$6="YES",'Rate Card'!$E$6,0)+IF('Rate Card'!$K$6="YES",'Rate Card'!$I$6,0)),2)</f>
        <v/>
      </c>
      <c r="H57" s="23">
        <f>IF(53&lt;=2,'Rate Card'!$AD$23,IF(53&lt;=5,'Rate Card'!$AE$23,IF(53&lt;=10,'Rate Card'!$AF$23,IF(53&lt;=15,'Rate Card'!$AG$23,IF(53&lt;=20,'Rate Card'!$AH$23,IF(53&lt;=35,'Rate Card'!$AH$23+(53-20)*'Rate Card'!$AI$23,'Rate Card'!$AK$23+(53-35)*'Rate Card'!$AJ$23))))))</f>
        <v/>
      </c>
      <c r="I57" s="23">
        <f>ROUND((IF(53&lt;=2,'Rate Card'!$AD$23,IF(53&lt;=5,'Rate Card'!$AE$23,IF(53&lt;=10,'Rate Card'!$AF$23,IF(53&lt;=15,'Rate Card'!$AG$23,IF(53&lt;=20,'Rate Card'!$AH$23,IF(53&lt;=35,'Rate Card'!$AH$23+(53-20)*'Rate Card'!$AI$23,'Rate Card'!$AK$23+(53-35)*'Rate Card'!$AJ$23)))))))*(1+'Rate Card'!$C$6),2)+ROUND(ROUND((IF(53&lt;=2,'Rate Card'!$AD$23,IF(53&lt;=5,'Rate Card'!$AE$23,IF(53&lt;=10,'Rate Card'!$AF$23,IF(53&lt;=15,'Rate Card'!$AG$23,IF(53&lt;=20,'Rate Card'!$AH$23,IF(53&lt;=35,'Rate Card'!$AH$23+(53-20)*'Rate Card'!$AI$23,'Rate Card'!$AK$23+(53-35)*'Rate Card'!$AJ$23)))))))*(1+'Rate Card'!$C$6),2)*(IF('Rate Card'!$G$6="YES",'Rate Card'!$E$6,0)+IF('Rate Card'!$K$6="YES",'Rate Card'!$I$6,0)),2)</f>
        <v/>
      </c>
      <c r="J57" s="10">
        <f>""</f>
        <v/>
      </c>
      <c r="K57" s="10">
        <f>""</f>
        <v/>
      </c>
      <c r="L57" s="10">
        <f>""</f>
        <v/>
      </c>
      <c r="M57" s="10">
        <f>""</f>
        <v/>
      </c>
      <c r="N57" s="23">
        <f>IF(53&lt;=2,'Rate Card'!$AD$119,IF(53&lt;=5,'Rate Card'!$AE$119,IF(53&lt;=10,'Rate Card'!$AF$119,IF(53&lt;=15,'Rate Card'!$AG$119,IF(53&lt;=20,'Rate Card'!$AH$119,IF(53&lt;=35,'Rate Card'!$AH$119+(53-20)*'Rate Card'!$AI$119,'Rate Card'!$AK$119+(53-35)*'Rate Card'!$AJ$119))))))</f>
        <v/>
      </c>
      <c r="O57" s="23">
        <f>ROUND((IF(53&lt;=2,'Rate Card'!$AD$119,IF(53&lt;=5,'Rate Card'!$AE$119,IF(53&lt;=10,'Rate Card'!$AF$119,IF(53&lt;=15,'Rate Card'!$AG$119,IF(53&lt;=20,'Rate Card'!$AH$119,IF(53&lt;=35,'Rate Card'!$AH$119+(53-20)*'Rate Card'!$AI$119,'Rate Card'!$AK$119+(53-35)*'Rate Card'!$AJ$119)))))))*(1+'Rate Card'!$C$6),2)+ROUND(ROUND((IF(53&lt;=2,'Rate Card'!$AD$119,IF(53&lt;=5,'Rate Card'!$AE$119,IF(53&lt;=10,'Rate Card'!$AF$119,IF(53&lt;=15,'Rate Card'!$AG$119,IF(53&lt;=20,'Rate Card'!$AH$119,IF(53&lt;=35,'Rate Card'!$AH$119+(53-20)*'Rate Card'!$AI$119,'Rate Card'!$AK$119+(53-35)*'Rate Card'!$AJ$119)))))))*(1+'Rate Card'!$C$6),2)*(IF('Rate Card'!$G$6="YES",'Rate Card'!$E$6,0)+IF('Rate Card'!$K$6="YES",'Rate Card'!$I$6,0)),2)</f>
        <v/>
      </c>
      <c r="P57" s="23">
        <f>IF(53&lt;=2,'Rate Card'!$AD$120,IF(53&lt;=5,'Rate Card'!$AE$120,IF(53&lt;=10,'Rate Card'!$AF$120,IF(53&lt;=15,'Rate Card'!$AG$120,IF(53&lt;=20,'Rate Card'!$AH$120,IF(53&lt;=35,'Rate Card'!$AH$120+(53-20)*'Rate Card'!$AI$120,'Rate Card'!$AK$120+(53-35)*'Rate Card'!$AJ$120))))))</f>
        <v/>
      </c>
      <c r="Q57" s="12">
        <f>ROUND((IF(53&lt;=2,'Rate Card'!$AD$120,IF(53&lt;=5,'Rate Card'!$AE$120,IF(53&lt;=10,'Rate Card'!$AF$120,IF(53&lt;=15,'Rate Card'!$AG$120,IF(53&lt;=20,'Rate Card'!$AH$120,IF(53&lt;=35,'Rate Card'!$AH$120+(53-20)*'Rate Card'!$AI$120,'Rate Card'!$AK$120+(53-35)*'Rate Card'!$AJ$120)))))))*(1+'Rate Card'!$C$6),2)+ROUND(ROUND((IF(53&lt;=2,'Rate Card'!$AD$120,IF(53&lt;=5,'Rate Card'!$AE$120,IF(53&lt;=10,'Rate Card'!$AF$120,IF(53&lt;=15,'Rate Card'!$AG$120,IF(53&lt;=20,'Rate Card'!$AH$120,IF(53&lt;=35,'Rate Card'!$AH$120+(53-20)*'Rate Card'!$AI$120,'Rate Card'!$AK$120+(53-35)*'Rate Card'!$AJ$120)))))))*(1+'Rate Card'!$C$6),2)*(IF('Rate Card'!$G$6="YES",'Rate Card'!$E$6,0)+IF('Rate Card'!$K$6="YES",'Rate Card'!$I$6,0)),2)</f>
        <v/>
      </c>
    </row>
    <row r="58">
      <c r="A58" s="75" t="n">
        <v>54</v>
      </c>
      <c r="B58" s="10">
        <f>""</f>
        <v/>
      </c>
      <c r="C58" s="10">
        <f>""</f>
        <v/>
      </c>
      <c r="D58" s="10">
        <f>""</f>
        <v/>
      </c>
      <c r="E58" s="10">
        <f>""</f>
        <v/>
      </c>
      <c r="F58" s="23">
        <f>IF(54&lt;=2,'Rate Card'!$AD$22,IF(54&lt;=5,'Rate Card'!$AE$22,IF(54&lt;=10,'Rate Card'!$AF$22,IF(54&lt;=15,'Rate Card'!$AG$22,IF(54&lt;=20,'Rate Card'!$AH$22,IF(54&lt;=35,'Rate Card'!$AH$22+(54-20)*'Rate Card'!$AI$22,'Rate Card'!$AK$22+(54-35)*'Rate Card'!$AJ$22))))))</f>
        <v/>
      </c>
      <c r="G58" s="23">
        <f>ROUND((IF(54&lt;=2,'Rate Card'!$AD$22,IF(54&lt;=5,'Rate Card'!$AE$22,IF(54&lt;=10,'Rate Card'!$AF$22,IF(54&lt;=15,'Rate Card'!$AG$22,IF(54&lt;=20,'Rate Card'!$AH$22,IF(54&lt;=35,'Rate Card'!$AH$22+(54-20)*'Rate Card'!$AI$22,'Rate Card'!$AK$22+(54-35)*'Rate Card'!$AJ$22)))))))*(1+'Rate Card'!$C$6),2)+ROUND(ROUND((IF(54&lt;=2,'Rate Card'!$AD$22,IF(54&lt;=5,'Rate Card'!$AE$22,IF(54&lt;=10,'Rate Card'!$AF$22,IF(54&lt;=15,'Rate Card'!$AG$22,IF(54&lt;=20,'Rate Card'!$AH$22,IF(54&lt;=35,'Rate Card'!$AH$22+(54-20)*'Rate Card'!$AI$22,'Rate Card'!$AK$22+(54-35)*'Rate Card'!$AJ$22)))))))*(1+'Rate Card'!$C$6),2)*(IF('Rate Card'!$G$6="YES",'Rate Card'!$E$6,0)+IF('Rate Card'!$K$6="YES",'Rate Card'!$I$6,0)),2)</f>
        <v/>
      </c>
      <c r="H58" s="23">
        <f>IF(54&lt;=2,'Rate Card'!$AD$23,IF(54&lt;=5,'Rate Card'!$AE$23,IF(54&lt;=10,'Rate Card'!$AF$23,IF(54&lt;=15,'Rate Card'!$AG$23,IF(54&lt;=20,'Rate Card'!$AH$23,IF(54&lt;=35,'Rate Card'!$AH$23+(54-20)*'Rate Card'!$AI$23,'Rate Card'!$AK$23+(54-35)*'Rate Card'!$AJ$23))))))</f>
        <v/>
      </c>
      <c r="I58" s="23">
        <f>ROUND((IF(54&lt;=2,'Rate Card'!$AD$23,IF(54&lt;=5,'Rate Card'!$AE$23,IF(54&lt;=10,'Rate Card'!$AF$23,IF(54&lt;=15,'Rate Card'!$AG$23,IF(54&lt;=20,'Rate Card'!$AH$23,IF(54&lt;=35,'Rate Card'!$AH$23+(54-20)*'Rate Card'!$AI$23,'Rate Card'!$AK$23+(54-35)*'Rate Card'!$AJ$23)))))))*(1+'Rate Card'!$C$6),2)+ROUND(ROUND((IF(54&lt;=2,'Rate Card'!$AD$23,IF(54&lt;=5,'Rate Card'!$AE$23,IF(54&lt;=10,'Rate Card'!$AF$23,IF(54&lt;=15,'Rate Card'!$AG$23,IF(54&lt;=20,'Rate Card'!$AH$23,IF(54&lt;=35,'Rate Card'!$AH$23+(54-20)*'Rate Card'!$AI$23,'Rate Card'!$AK$23+(54-35)*'Rate Card'!$AJ$23)))))))*(1+'Rate Card'!$C$6),2)*(IF('Rate Card'!$G$6="YES",'Rate Card'!$E$6,0)+IF('Rate Card'!$K$6="YES",'Rate Card'!$I$6,0)),2)</f>
        <v/>
      </c>
      <c r="J58" s="10">
        <f>""</f>
        <v/>
      </c>
      <c r="K58" s="10">
        <f>""</f>
        <v/>
      </c>
      <c r="L58" s="10">
        <f>""</f>
        <v/>
      </c>
      <c r="M58" s="10">
        <f>""</f>
        <v/>
      </c>
      <c r="N58" s="23">
        <f>IF(54&lt;=2,'Rate Card'!$AD$119,IF(54&lt;=5,'Rate Card'!$AE$119,IF(54&lt;=10,'Rate Card'!$AF$119,IF(54&lt;=15,'Rate Card'!$AG$119,IF(54&lt;=20,'Rate Card'!$AH$119,IF(54&lt;=35,'Rate Card'!$AH$119+(54-20)*'Rate Card'!$AI$119,'Rate Card'!$AK$119+(54-35)*'Rate Card'!$AJ$119))))))</f>
        <v/>
      </c>
      <c r="O58" s="23">
        <f>ROUND((IF(54&lt;=2,'Rate Card'!$AD$119,IF(54&lt;=5,'Rate Card'!$AE$119,IF(54&lt;=10,'Rate Card'!$AF$119,IF(54&lt;=15,'Rate Card'!$AG$119,IF(54&lt;=20,'Rate Card'!$AH$119,IF(54&lt;=35,'Rate Card'!$AH$119+(54-20)*'Rate Card'!$AI$119,'Rate Card'!$AK$119+(54-35)*'Rate Card'!$AJ$119)))))))*(1+'Rate Card'!$C$6),2)+ROUND(ROUND((IF(54&lt;=2,'Rate Card'!$AD$119,IF(54&lt;=5,'Rate Card'!$AE$119,IF(54&lt;=10,'Rate Card'!$AF$119,IF(54&lt;=15,'Rate Card'!$AG$119,IF(54&lt;=20,'Rate Card'!$AH$119,IF(54&lt;=35,'Rate Card'!$AH$119+(54-20)*'Rate Card'!$AI$119,'Rate Card'!$AK$119+(54-35)*'Rate Card'!$AJ$119)))))))*(1+'Rate Card'!$C$6),2)*(IF('Rate Card'!$G$6="YES",'Rate Card'!$E$6,0)+IF('Rate Card'!$K$6="YES",'Rate Card'!$I$6,0)),2)</f>
        <v/>
      </c>
      <c r="P58" s="23">
        <f>IF(54&lt;=2,'Rate Card'!$AD$120,IF(54&lt;=5,'Rate Card'!$AE$120,IF(54&lt;=10,'Rate Card'!$AF$120,IF(54&lt;=15,'Rate Card'!$AG$120,IF(54&lt;=20,'Rate Card'!$AH$120,IF(54&lt;=35,'Rate Card'!$AH$120+(54-20)*'Rate Card'!$AI$120,'Rate Card'!$AK$120+(54-35)*'Rate Card'!$AJ$120))))))</f>
        <v/>
      </c>
      <c r="Q58" s="12">
        <f>ROUND((IF(54&lt;=2,'Rate Card'!$AD$120,IF(54&lt;=5,'Rate Card'!$AE$120,IF(54&lt;=10,'Rate Card'!$AF$120,IF(54&lt;=15,'Rate Card'!$AG$120,IF(54&lt;=20,'Rate Card'!$AH$120,IF(54&lt;=35,'Rate Card'!$AH$120+(54-20)*'Rate Card'!$AI$120,'Rate Card'!$AK$120+(54-35)*'Rate Card'!$AJ$120)))))))*(1+'Rate Card'!$C$6),2)+ROUND(ROUND((IF(54&lt;=2,'Rate Card'!$AD$120,IF(54&lt;=5,'Rate Card'!$AE$120,IF(54&lt;=10,'Rate Card'!$AF$120,IF(54&lt;=15,'Rate Card'!$AG$120,IF(54&lt;=20,'Rate Card'!$AH$120,IF(54&lt;=35,'Rate Card'!$AH$120+(54-20)*'Rate Card'!$AI$120,'Rate Card'!$AK$120+(54-35)*'Rate Card'!$AJ$120)))))))*(1+'Rate Card'!$C$6),2)*(IF('Rate Card'!$G$6="YES",'Rate Card'!$E$6,0)+IF('Rate Card'!$K$6="YES",'Rate Card'!$I$6,0)),2)</f>
        <v/>
      </c>
    </row>
    <row r="59">
      <c r="A59" s="75" t="n">
        <v>55</v>
      </c>
      <c r="B59" s="10">
        <f>""</f>
        <v/>
      </c>
      <c r="C59" s="10">
        <f>""</f>
        <v/>
      </c>
      <c r="D59" s="10">
        <f>""</f>
        <v/>
      </c>
      <c r="E59" s="10">
        <f>""</f>
        <v/>
      </c>
      <c r="F59" s="23">
        <f>IF(55&lt;=2,'Rate Card'!$AD$22,IF(55&lt;=5,'Rate Card'!$AE$22,IF(55&lt;=10,'Rate Card'!$AF$22,IF(55&lt;=15,'Rate Card'!$AG$22,IF(55&lt;=20,'Rate Card'!$AH$22,IF(55&lt;=35,'Rate Card'!$AH$22+(55-20)*'Rate Card'!$AI$22,'Rate Card'!$AK$22+(55-35)*'Rate Card'!$AJ$22))))))</f>
        <v/>
      </c>
      <c r="G59" s="23">
        <f>ROUND((IF(55&lt;=2,'Rate Card'!$AD$22,IF(55&lt;=5,'Rate Card'!$AE$22,IF(55&lt;=10,'Rate Card'!$AF$22,IF(55&lt;=15,'Rate Card'!$AG$22,IF(55&lt;=20,'Rate Card'!$AH$22,IF(55&lt;=35,'Rate Card'!$AH$22+(55-20)*'Rate Card'!$AI$22,'Rate Card'!$AK$22+(55-35)*'Rate Card'!$AJ$22)))))))*(1+'Rate Card'!$C$6),2)+ROUND(ROUND((IF(55&lt;=2,'Rate Card'!$AD$22,IF(55&lt;=5,'Rate Card'!$AE$22,IF(55&lt;=10,'Rate Card'!$AF$22,IF(55&lt;=15,'Rate Card'!$AG$22,IF(55&lt;=20,'Rate Card'!$AH$22,IF(55&lt;=35,'Rate Card'!$AH$22+(55-20)*'Rate Card'!$AI$22,'Rate Card'!$AK$22+(55-35)*'Rate Card'!$AJ$22)))))))*(1+'Rate Card'!$C$6),2)*(IF('Rate Card'!$G$6="YES",'Rate Card'!$E$6,0)+IF('Rate Card'!$K$6="YES",'Rate Card'!$I$6,0)),2)</f>
        <v/>
      </c>
      <c r="H59" s="23">
        <f>IF(55&lt;=2,'Rate Card'!$AD$23,IF(55&lt;=5,'Rate Card'!$AE$23,IF(55&lt;=10,'Rate Card'!$AF$23,IF(55&lt;=15,'Rate Card'!$AG$23,IF(55&lt;=20,'Rate Card'!$AH$23,IF(55&lt;=35,'Rate Card'!$AH$23+(55-20)*'Rate Card'!$AI$23,'Rate Card'!$AK$23+(55-35)*'Rate Card'!$AJ$23))))))</f>
        <v/>
      </c>
      <c r="I59" s="23">
        <f>ROUND((IF(55&lt;=2,'Rate Card'!$AD$23,IF(55&lt;=5,'Rate Card'!$AE$23,IF(55&lt;=10,'Rate Card'!$AF$23,IF(55&lt;=15,'Rate Card'!$AG$23,IF(55&lt;=20,'Rate Card'!$AH$23,IF(55&lt;=35,'Rate Card'!$AH$23+(55-20)*'Rate Card'!$AI$23,'Rate Card'!$AK$23+(55-35)*'Rate Card'!$AJ$23)))))))*(1+'Rate Card'!$C$6),2)+ROUND(ROUND((IF(55&lt;=2,'Rate Card'!$AD$23,IF(55&lt;=5,'Rate Card'!$AE$23,IF(55&lt;=10,'Rate Card'!$AF$23,IF(55&lt;=15,'Rate Card'!$AG$23,IF(55&lt;=20,'Rate Card'!$AH$23,IF(55&lt;=35,'Rate Card'!$AH$23+(55-20)*'Rate Card'!$AI$23,'Rate Card'!$AK$23+(55-35)*'Rate Card'!$AJ$23)))))))*(1+'Rate Card'!$C$6),2)*(IF('Rate Card'!$G$6="YES",'Rate Card'!$E$6,0)+IF('Rate Card'!$K$6="YES",'Rate Card'!$I$6,0)),2)</f>
        <v/>
      </c>
      <c r="J59" s="10">
        <f>""</f>
        <v/>
      </c>
      <c r="K59" s="10">
        <f>""</f>
        <v/>
      </c>
      <c r="L59" s="10">
        <f>""</f>
        <v/>
      </c>
      <c r="M59" s="10">
        <f>""</f>
        <v/>
      </c>
      <c r="N59" s="23">
        <f>IF(55&lt;=2,'Rate Card'!$AD$119,IF(55&lt;=5,'Rate Card'!$AE$119,IF(55&lt;=10,'Rate Card'!$AF$119,IF(55&lt;=15,'Rate Card'!$AG$119,IF(55&lt;=20,'Rate Card'!$AH$119,IF(55&lt;=35,'Rate Card'!$AH$119+(55-20)*'Rate Card'!$AI$119,'Rate Card'!$AK$119+(55-35)*'Rate Card'!$AJ$119))))))</f>
        <v/>
      </c>
      <c r="O59" s="23">
        <f>ROUND((IF(55&lt;=2,'Rate Card'!$AD$119,IF(55&lt;=5,'Rate Card'!$AE$119,IF(55&lt;=10,'Rate Card'!$AF$119,IF(55&lt;=15,'Rate Card'!$AG$119,IF(55&lt;=20,'Rate Card'!$AH$119,IF(55&lt;=35,'Rate Card'!$AH$119+(55-20)*'Rate Card'!$AI$119,'Rate Card'!$AK$119+(55-35)*'Rate Card'!$AJ$119)))))))*(1+'Rate Card'!$C$6),2)+ROUND(ROUND((IF(55&lt;=2,'Rate Card'!$AD$119,IF(55&lt;=5,'Rate Card'!$AE$119,IF(55&lt;=10,'Rate Card'!$AF$119,IF(55&lt;=15,'Rate Card'!$AG$119,IF(55&lt;=20,'Rate Card'!$AH$119,IF(55&lt;=35,'Rate Card'!$AH$119+(55-20)*'Rate Card'!$AI$119,'Rate Card'!$AK$119+(55-35)*'Rate Card'!$AJ$119)))))))*(1+'Rate Card'!$C$6),2)*(IF('Rate Card'!$G$6="YES",'Rate Card'!$E$6,0)+IF('Rate Card'!$K$6="YES",'Rate Card'!$I$6,0)),2)</f>
        <v/>
      </c>
      <c r="P59" s="23">
        <f>IF(55&lt;=2,'Rate Card'!$AD$120,IF(55&lt;=5,'Rate Card'!$AE$120,IF(55&lt;=10,'Rate Card'!$AF$120,IF(55&lt;=15,'Rate Card'!$AG$120,IF(55&lt;=20,'Rate Card'!$AH$120,IF(55&lt;=35,'Rate Card'!$AH$120+(55-20)*'Rate Card'!$AI$120,'Rate Card'!$AK$120+(55-35)*'Rate Card'!$AJ$120))))))</f>
        <v/>
      </c>
      <c r="Q59" s="12">
        <f>ROUND((IF(55&lt;=2,'Rate Card'!$AD$120,IF(55&lt;=5,'Rate Card'!$AE$120,IF(55&lt;=10,'Rate Card'!$AF$120,IF(55&lt;=15,'Rate Card'!$AG$120,IF(55&lt;=20,'Rate Card'!$AH$120,IF(55&lt;=35,'Rate Card'!$AH$120+(55-20)*'Rate Card'!$AI$120,'Rate Card'!$AK$120+(55-35)*'Rate Card'!$AJ$120)))))))*(1+'Rate Card'!$C$6),2)+ROUND(ROUND((IF(55&lt;=2,'Rate Card'!$AD$120,IF(55&lt;=5,'Rate Card'!$AE$120,IF(55&lt;=10,'Rate Card'!$AF$120,IF(55&lt;=15,'Rate Card'!$AG$120,IF(55&lt;=20,'Rate Card'!$AH$120,IF(55&lt;=35,'Rate Card'!$AH$120+(55-20)*'Rate Card'!$AI$120,'Rate Card'!$AK$120+(55-35)*'Rate Card'!$AJ$120)))))))*(1+'Rate Card'!$C$6),2)*(IF('Rate Card'!$G$6="YES",'Rate Card'!$E$6,0)+IF('Rate Card'!$K$6="YES",'Rate Card'!$I$6,0)),2)</f>
        <v/>
      </c>
    </row>
    <row r="60">
      <c r="A60" s="75" t="n">
        <v>56</v>
      </c>
      <c r="B60" s="10">
        <f>""</f>
        <v/>
      </c>
      <c r="C60" s="10">
        <f>""</f>
        <v/>
      </c>
      <c r="D60" s="10">
        <f>""</f>
        <v/>
      </c>
      <c r="E60" s="10">
        <f>""</f>
        <v/>
      </c>
      <c r="F60" s="23">
        <f>IF(56&lt;=2,'Rate Card'!$AD$22,IF(56&lt;=5,'Rate Card'!$AE$22,IF(56&lt;=10,'Rate Card'!$AF$22,IF(56&lt;=15,'Rate Card'!$AG$22,IF(56&lt;=20,'Rate Card'!$AH$22,IF(56&lt;=35,'Rate Card'!$AH$22+(56-20)*'Rate Card'!$AI$22,'Rate Card'!$AK$22+(56-35)*'Rate Card'!$AJ$22))))))</f>
        <v/>
      </c>
      <c r="G60" s="23">
        <f>ROUND((IF(56&lt;=2,'Rate Card'!$AD$22,IF(56&lt;=5,'Rate Card'!$AE$22,IF(56&lt;=10,'Rate Card'!$AF$22,IF(56&lt;=15,'Rate Card'!$AG$22,IF(56&lt;=20,'Rate Card'!$AH$22,IF(56&lt;=35,'Rate Card'!$AH$22+(56-20)*'Rate Card'!$AI$22,'Rate Card'!$AK$22+(56-35)*'Rate Card'!$AJ$22)))))))*(1+'Rate Card'!$C$6),2)+ROUND(ROUND((IF(56&lt;=2,'Rate Card'!$AD$22,IF(56&lt;=5,'Rate Card'!$AE$22,IF(56&lt;=10,'Rate Card'!$AF$22,IF(56&lt;=15,'Rate Card'!$AG$22,IF(56&lt;=20,'Rate Card'!$AH$22,IF(56&lt;=35,'Rate Card'!$AH$22+(56-20)*'Rate Card'!$AI$22,'Rate Card'!$AK$22+(56-35)*'Rate Card'!$AJ$22)))))))*(1+'Rate Card'!$C$6),2)*(IF('Rate Card'!$G$6="YES",'Rate Card'!$E$6,0)+IF('Rate Card'!$K$6="YES",'Rate Card'!$I$6,0)),2)</f>
        <v/>
      </c>
      <c r="H60" s="23">
        <f>IF(56&lt;=2,'Rate Card'!$AD$23,IF(56&lt;=5,'Rate Card'!$AE$23,IF(56&lt;=10,'Rate Card'!$AF$23,IF(56&lt;=15,'Rate Card'!$AG$23,IF(56&lt;=20,'Rate Card'!$AH$23,IF(56&lt;=35,'Rate Card'!$AH$23+(56-20)*'Rate Card'!$AI$23,'Rate Card'!$AK$23+(56-35)*'Rate Card'!$AJ$23))))))</f>
        <v/>
      </c>
      <c r="I60" s="23">
        <f>ROUND((IF(56&lt;=2,'Rate Card'!$AD$23,IF(56&lt;=5,'Rate Card'!$AE$23,IF(56&lt;=10,'Rate Card'!$AF$23,IF(56&lt;=15,'Rate Card'!$AG$23,IF(56&lt;=20,'Rate Card'!$AH$23,IF(56&lt;=35,'Rate Card'!$AH$23+(56-20)*'Rate Card'!$AI$23,'Rate Card'!$AK$23+(56-35)*'Rate Card'!$AJ$23)))))))*(1+'Rate Card'!$C$6),2)+ROUND(ROUND((IF(56&lt;=2,'Rate Card'!$AD$23,IF(56&lt;=5,'Rate Card'!$AE$23,IF(56&lt;=10,'Rate Card'!$AF$23,IF(56&lt;=15,'Rate Card'!$AG$23,IF(56&lt;=20,'Rate Card'!$AH$23,IF(56&lt;=35,'Rate Card'!$AH$23+(56-20)*'Rate Card'!$AI$23,'Rate Card'!$AK$23+(56-35)*'Rate Card'!$AJ$23)))))))*(1+'Rate Card'!$C$6),2)*(IF('Rate Card'!$G$6="YES",'Rate Card'!$E$6,0)+IF('Rate Card'!$K$6="YES",'Rate Card'!$I$6,0)),2)</f>
        <v/>
      </c>
      <c r="J60" s="10">
        <f>""</f>
        <v/>
      </c>
      <c r="K60" s="10">
        <f>""</f>
        <v/>
      </c>
      <c r="L60" s="10">
        <f>""</f>
        <v/>
      </c>
      <c r="M60" s="10">
        <f>""</f>
        <v/>
      </c>
      <c r="N60" s="23">
        <f>IF(56&lt;=2,'Rate Card'!$AD$119,IF(56&lt;=5,'Rate Card'!$AE$119,IF(56&lt;=10,'Rate Card'!$AF$119,IF(56&lt;=15,'Rate Card'!$AG$119,IF(56&lt;=20,'Rate Card'!$AH$119,IF(56&lt;=35,'Rate Card'!$AH$119+(56-20)*'Rate Card'!$AI$119,'Rate Card'!$AK$119+(56-35)*'Rate Card'!$AJ$119))))))</f>
        <v/>
      </c>
      <c r="O60" s="23">
        <f>ROUND((IF(56&lt;=2,'Rate Card'!$AD$119,IF(56&lt;=5,'Rate Card'!$AE$119,IF(56&lt;=10,'Rate Card'!$AF$119,IF(56&lt;=15,'Rate Card'!$AG$119,IF(56&lt;=20,'Rate Card'!$AH$119,IF(56&lt;=35,'Rate Card'!$AH$119+(56-20)*'Rate Card'!$AI$119,'Rate Card'!$AK$119+(56-35)*'Rate Card'!$AJ$119)))))))*(1+'Rate Card'!$C$6),2)+ROUND(ROUND((IF(56&lt;=2,'Rate Card'!$AD$119,IF(56&lt;=5,'Rate Card'!$AE$119,IF(56&lt;=10,'Rate Card'!$AF$119,IF(56&lt;=15,'Rate Card'!$AG$119,IF(56&lt;=20,'Rate Card'!$AH$119,IF(56&lt;=35,'Rate Card'!$AH$119+(56-20)*'Rate Card'!$AI$119,'Rate Card'!$AK$119+(56-35)*'Rate Card'!$AJ$119)))))))*(1+'Rate Card'!$C$6),2)*(IF('Rate Card'!$G$6="YES",'Rate Card'!$E$6,0)+IF('Rate Card'!$K$6="YES",'Rate Card'!$I$6,0)),2)</f>
        <v/>
      </c>
      <c r="P60" s="23">
        <f>IF(56&lt;=2,'Rate Card'!$AD$120,IF(56&lt;=5,'Rate Card'!$AE$120,IF(56&lt;=10,'Rate Card'!$AF$120,IF(56&lt;=15,'Rate Card'!$AG$120,IF(56&lt;=20,'Rate Card'!$AH$120,IF(56&lt;=35,'Rate Card'!$AH$120+(56-20)*'Rate Card'!$AI$120,'Rate Card'!$AK$120+(56-35)*'Rate Card'!$AJ$120))))))</f>
        <v/>
      </c>
      <c r="Q60" s="12">
        <f>ROUND((IF(56&lt;=2,'Rate Card'!$AD$120,IF(56&lt;=5,'Rate Card'!$AE$120,IF(56&lt;=10,'Rate Card'!$AF$120,IF(56&lt;=15,'Rate Card'!$AG$120,IF(56&lt;=20,'Rate Card'!$AH$120,IF(56&lt;=35,'Rate Card'!$AH$120+(56-20)*'Rate Card'!$AI$120,'Rate Card'!$AK$120+(56-35)*'Rate Card'!$AJ$120)))))))*(1+'Rate Card'!$C$6),2)+ROUND(ROUND((IF(56&lt;=2,'Rate Card'!$AD$120,IF(56&lt;=5,'Rate Card'!$AE$120,IF(56&lt;=10,'Rate Card'!$AF$120,IF(56&lt;=15,'Rate Card'!$AG$120,IF(56&lt;=20,'Rate Card'!$AH$120,IF(56&lt;=35,'Rate Card'!$AH$120+(56-20)*'Rate Card'!$AI$120,'Rate Card'!$AK$120+(56-35)*'Rate Card'!$AJ$120)))))))*(1+'Rate Card'!$C$6),2)*(IF('Rate Card'!$G$6="YES",'Rate Card'!$E$6,0)+IF('Rate Card'!$K$6="YES",'Rate Card'!$I$6,0)),2)</f>
        <v/>
      </c>
    </row>
    <row r="61">
      <c r="A61" s="75" t="n">
        <v>57</v>
      </c>
      <c r="B61" s="10">
        <f>""</f>
        <v/>
      </c>
      <c r="C61" s="10">
        <f>""</f>
        <v/>
      </c>
      <c r="D61" s="10">
        <f>""</f>
        <v/>
      </c>
      <c r="E61" s="10">
        <f>""</f>
        <v/>
      </c>
      <c r="F61" s="23">
        <f>IF(57&lt;=2,'Rate Card'!$AD$22,IF(57&lt;=5,'Rate Card'!$AE$22,IF(57&lt;=10,'Rate Card'!$AF$22,IF(57&lt;=15,'Rate Card'!$AG$22,IF(57&lt;=20,'Rate Card'!$AH$22,IF(57&lt;=35,'Rate Card'!$AH$22+(57-20)*'Rate Card'!$AI$22,'Rate Card'!$AK$22+(57-35)*'Rate Card'!$AJ$22))))))</f>
        <v/>
      </c>
      <c r="G61" s="23">
        <f>ROUND((IF(57&lt;=2,'Rate Card'!$AD$22,IF(57&lt;=5,'Rate Card'!$AE$22,IF(57&lt;=10,'Rate Card'!$AF$22,IF(57&lt;=15,'Rate Card'!$AG$22,IF(57&lt;=20,'Rate Card'!$AH$22,IF(57&lt;=35,'Rate Card'!$AH$22+(57-20)*'Rate Card'!$AI$22,'Rate Card'!$AK$22+(57-35)*'Rate Card'!$AJ$22)))))))*(1+'Rate Card'!$C$6),2)+ROUND(ROUND((IF(57&lt;=2,'Rate Card'!$AD$22,IF(57&lt;=5,'Rate Card'!$AE$22,IF(57&lt;=10,'Rate Card'!$AF$22,IF(57&lt;=15,'Rate Card'!$AG$22,IF(57&lt;=20,'Rate Card'!$AH$22,IF(57&lt;=35,'Rate Card'!$AH$22+(57-20)*'Rate Card'!$AI$22,'Rate Card'!$AK$22+(57-35)*'Rate Card'!$AJ$22)))))))*(1+'Rate Card'!$C$6),2)*(IF('Rate Card'!$G$6="YES",'Rate Card'!$E$6,0)+IF('Rate Card'!$K$6="YES",'Rate Card'!$I$6,0)),2)</f>
        <v/>
      </c>
      <c r="H61" s="23">
        <f>IF(57&lt;=2,'Rate Card'!$AD$23,IF(57&lt;=5,'Rate Card'!$AE$23,IF(57&lt;=10,'Rate Card'!$AF$23,IF(57&lt;=15,'Rate Card'!$AG$23,IF(57&lt;=20,'Rate Card'!$AH$23,IF(57&lt;=35,'Rate Card'!$AH$23+(57-20)*'Rate Card'!$AI$23,'Rate Card'!$AK$23+(57-35)*'Rate Card'!$AJ$23))))))</f>
        <v/>
      </c>
      <c r="I61" s="23">
        <f>ROUND((IF(57&lt;=2,'Rate Card'!$AD$23,IF(57&lt;=5,'Rate Card'!$AE$23,IF(57&lt;=10,'Rate Card'!$AF$23,IF(57&lt;=15,'Rate Card'!$AG$23,IF(57&lt;=20,'Rate Card'!$AH$23,IF(57&lt;=35,'Rate Card'!$AH$23+(57-20)*'Rate Card'!$AI$23,'Rate Card'!$AK$23+(57-35)*'Rate Card'!$AJ$23)))))))*(1+'Rate Card'!$C$6),2)+ROUND(ROUND((IF(57&lt;=2,'Rate Card'!$AD$23,IF(57&lt;=5,'Rate Card'!$AE$23,IF(57&lt;=10,'Rate Card'!$AF$23,IF(57&lt;=15,'Rate Card'!$AG$23,IF(57&lt;=20,'Rate Card'!$AH$23,IF(57&lt;=35,'Rate Card'!$AH$23+(57-20)*'Rate Card'!$AI$23,'Rate Card'!$AK$23+(57-35)*'Rate Card'!$AJ$23)))))))*(1+'Rate Card'!$C$6),2)*(IF('Rate Card'!$G$6="YES",'Rate Card'!$E$6,0)+IF('Rate Card'!$K$6="YES",'Rate Card'!$I$6,0)),2)</f>
        <v/>
      </c>
      <c r="J61" s="10">
        <f>""</f>
        <v/>
      </c>
      <c r="K61" s="10">
        <f>""</f>
        <v/>
      </c>
      <c r="L61" s="10">
        <f>""</f>
        <v/>
      </c>
      <c r="M61" s="10">
        <f>""</f>
        <v/>
      </c>
      <c r="N61" s="23">
        <f>IF(57&lt;=2,'Rate Card'!$AD$119,IF(57&lt;=5,'Rate Card'!$AE$119,IF(57&lt;=10,'Rate Card'!$AF$119,IF(57&lt;=15,'Rate Card'!$AG$119,IF(57&lt;=20,'Rate Card'!$AH$119,IF(57&lt;=35,'Rate Card'!$AH$119+(57-20)*'Rate Card'!$AI$119,'Rate Card'!$AK$119+(57-35)*'Rate Card'!$AJ$119))))))</f>
        <v/>
      </c>
      <c r="O61" s="23">
        <f>ROUND((IF(57&lt;=2,'Rate Card'!$AD$119,IF(57&lt;=5,'Rate Card'!$AE$119,IF(57&lt;=10,'Rate Card'!$AF$119,IF(57&lt;=15,'Rate Card'!$AG$119,IF(57&lt;=20,'Rate Card'!$AH$119,IF(57&lt;=35,'Rate Card'!$AH$119+(57-20)*'Rate Card'!$AI$119,'Rate Card'!$AK$119+(57-35)*'Rate Card'!$AJ$119)))))))*(1+'Rate Card'!$C$6),2)+ROUND(ROUND((IF(57&lt;=2,'Rate Card'!$AD$119,IF(57&lt;=5,'Rate Card'!$AE$119,IF(57&lt;=10,'Rate Card'!$AF$119,IF(57&lt;=15,'Rate Card'!$AG$119,IF(57&lt;=20,'Rate Card'!$AH$119,IF(57&lt;=35,'Rate Card'!$AH$119+(57-20)*'Rate Card'!$AI$119,'Rate Card'!$AK$119+(57-35)*'Rate Card'!$AJ$119)))))))*(1+'Rate Card'!$C$6),2)*(IF('Rate Card'!$G$6="YES",'Rate Card'!$E$6,0)+IF('Rate Card'!$K$6="YES",'Rate Card'!$I$6,0)),2)</f>
        <v/>
      </c>
      <c r="P61" s="23">
        <f>IF(57&lt;=2,'Rate Card'!$AD$120,IF(57&lt;=5,'Rate Card'!$AE$120,IF(57&lt;=10,'Rate Card'!$AF$120,IF(57&lt;=15,'Rate Card'!$AG$120,IF(57&lt;=20,'Rate Card'!$AH$120,IF(57&lt;=35,'Rate Card'!$AH$120+(57-20)*'Rate Card'!$AI$120,'Rate Card'!$AK$120+(57-35)*'Rate Card'!$AJ$120))))))</f>
        <v/>
      </c>
      <c r="Q61" s="12">
        <f>ROUND((IF(57&lt;=2,'Rate Card'!$AD$120,IF(57&lt;=5,'Rate Card'!$AE$120,IF(57&lt;=10,'Rate Card'!$AF$120,IF(57&lt;=15,'Rate Card'!$AG$120,IF(57&lt;=20,'Rate Card'!$AH$120,IF(57&lt;=35,'Rate Card'!$AH$120+(57-20)*'Rate Card'!$AI$120,'Rate Card'!$AK$120+(57-35)*'Rate Card'!$AJ$120)))))))*(1+'Rate Card'!$C$6),2)+ROUND(ROUND((IF(57&lt;=2,'Rate Card'!$AD$120,IF(57&lt;=5,'Rate Card'!$AE$120,IF(57&lt;=10,'Rate Card'!$AF$120,IF(57&lt;=15,'Rate Card'!$AG$120,IF(57&lt;=20,'Rate Card'!$AH$120,IF(57&lt;=35,'Rate Card'!$AH$120+(57-20)*'Rate Card'!$AI$120,'Rate Card'!$AK$120+(57-35)*'Rate Card'!$AJ$120)))))))*(1+'Rate Card'!$C$6),2)*(IF('Rate Card'!$G$6="YES",'Rate Card'!$E$6,0)+IF('Rate Card'!$K$6="YES",'Rate Card'!$I$6,0)),2)</f>
        <v/>
      </c>
    </row>
    <row r="62">
      <c r="A62" s="75" t="n">
        <v>58</v>
      </c>
      <c r="B62" s="10">
        <f>""</f>
        <v/>
      </c>
      <c r="C62" s="10">
        <f>""</f>
        <v/>
      </c>
      <c r="D62" s="10">
        <f>""</f>
        <v/>
      </c>
      <c r="E62" s="10">
        <f>""</f>
        <v/>
      </c>
      <c r="F62" s="23">
        <f>IF(58&lt;=2,'Rate Card'!$AD$22,IF(58&lt;=5,'Rate Card'!$AE$22,IF(58&lt;=10,'Rate Card'!$AF$22,IF(58&lt;=15,'Rate Card'!$AG$22,IF(58&lt;=20,'Rate Card'!$AH$22,IF(58&lt;=35,'Rate Card'!$AH$22+(58-20)*'Rate Card'!$AI$22,'Rate Card'!$AK$22+(58-35)*'Rate Card'!$AJ$22))))))</f>
        <v/>
      </c>
      <c r="G62" s="23">
        <f>ROUND((IF(58&lt;=2,'Rate Card'!$AD$22,IF(58&lt;=5,'Rate Card'!$AE$22,IF(58&lt;=10,'Rate Card'!$AF$22,IF(58&lt;=15,'Rate Card'!$AG$22,IF(58&lt;=20,'Rate Card'!$AH$22,IF(58&lt;=35,'Rate Card'!$AH$22+(58-20)*'Rate Card'!$AI$22,'Rate Card'!$AK$22+(58-35)*'Rate Card'!$AJ$22)))))))*(1+'Rate Card'!$C$6),2)+ROUND(ROUND((IF(58&lt;=2,'Rate Card'!$AD$22,IF(58&lt;=5,'Rate Card'!$AE$22,IF(58&lt;=10,'Rate Card'!$AF$22,IF(58&lt;=15,'Rate Card'!$AG$22,IF(58&lt;=20,'Rate Card'!$AH$22,IF(58&lt;=35,'Rate Card'!$AH$22+(58-20)*'Rate Card'!$AI$22,'Rate Card'!$AK$22+(58-35)*'Rate Card'!$AJ$22)))))))*(1+'Rate Card'!$C$6),2)*(IF('Rate Card'!$G$6="YES",'Rate Card'!$E$6,0)+IF('Rate Card'!$K$6="YES",'Rate Card'!$I$6,0)),2)</f>
        <v/>
      </c>
      <c r="H62" s="23">
        <f>IF(58&lt;=2,'Rate Card'!$AD$23,IF(58&lt;=5,'Rate Card'!$AE$23,IF(58&lt;=10,'Rate Card'!$AF$23,IF(58&lt;=15,'Rate Card'!$AG$23,IF(58&lt;=20,'Rate Card'!$AH$23,IF(58&lt;=35,'Rate Card'!$AH$23+(58-20)*'Rate Card'!$AI$23,'Rate Card'!$AK$23+(58-35)*'Rate Card'!$AJ$23))))))</f>
        <v/>
      </c>
      <c r="I62" s="23">
        <f>ROUND((IF(58&lt;=2,'Rate Card'!$AD$23,IF(58&lt;=5,'Rate Card'!$AE$23,IF(58&lt;=10,'Rate Card'!$AF$23,IF(58&lt;=15,'Rate Card'!$AG$23,IF(58&lt;=20,'Rate Card'!$AH$23,IF(58&lt;=35,'Rate Card'!$AH$23+(58-20)*'Rate Card'!$AI$23,'Rate Card'!$AK$23+(58-35)*'Rate Card'!$AJ$23)))))))*(1+'Rate Card'!$C$6),2)+ROUND(ROUND((IF(58&lt;=2,'Rate Card'!$AD$23,IF(58&lt;=5,'Rate Card'!$AE$23,IF(58&lt;=10,'Rate Card'!$AF$23,IF(58&lt;=15,'Rate Card'!$AG$23,IF(58&lt;=20,'Rate Card'!$AH$23,IF(58&lt;=35,'Rate Card'!$AH$23+(58-20)*'Rate Card'!$AI$23,'Rate Card'!$AK$23+(58-35)*'Rate Card'!$AJ$23)))))))*(1+'Rate Card'!$C$6),2)*(IF('Rate Card'!$G$6="YES",'Rate Card'!$E$6,0)+IF('Rate Card'!$K$6="YES",'Rate Card'!$I$6,0)),2)</f>
        <v/>
      </c>
      <c r="J62" s="10">
        <f>""</f>
        <v/>
      </c>
      <c r="K62" s="10">
        <f>""</f>
        <v/>
      </c>
      <c r="L62" s="10">
        <f>""</f>
        <v/>
      </c>
      <c r="M62" s="10">
        <f>""</f>
        <v/>
      </c>
      <c r="N62" s="23">
        <f>IF(58&lt;=2,'Rate Card'!$AD$119,IF(58&lt;=5,'Rate Card'!$AE$119,IF(58&lt;=10,'Rate Card'!$AF$119,IF(58&lt;=15,'Rate Card'!$AG$119,IF(58&lt;=20,'Rate Card'!$AH$119,IF(58&lt;=35,'Rate Card'!$AH$119+(58-20)*'Rate Card'!$AI$119,'Rate Card'!$AK$119+(58-35)*'Rate Card'!$AJ$119))))))</f>
        <v/>
      </c>
      <c r="O62" s="23">
        <f>ROUND((IF(58&lt;=2,'Rate Card'!$AD$119,IF(58&lt;=5,'Rate Card'!$AE$119,IF(58&lt;=10,'Rate Card'!$AF$119,IF(58&lt;=15,'Rate Card'!$AG$119,IF(58&lt;=20,'Rate Card'!$AH$119,IF(58&lt;=35,'Rate Card'!$AH$119+(58-20)*'Rate Card'!$AI$119,'Rate Card'!$AK$119+(58-35)*'Rate Card'!$AJ$119)))))))*(1+'Rate Card'!$C$6),2)+ROUND(ROUND((IF(58&lt;=2,'Rate Card'!$AD$119,IF(58&lt;=5,'Rate Card'!$AE$119,IF(58&lt;=10,'Rate Card'!$AF$119,IF(58&lt;=15,'Rate Card'!$AG$119,IF(58&lt;=20,'Rate Card'!$AH$119,IF(58&lt;=35,'Rate Card'!$AH$119+(58-20)*'Rate Card'!$AI$119,'Rate Card'!$AK$119+(58-35)*'Rate Card'!$AJ$119)))))))*(1+'Rate Card'!$C$6),2)*(IF('Rate Card'!$G$6="YES",'Rate Card'!$E$6,0)+IF('Rate Card'!$K$6="YES",'Rate Card'!$I$6,0)),2)</f>
        <v/>
      </c>
      <c r="P62" s="23">
        <f>IF(58&lt;=2,'Rate Card'!$AD$120,IF(58&lt;=5,'Rate Card'!$AE$120,IF(58&lt;=10,'Rate Card'!$AF$120,IF(58&lt;=15,'Rate Card'!$AG$120,IF(58&lt;=20,'Rate Card'!$AH$120,IF(58&lt;=35,'Rate Card'!$AH$120+(58-20)*'Rate Card'!$AI$120,'Rate Card'!$AK$120+(58-35)*'Rate Card'!$AJ$120))))))</f>
        <v/>
      </c>
      <c r="Q62" s="12">
        <f>ROUND((IF(58&lt;=2,'Rate Card'!$AD$120,IF(58&lt;=5,'Rate Card'!$AE$120,IF(58&lt;=10,'Rate Card'!$AF$120,IF(58&lt;=15,'Rate Card'!$AG$120,IF(58&lt;=20,'Rate Card'!$AH$120,IF(58&lt;=35,'Rate Card'!$AH$120+(58-20)*'Rate Card'!$AI$120,'Rate Card'!$AK$120+(58-35)*'Rate Card'!$AJ$120)))))))*(1+'Rate Card'!$C$6),2)+ROUND(ROUND((IF(58&lt;=2,'Rate Card'!$AD$120,IF(58&lt;=5,'Rate Card'!$AE$120,IF(58&lt;=10,'Rate Card'!$AF$120,IF(58&lt;=15,'Rate Card'!$AG$120,IF(58&lt;=20,'Rate Card'!$AH$120,IF(58&lt;=35,'Rate Card'!$AH$120+(58-20)*'Rate Card'!$AI$120,'Rate Card'!$AK$120+(58-35)*'Rate Card'!$AJ$120)))))))*(1+'Rate Card'!$C$6),2)*(IF('Rate Card'!$G$6="YES",'Rate Card'!$E$6,0)+IF('Rate Card'!$K$6="YES",'Rate Card'!$I$6,0)),2)</f>
        <v/>
      </c>
    </row>
    <row r="63">
      <c r="A63" s="75" t="n">
        <v>59</v>
      </c>
      <c r="B63" s="10">
        <f>""</f>
        <v/>
      </c>
      <c r="C63" s="10">
        <f>""</f>
        <v/>
      </c>
      <c r="D63" s="10">
        <f>""</f>
        <v/>
      </c>
      <c r="E63" s="10">
        <f>""</f>
        <v/>
      </c>
      <c r="F63" s="23">
        <f>IF(59&lt;=2,'Rate Card'!$AD$22,IF(59&lt;=5,'Rate Card'!$AE$22,IF(59&lt;=10,'Rate Card'!$AF$22,IF(59&lt;=15,'Rate Card'!$AG$22,IF(59&lt;=20,'Rate Card'!$AH$22,IF(59&lt;=35,'Rate Card'!$AH$22+(59-20)*'Rate Card'!$AI$22,'Rate Card'!$AK$22+(59-35)*'Rate Card'!$AJ$22))))))</f>
        <v/>
      </c>
      <c r="G63" s="23">
        <f>ROUND((IF(59&lt;=2,'Rate Card'!$AD$22,IF(59&lt;=5,'Rate Card'!$AE$22,IF(59&lt;=10,'Rate Card'!$AF$22,IF(59&lt;=15,'Rate Card'!$AG$22,IF(59&lt;=20,'Rate Card'!$AH$22,IF(59&lt;=35,'Rate Card'!$AH$22+(59-20)*'Rate Card'!$AI$22,'Rate Card'!$AK$22+(59-35)*'Rate Card'!$AJ$22)))))))*(1+'Rate Card'!$C$6),2)+ROUND(ROUND((IF(59&lt;=2,'Rate Card'!$AD$22,IF(59&lt;=5,'Rate Card'!$AE$22,IF(59&lt;=10,'Rate Card'!$AF$22,IF(59&lt;=15,'Rate Card'!$AG$22,IF(59&lt;=20,'Rate Card'!$AH$22,IF(59&lt;=35,'Rate Card'!$AH$22+(59-20)*'Rate Card'!$AI$22,'Rate Card'!$AK$22+(59-35)*'Rate Card'!$AJ$22)))))))*(1+'Rate Card'!$C$6),2)*(IF('Rate Card'!$G$6="YES",'Rate Card'!$E$6,0)+IF('Rate Card'!$K$6="YES",'Rate Card'!$I$6,0)),2)</f>
        <v/>
      </c>
      <c r="H63" s="23">
        <f>IF(59&lt;=2,'Rate Card'!$AD$23,IF(59&lt;=5,'Rate Card'!$AE$23,IF(59&lt;=10,'Rate Card'!$AF$23,IF(59&lt;=15,'Rate Card'!$AG$23,IF(59&lt;=20,'Rate Card'!$AH$23,IF(59&lt;=35,'Rate Card'!$AH$23+(59-20)*'Rate Card'!$AI$23,'Rate Card'!$AK$23+(59-35)*'Rate Card'!$AJ$23))))))</f>
        <v/>
      </c>
      <c r="I63" s="23">
        <f>ROUND((IF(59&lt;=2,'Rate Card'!$AD$23,IF(59&lt;=5,'Rate Card'!$AE$23,IF(59&lt;=10,'Rate Card'!$AF$23,IF(59&lt;=15,'Rate Card'!$AG$23,IF(59&lt;=20,'Rate Card'!$AH$23,IF(59&lt;=35,'Rate Card'!$AH$23+(59-20)*'Rate Card'!$AI$23,'Rate Card'!$AK$23+(59-35)*'Rate Card'!$AJ$23)))))))*(1+'Rate Card'!$C$6),2)+ROUND(ROUND((IF(59&lt;=2,'Rate Card'!$AD$23,IF(59&lt;=5,'Rate Card'!$AE$23,IF(59&lt;=10,'Rate Card'!$AF$23,IF(59&lt;=15,'Rate Card'!$AG$23,IF(59&lt;=20,'Rate Card'!$AH$23,IF(59&lt;=35,'Rate Card'!$AH$23+(59-20)*'Rate Card'!$AI$23,'Rate Card'!$AK$23+(59-35)*'Rate Card'!$AJ$23)))))))*(1+'Rate Card'!$C$6),2)*(IF('Rate Card'!$G$6="YES",'Rate Card'!$E$6,0)+IF('Rate Card'!$K$6="YES",'Rate Card'!$I$6,0)),2)</f>
        <v/>
      </c>
      <c r="J63" s="10">
        <f>""</f>
        <v/>
      </c>
      <c r="K63" s="10">
        <f>""</f>
        <v/>
      </c>
      <c r="L63" s="10">
        <f>""</f>
        <v/>
      </c>
      <c r="M63" s="10">
        <f>""</f>
        <v/>
      </c>
      <c r="N63" s="23">
        <f>IF(59&lt;=2,'Rate Card'!$AD$119,IF(59&lt;=5,'Rate Card'!$AE$119,IF(59&lt;=10,'Rate Card'!$AF$119,IF(59&lt;=15,'Rate Card'!$AG$119,IF(59&lt;=20,'Rate Card'!$AH$119,IF(59&lt;=35,'Rate Card'!$AH$119+(59-20)*'Rate Card'!$AI$119,'Rate Card'!$AK$119+(59-35)*'Rate Card'!$AJ$119))))))</f>
        <v/>
      </c>
      <c r="O63" s="23">
        <f>ROUND((IF(59&lt;=2,'Rate Card'!$AD$119,IF(59&lt;=5,'Rate Card'!$AE$119,IF(59&lt;=10,'Rate Card'!$AF$119,IF(59&lt;=15,'Rate Card'!$AG$119,IF(59&lt;=20,'Rate Card'!$AH$119,IF(59&lt;=35,'Rate Card'!$AH$119+(59-20)*'Rate Card'!$AI$119,'Rate Card'!$AK$119+(59-35)*'Rate Card'!$AJ$119)))))))*(1+'Rate Card'!$C$6),2)+ROUND(ROUND((IF(59&lt;=2,'Rate Card'!$AD$119,IF(59&lt;=5,'Rate Card'!$AE$119,IF(59&lt;=10,'Rate Card'!$AF$119,IF(59&lt;=15,'Rate Card'!$AG$119,IF(59&lt;=20,'Rate Card'!$AH$119,IF(59&lt;=35,'Rate Card'!$AH$119+(59-20)*'Rate Card'!$AI$119,'Rate Card'!$AK$119+(59-35)*'Rate Card'!$AJ$119)))))))*(1+'Rate Card'!$C$6),2)*(IF('Rate Card'!$G$6="YES",'Rate Card'!$E$6,0)+IF('Rate Card'!$K$6="YES",'Rate Card'!$I$6,0)),2)</f>
        <v/>
      </c>
      <c r="P63" s="23">
        <f>IF(59&lt;=2,'Rate Card'!$AD$120,IF(59&lt;=5,'Rate Card'!$AE$120,IF(59&lt;=10,'Rate Card'!$AF$120,IF(59&lt;=15,'Rate Card'!$AG$120,IF(59&lt;=20,'Rate Card'!$AH$120,IF(59&lt;=35,'Rate Card'!$AH$120+(59-20)*'Rate Card'!$AI$120,'Rate Card'!$AK$120+(59-35)*'Rate Card'!$AJ$120))))))</f>
        <v/>
      </c>
      <c r="Q63" s="12">
        <f>ROUND((IF(59&lt;=2,'Rate Card'!$AD$120,IF(59&lt;=5,'Rate Card'!$AE$120,IF(59&lt;=10,'Rate Card'!$AF$120,IF(59&lt;=15,'Rate Card'!$AG$120,IF(59&lt;=20,'Rate Card'!$AH$120,IF(59&lt;=35,'Rate Card'!$AH$120+(59-20)*'Rate Card'!$AI$120,'Rate Card'!$AK$120+(59-35)*'Rate Card'!$AJ$120)))))))*(1+'Rate Card'!$C$6),2)+ROUND(ROUND((IF(59&lt;=2,'Rate Card'!$AD$120,IF(59&lt;=5,'Rate Card'!$AE$120,IF(59&lt;=10,'Rate Card'!$AF$120,IF(59&lt;=15,'Rate Card'!$AG$120,IF(59&lt;=20,'Rate Card'!$AH$120,IF(59&lt;=35,'Rate Card'!$AH$120+(59-20)*'Rate Card'!$AI$120,'Rate Card'!$AK$120+(59-35)*'Rate Card'!$AJ$120)))))))*(1+'Rate Card'!$C$6),2)*(IF('Rate Card'!$G$6="YES",'Rate Card'!$E$6,0)+IF('Rate Card'!$K$6="YES",'Rate Card'!$I$6,0)),2)</f>
        <v/>
      </c>
    </row>
    <row r="64">
      <c r="A64" s="75" t="n">
        <v>60</v>
      </c>
      <c r="B64" s="10">
        <f>""</f>
        <v/>
      </c>
      <c r="C64" s="10">
        <f>""</f>
        <v/>
      </c>
      <c r="D64" s="10">
        <f>""</f>
        <v/>
      </c>
      <c r="E64" s="10">
        <f>""</f>
        <v/>
      </c>
      <c r="F64" s="23">
        <f>IF(60&lt;=2,'Rate Card'!$AD$22,IF(60&lt;=5,'Rate Card'!$AE$22,IF(60&lt;=10,'Rate Card'!$AF$22,IF(60&lt;=15,'Rate Card'!$AG$22,IF(60&lt;=20,'Rate Card'!$AH$22,IF(60&lt;=35,'Rate Card'!$AH$22+(60-20)*'Rate Card'!$AI$22,'Rate Card'!$AK$22+(60-35)*'Rate Card'!$AJ$22))))))</f>
        <v/>
      </c>
      <c r="G64" s="23">
        <f>ROUND((IF(60&lt;=2,'Rate Card'!$AD$22,IF(60&lt;=5,'Rate Card'!$AE$22,IF(60&lt;=10,'Rate Card'!$AF$22,IF(60&lt;=15,'Rate Card'!$AG$22,IF(60&lt;=20,'Rate Card'!$AH$22,IF(60&lt;=35,'Rate Card'!$AH$22+(60-20)*'Rate Card'!$AI$22,'Rate Card'!$AK$22+(60-35)*'Rate Card'!$AJ$22)))))))*(1+'Rate Card'!$C$6),2)+ROUND(ROUND((IF(60&lt;=2,'Rate Card'!$AD$22,IF(60&lt;=5,'Rate Card'!$AE$22,IF(60&lt;=10,'Rate Card'!$AF$22,IF(60&lt;=15,'Rate Card'!$AG$22,IF(60&lt;=20,'Rate Card'!$AH$22,IF(60&lt;=35,'Rate Card'!$AH$22+(60-20)*'Rate Card'!$AI$22,'Rate Card'!$AK$22+(60-35)*'Rate Card'!$AJ$22)))))))*(1+'Rate Card'!$C$6),2)*(IF('Rate Card'!$G$6="YES",'Rate Card'!$E$6,0)+IF('Rate Card'!$K$6="YES",'Rate Card'!$I$6,0)),2)</f>
        <v/>
      </c>
      <c r="H64" s="23">
        <f>IF(60&lt;=2,'Rate Card'!$AD$23,IF(60&lt;=5,'Rate Card'!$AE$23,IF(60&lt;=10,'Rate Card'!$AF$23,IF(60&lt;=15,'Rate Card'!$AG$23,IF(60&lt;=20,'Rate Card'!$AH$23,IF(60&lt;=35,'Rate Card'!$AH$23+(60-20)*'Rate Card'!$AI$23,'Rate Card'!$AK$23+(60-35)*'Rate Card'!$AJ$23))))))</f>
        <v/>
      </c>
      <c r="I64" s="23">
        <f>ROUND((IF(60&lt;=2,'Rate Card'!$AD$23,IF(60&lt;=5,'Rate Card'!$AE$23,IF(60&lt;=10,'Rate Card'!$AF$23,IF(60&lt;=15,'Rate Card'!$AG$23,IF(60&lt;=20,'Rate Card'!$AH$23,IF(60&lt;=35,'Rate Card'!$AH$23+(60-20)*'Rate Card'!$AI$23,'Rate Card'!$AK$23+(60-35)*'Rate Card'!$AJ$23)))))))*(1+'Rate Card'!$C$6),2)+ROUND(ROUND((IF(60&lt;=2,'Rate Card'!$AD$23,IF(60&lt;=5,'Rate Card'!$AE$23,IF(60&lt;=10,'Rate Card'!$AF$23,IF(60&lt;=15,'Rate Card'!$AG$23,IF(60&lt;=20,'Rate Card'!$AH$23,IF(60&lt;=35,'Rate Card'!$AH$23+(60-20)*'Rate Card'!$AI$23,'Rate Card'!$AK$23+(60-35)*'Rate Card'!$AJ$23)))))))*(1+'Rate Card'!$C$6),2)*(IF('Rate Card'!$G$6="YES",'Rate Card'!$E$6,0)+IF('Rate Card'!$K$6="YES",'Rate Card'!$I$6,0)),2)</f>
        <v/>
      </c>
      <c r="J64" s="10">
        <f>""</f>
        <v/>
      </c>
      <c r="K64" s="10">
        <f>""</f>
        <v/>
      </c>
      <c r="L64" s="10">
        <f>""</f>
        <v/>
      </c>
      <c r="M64" s="10">
        <f>""</f>
        <v/>
      </c>
      <c r="N64" s="23">
        <f>IF(60&lt;=2,'Rate Card'!$AD$119,IF(60&lt;=5,'Rate Card'!$AE$119,IF(60&lt;=10,'Rate Card'!$AF$119,IF(60&lt;=15,'Rate Card'!$AG$119,IF(60&lt;=20,'Rate Card'!$AH$119,IF(60&lt;=35,'Rate Card'!$AH$119+(60-20)*'Rate Card'!$AI$119,'Rate Card'!$AK$119+(60-35)*'Rate Card'!$AJ$119))))))</f>
        <v/>
      </c>
      <c r="O64" s="23">
        <f>ROUND((IF(60&lt;=2,'Rate Card'!$AD$119,IF(60&lt;=5,'Rate Card'!$AE$119,IF(60&lt;=10,'Rate Card'!$AF$119,IF(60&lt;=15,'Rate Card'!$AG$119,IF(60&lt;=20,'Rate Card'!$AH$119,IF(60&lt;=35,'Rate Card'!$AH$119+(60-20)*'Rate Card'!$AI$119,'Rate Card'!$AK$119+(60-35)*'Rate Card'!$AJ$119)))))))*(1+'Rate Card'!$C$6),2)+ROUND(ROUND((IF(60&lt;=2,'Rate Card'!$AD$119,IF(60&lt;=5,'Rate Card'!$AE$119,IF(60&lt;=10,'Rate Card'!$AF$119,IF(60&lt;=15,'Rate Card'!$AG$119,IF(60&lt;=20,'Rate Card'!$AH$119,IF(60&lt;=35,'Rate Card'!$AH$119+(60-20)*'Rate Card'!$AI$119,'Rate Card'!$AK$119+(60-35)*'Rate Card'!$AJ$119)))))))*(1+'Rate Card'!$C$6),2)*(IF('Rate Card'!$G$6="YES",'Rate Card'!$E$6,0)+IF('Rate Card'!$K$6="YES",'Rate Card'!$I$6,0)),2)</f>
        <v/>
      </c>
      <c r="P64" s="23">
        <f>IF(60&lt;=2,'Rate Card'!$AD$120,IF(60&lt;=5,'Rate Card'!$AE$120,IF(60&lt;=10,'Rate Card'!$AF$120,IF(60&lt;=15,'Rate Card'!$AG$120,IF(60&lt;=20,'Rate Card'!$AH$120,IF(60&lt;=35,'Rate Card'!$AH$120+(60-20)*'Rate Card'!$AI$120,'Rate Card'!$AK$120+(60-35)*'Rate Card'!$AJ$120))))))</f>
        <v/>
      </c>
      <c r="Q64" s="12">
        <f>ROUND((IF(60&lt;=2,'Rate Card'!$AD$120,IF(60&lt;=5,'Rate Card'!$AE$120,IF(60&lt;=10,'Rate Card'!$AF$120,IF(60&lt;=15,'Rate Card'!$AG$120,IF(60&lt;=20,'Rate Card'!$AH$120,IF(60&lt;=35,'Rate Card'!$AH$120+(60-20)*'Rate Card'!$AI$120,'Rate Card'!$AK$120+(60-35)*'Rate Card'!$AJ$120)))))))*(1+'Rate Card'!$C$6),2)+ROUND(ROUND((IF(60&lt;=2,'Rate Card'!$AD$120,IF(60&lt;=5,'Rate Card'!$AE$120,IF(60&lt;=10,'Rate Card'!$AF$120,IF(60&lt;=15,'Rate Card'!$AG$120,IF(60&lt;=20,'Rate Card'!$AH$120,IF(60&lt;=35,'Rate Card'!$AH$120+(60-20)*'Rate Card'!$AI$120,'Rate Card'!$AK$120+(60-35)*'Rate Card'!$AJ$120)))))))*(1+'Rate Card'!$C$6),2)*(IF('Rate Card'!$G$6="YES",'Rate Card'!$E$6,0)+IF('Rate Card'!$K$6="YES",'Rate Card'!$I$6,0)),2)</f>
        <v/>
      </c>
    </row>
    <row r="65">
      <c r="A65" s="75" t="n">
        <v>61</v>
      </c>
      <c r="B65" s="10">
        <f>""</f>
        <v/>
      </c>
      <c r="C65" s="10">
        <f>""</f>
        <v/>
      </c>
      <c r="D65" s="10">
        <f>""</f>
        <v/>
      </c>
      <c r="E65" s="10">
        <f>""</f>
        <v/>
      </c>
      <c r="F65" s="23">
        <f>IF(61&lt;=2,'Rate Card'!$AD$22,IF(61&lt;=5,'Rate Card'!$AE$22,IF(61&lt;=10,'Rate Card'!$AF$22,IF(61&lt;=15,'Rate Card'!$AG$22,IF(61&lt;=20,'Rate Card'!$AH$22,IF(61&lt;=35,'Rate Card'!$AH$22+(61-20)*'Rate Card'!$AI$22,'Rate Card'!$AK$22+(61-35)*'Rate Card'!$AJ$22))))))</f>
        <v/>
      </c>
      <c r="G65" s="23">
        <f>ROUND((IF(61&lt;=2,'Rate Card'!$AD$22,IF(61&lt;=5,'Rate Card'!$AE$22,IF(61&lt;=10,'Rate Card'!$AF$22,IF(61&lt;=15,'Rate Card'!$AG$22,IF(61&lt;=20,'Rate Card'!$AH$22,IF(61&lt;=35,'Rate Card'!$AH$22+(61-20)*'Rate Card'!$AI$22,'Rate Card'!$AK$22+(61-35)*'Rate Card'!$AJ$22)))))))*(1+'Rate Card'!$C$6),2)+ROUND(ROUND((IF(61&lt;=2,'Rate Card'!$AD$22,IF(61&lt;=5,'Rate Card'!$AE$22,IF(61&lt;=10,'Rate Card'!$AF$22,IF(61&lt;=15,'Rate Card'!$AG$22,IF(61&lt;=20,'Rate Card'!$AH$22,IF(61&lt;=35,'Rate Card'!$AH$22+(61-20)*'Rate Card'!$AI$22,'Rate Card'!$AK$22+(61-35)*'Rate Card'!$AJ$22)))))))*(1+'Rate Card'!$C$6),2)*(IF('Rate Card'!$G$6="YES",'Rate Card'!$E$6,0)+IF('Rate Card'!$K$6="YES",'Rate Card'!$I$6,0)),2)</f>
        <v/>
      </c>
      <c r="H65" s="23">
        <f>IF(61&lt;=2,'Rate Card'!$AD$23,IF(61&lt;=5,'Rate Card'!$AE$23,IF(61&lt;=10,'Rate Card'!$AF$23,IF(61&lt;=15,'Rate Card'!$AG$23,IF(61&lt;=20,'Rate Card'!$AH$23,IF(61&lt;=35,'Rate Card'!$AH$23+(61-20)*'Rate Card'!$AI$23,'Rate Card'!$AK$23+(61-35)*'Rate Card'!$AJ$23))))))</f>
        <v/>
      </c>
      <c r="I65" s="23">
        <f>ROUND((IF(61&lt;=2,'Rate Card'!$AD$23,IF(61&lt;=5,'Rate Card'!$AE$23,IF(61&lt;=10,'Rate Card'!$AF$23,IF(61&lt;=15,'Rate Card'!$AG$23,IF(61&lt;=20,'Rate Card'!$AH$23,IF(61&lt;=35,'Rate Card'!$AH$23+(61-20)*'Rate Card'!$AI$23,'Rate Card'!$AK$23+(61-35)*'Rate Card'!$AJ$23)))))))*(1+'Rate Card'!$C$6),2)+ROUND(ROUND((IF(61&lt;=2,'Rate Card'!$AD$23,IF(61&lt;=5,'Rate Card'!$AE$23,IF(61&lt;=10,'Rate Card'!$AF$23,IF(61&lt;=15,'Rate Card'!$AG$23,IF(61&lt;=20,'Rate Card'!$AH$23,IF(61&lt;=35,'Rate Card'!$AH$23+(61-20)*'Rate Card'!$AI$23,'Rate Card'!$AK$23+(61-35)*'Rate Card'!$AJ$23)))))))*(1+'Rate Card'!$C$6),2)*(IF('Rate Card'!$G$6="YES",'Rate Card'!$E$6,0)+IF('Rate Card'!$K$6="YES",'Rate Card'!$I$6,0)),2)</f>
        <v/>
      </c>
      <c r="J65" s="10">
        <f>""</f>
        <v/>
      </c>
      <c r="K65" s="10">
        <f>""</f>
        <v/>
      </c>
      <c r="L65" s="10">
        <f>""</f>
        <v/>
      </c>
      <c r="M65" s="10">
        <f>""</f>
        <v/>
      </c>
      <c r="N65" s="23">
        <f>IF(61&lt;=2,'Rate Card'!$AD$119,IF(61&lt;=5,'Rate Card'!$AE$119,IF(61&lt;=10,'Rate Card'!$AF$119,IF(61&lt;=15,'Rate Card'!$AG$119,IF(61&lt;=20,'Rate Card'!$AH$119,IF(61&lt;=35,'Rate Card'!$AH$119+(61-20)*'Rate Card'!$AI$119,'Rate Card'!$AK$119+(61-35)*'Rate Card'!$AJ$119))))))</f>
        <v/>
      </c>
      <c r="O65" s="23">
        <f>ROUND((IF(61&lt;=2,'Rate Card'!$AD$119,IF(61&lt;=5,'Rate Card'!$AE$119,IF(61&lt;=10,'Rate Card'!$AF$119,IF(61&lt;=15,'Rate Card'!$AG$119,IF(61&lt;=20,'Rate Card'!$AH$119,IF(61&lt;=35,'Rate Card'!$AH$119+(61-20)*'Rate Card'!$AI$119,'Rate Card'!$AK$119+(61-35)*'Rate Card'!$AJ$119)))))))*(1+'Rate Card'!$C$6),2)+ROUND(ROUND((IF(61&lt;=2,'Rate Card'!$AD$119,IF(61&lt;=5,'Rate Card'!$AE$119,IF(61&lt;=10,'Rate Card'!$AF$119,IF(61&lt;=15,'Rate Card'!$AG$119,IF(61&lt;=20,'Rate Card'!$AH$119,IF(61&lt;=35,'Rate Card'!$AH$119+(61-20)*'Rate Card'!$AI$119,'Rate Card'!$AK$119+(61-35)*'Rate Card'!$AJ$119)))))))*(1+'Rate Card'!$C$6),2)*(IF('Rate Card'!$G$6="YES",'Rate Card'!$E$6,0)+IF('Rate Card'!$K$6="YES",'Rate Card'!$I$6,0)),2)</f>
        <v/>
      </c>
      <c r="P65" s="23">
        <f>IF(61&lt;=2,'Rate Card'!$AD$120,IF(61&lt;=5,'Rate Card'!$AE$120,IF(61&lt;=10,'Rate Card'!$AF$120,IF(61&lt;=15,'Rate Card'!$AG$120,IF(61&lt;=20,'Rate Card'!$AH$120,IF(61&lt;=35,'Rate Card'!$AH$120+(61-20)*'Rate Card'!$AI$120,'Rate Card'!$AK$120+(61-35)*'Rate Card'!$AJ$120))))))</f>
        <v/>
      </c>
      <c r="Q65" s="12">
        <f>ROUND((IF(61&lt;=2,'Rate Card'!$AD$120,IF(61&lt;=5,'Rate Card'!$AE$120,IF(61&lt;=10,'Rate Card'!$AF$120,IF(61&lt;=15,'Rate Card'!$AG$120,IF(61&lt;=20,'Rate Card'!$AH$120,IF(61&lt;=35,'Rate Card'!$AH$120+(61-20)*'Rate Card'!$AI$120,'Rate Card'!$AK$120+(61-35)*'Rate Card'!$AJ$120)))))))*(1+'Rate Card'!$C$6),2)+ROUND(ROUND((IF(61&lt;=2,'Rate Card'!$AD$120,IF(61&lt;=5,'Rate Card'!$AE$120,IF(61&lt;=10,'Rate Card'!$AF$120,IF(61&lt;=15,'Rate Card'!$AG$120,IF(61&lt;=20,'Rate Card'!$AH$120,IF(61&lt;=35,'Rate Card'!$AH$120+(61-20)*'Rate Card'!$AI$120,'Rate Card'!$AK$120+(61-35)*'Rate Card'!$AJ$120)))))))*(1+'Rate Card'!$C$6),2)*(IF('Rate Card'!$G$6="YES",'Rate Card'!$E$6,0)+IF('Rate Card'!$K$6="YES",'Rate Card'!$I$6,0)),2)</f>
        <v/>
      </c>
    </row>
    <row r="66">
      <c r="A66" s="75" t="n">
        <v>62</v>
      </c>
      <c r="B66" s="10">
        <f>""</f>
        <v/>
      </c>
      <c r="C66" s="10">
        <f>""</f>
        <v/>
      </c>
      <c r="D66" s="10">
        <f>""</f>
        <v/>
      </c>
      <c r="E66" s="10">
        <f>""</f>
        <v/>
      </c>
      <c r="F66" s="23">
        <f>IF(62&lt;=2,'Rate Card'!$AD$22,IF(62&lt;=5,'Rate Card'!$AE$22,IF(62&lt;=10,'Rate Card'!$AF$22,IF(62&lt;=15,'Rate Card'!$AG$22,IF(62&lt;=20,'Rate Card'!$AH$22,IF(62&lt;=35,'Rate Card'!$AH$22+(62-20)*'Rate Card'!$AI$22,'Rate Card'!$AK$22+(62-35)*'Rate Card'!$AJ$22))))))</f>
        <v/>
      </c>
      <c r="G66" s="23">
        <f>ROUND((IF(62&lt;=2,'Rate Card'!$AD$22,IF(62&lt;=5,'Rate Card'!$AE$22,IF(62&lt;=10,'Rate Card'!$AF$22,IF(62&lt;=15,'Rate Card'!$AG$22,IF(62&lt;=20,'Rate Card'!$AH$22,IF(62&lt;=35,'Rate Card'!$AH$22+(62-20)*'Rate Card'!$AI$22,'Rate Card'!$AK$22+(62-35)*'Rate Card'!$AJ$22)))))))*(1+'Rate Card'!$C$6),2)+ROUND(ROUND((IF(62&lt;=2,'Rate Card'!$AD$22,IF(62&lt;=5,'Rate Card'!$AE$22,IF(62&lt;=10,'Rate Card'!$AF$22,IF(62&lt;=15,'Rate Card'!$AG$22,IF(62&lt;=20,'Rate Card'!$AH$22,IF(62&lt;=35,'Rate Card'!$AH$22+(62-20)*'Rate Card'!$AI$22,'Rate Card'!$AK$22+(62-35)*'Rate Card'!$AJ$22)))))))*(1+'Rate Card'!$C$6),2)*(IF('Rate Card'!$G$6="YES",'Rate Card'!$E$6,0)+IF('Rate Card'!$K$6="YES",'Rate Card'!$I$6,0)),2)</f>
        <v/>
      </c>
      <c r="H66" s="23">
        <f>IF(62&lt;=2,'Rate Card'!$AD$23,IF(62&lt;=5,'Rate Card'!$AE$23,IF(62&lt;=10,'Rate Card'!$AF$23,IF(62&lt;=15,'Rate Card'!$AG$23,IF(62&lt;=20,'Rate Card'!$AH$23,IF(62&lt;=35,'Rate Card'!$AH$23+(62-20)*'Rate Card'!$AI$23,'Rate Card'!$AK$23+(62-35)*'Rate Card'!$AJ$23))))))</f>
        <v/>
      </c>
      <c r="I66" s="23">
        <f>ROUND((IF(62&lt;=2,'Rate Card'!$AD$23,IF(62&lt;=5,'Rate Card'!$AE$23,IF(62&lt;=10,'Rate Card'!$AF$23,IF(62&lt;=15,'Rate Card'!$AG$23,IF(62&lt;=20,'Rate Card'!$AH$23,IF(62&lt;=35,'Rate Card'!$AH$23+(62-20)*'Rate Card'!$AI$23,'Rate Card'!$AK$23+(62-35)*'Rate Card'!$AJ$23)))))))*(1+'Rate Card'!$C$6),2)+ROUND(ROUND((IF(62&lt;=2,'Rate Card'!$AD$23,IF(62&lt;=5,'Rate Card'!$AE$23,IF(62&lt;=10,'Rate Card'!$AF$23,IF(62&lt;=15,'Rate Card'!$AG$23,IF(62&lt;=20,'Rate Card'!$AH$23,IF(62&lt;=35,'Rate Card'!$AH$23+(62-20)*'Rate Card'!$AI$23,'Rate Card'!$AK$23+(62-35)*'Rate Card'!$AJ$23)))))))*(1+'Rate Card'!$C$6),2)*(IF('Rate Card'!$G$6="YES",'Rate Card'!$E$6,0)+IF('Rate Card'!$K$6="YES",'Rate Card'!$I$6,0)),2)</f>
        <v/>
      </c>
      <c r="J66" s="10">
        <f>""</f>
        <v/>
      </c>
      <c r="K66" s="10">
        <f>""</f>
        <v/>
      </c>
      <c r="L66" s="10">
        <f>""</f>
        <v/>
      </c>
      <c r="M66" s="10">
        <f>""</f>
        <v/>
      </c>
      <c r="N66" s="23">
        <f>IF(62&lt;=2,'Rate Card'!$AD$119,IF(62&lt;=5,'Rate Card'!$AE$119,IF(62&lt;=10,'Rate Card'!$AF$119,IF(62&lt;=15,'Rate Card'!$AG$119,IF(62&lt;=20,'Rate Card'!$AH$119,IF(62&lt;=35,'Rate Card'!$AH$119+(62-20)*'Rate Card'!$AI$119,'Rate Card'!$AK$119+(62-35)*'Rate Card'!$AJ$119))))))</f>
        <v/>
      </c>
      <c r="O66" s="23">
        <f>ROUND((IF(62&lt;=2,'Rate Card'!$AD$119,IF(62&lt;=5,'Rate Card'!$AE$119,IF(62&lt;=10,'Rate Card'!$AF$119,IF(62&lt;=15,'Rate Card'!$AG$119,IF(62&lt;=20,'Rate Card'!$AH$119,IF(62&lt;=35,'Rate Card'!$AH$119+(62-20)*'Rate Card'!$AI$119,'Rate Card'!$AK$119+(62-35)*'Rate Card'!$AJ$119)))))))*(1+'Rate Card'!$C$6),2)+ROUND(ROUND((IF(62&lt;=2,'Rate Card'!$AD$119,IF(62&lt;=5,'Rate Card'!$AE$119,IF(62&lt;=10,'Rate Card'!$AF$119,IF(62&lt;=15,'Rate Card'!$AG$119,IF(62&lt;=20,'Rate Card'!$AH$119,IF(62&lt;=35,'Rate Card'!$AH$119+(62-20)*'Rate Card'!$AI$119,'Rate Card'!$AK$119+(62-35)*'Rate Card'!$AJ$119)))))))*(1+'Rate Card'!$C$6),2)*(IF('Rate Card'!$G$6="YES",'Rate Card'!$E$6,0)+IF('Rate Card'!$K$6="YES",'Rate Card'!$I$6,0)),2)</f>
        <v/>
      </c>
      <c r="P66" s="23">
        <f>IF(62&lt;=2,'Rate Card'!$AD$120,IF(62&lt;=5,'Rate Card'!$AE$120,IF(62&lt;=10,'Rate Card'!$AF$120,IF(62&lt;=15,'Rate Card'!$AG$120,IF(62&lt;=20,'Rate Card'!$AH$120,IF(62&lt;=35,'Rate Card'!$AH$120+(62-20)*'Rate Card'!$AI$120,'Rate Card'!$AK$120+(62-35)*'Rate Card'!$AJ$120))))))</f>
        <v/>
      </c>
      <c r="Q66" s="12">
        <f>ROUND((IF(62&lt;=2,'Rate Card'!$AD$120,IF(62&lt;=5,'Rate Card'!$AE$120,IF(62&lt;=10,'Rate Card'!$AF$120,IF(62&lt;=15,'Rate Card'!$AG$120,IF(62&lt;=20,'Rate Card'!$AH$120,IF(62&lt;=35,'Rate Card'!$AH$120+(62-20)*'Rate Card'!$AI$120,'Rate Card'!$AK$120+(62-35)*'Rate Card'!$AJ$120)))))))*(1+'Rate Card'!$C$6),2)+ROUND(ROUND((IF(62&lt;=2,'Rate Card'!$AD$120,IF(62&lt;=5,'Rate Card'!$AE$120,IF(62&lt;=10,'Rate Card'!$AF$120,IF(62&lt;=15,'Rate Card'!$AG$120,IF(62&lt;=20,'Rate Card'!$AH$120,IF(62&lt;=35,'Rate Card'!$AH$120+(62-20)*'Rate Card'!$AI$120,'Rate Card'!$AK$120+(62-35)*'Rate Card'!$AJ$120)))))))*(1+'Rate Card'!$C$6),2)*(IF('Rate Card'!$G$6="YES",'Rate Card'!$E$6,0)+IF('Rate Card'!$K$6="YES",'Rate Card'!$I$6,0)),2)</f>
        <v/>
      </c>
    </row>
    <row r="67">
      <c r="A67" s="75" t="n">
        <v>63</v>
      </c>
      <c r="B67" s="10">
        <f>""</f>
        <v/>
      </c>
      <c r="C67" s="10">
        <f>""</f>
        <v/>
      </c>
      <c r="D67" s="10">
        <f>""</f>
        <v/>
      </c>
      <c r="E67" s="10">
        <f>""</f>
        <v/>
      </c>
      <c r="F67" s="23">
        <f>IF(63&lt;=2,'Rate Card'!$AD$22,IF(63&lt;=5,'Rate Card'!$AE$22,IF(63&lt;=10,'Rate Card'!$AF$22,IF(63&lt;=15,'Rate Card'!$AG$22,IF(63&lt;=20,'Rate Card'!$AH$22,IF(63&lt;=35,'Rate Card'!$AH$22+(63-20)*'Rate Card'!$AI$22,'Rate Card'!$AK$22+(63-35)*'Rate Card'!$AJ$22))))))</f>
        <v/>
      </c>
      <c r="G67" s="23">
        <f>ROUND((IF(63&lt;=2,'Rate Card'!$AD$22,IF(63&lt;=5,'Rate Card'!$AE$22,IF(63&lt;=10,'Rate Card'!$AF$22,IF(63&lt;=15,'Rate Card'!$AG$22,IF(63&lt;=20,'Rate Card'!$AH$22,IF(63&lt;=35,'Rate Card'!$AH$22+(63-20)*'Rate Card'!$AI$22,'Rate Card'!$AK$22+(63-35)*'Rate Card'!$AJ$22)))))))*(1+'Rate Card'!$C$6),2)+ROUND(ROUND((IF(63&lt;=2,'Rate Card'!$AD$22,IF(63&lt;=5,'Rate Card'!$AE$22,IF(63&lt;=10,'Rate Card'!$AF$22,IF(63&lt;=15,'Rate Card'!$AG$22,IF(63&lt;=20,'Rate Card'!$AH$22,IF(63&lt;=35,'Rate Card'!$AH$22+(63-20)*'Rate Card'!$AI$22,'Rate Card'!$AK$22+(63-35)*'Rate Card'!$AJ$22)))))))*(1+'Rate Card'!$C$6),2)*(IF('Rate Card'!$G$6="YES",'Rate Card'!$E$6,0)+IF('Rate Card'!$K$6="YES",'Rate Card'!$I$6,0)),2)</f>
        <v/>
      </c>
      <c r="H67" s="23">
        <f>IF(63&lt;=2,'Rate Card'!$AD$23,IF(63&lt;=5,'Rate Card'!$AE$23,IF(63&lt;=10,'Rate Card'!$AF$23,IF(63&lt;=15,'Rate Card'!$AG$23,IF(63&lt;=20,'Rate Card'!$AH$23,IF(63&lt;=35,'Rate Card'!$AH$23+(63-20)*'Rate Card'!$AI$23,'Rate Card'!$AK$23+(63-35)*'Rate Card'!$AJ$23))))))</f>
        <v/>
      </c>
      <c r="I67" s="23">
        <f>ROUND((IF(63&lt;=2,'Rate Card'!$AD$23,IF(63&lt;=5,'Rate Card'!$AE$23,IF(63&lt;=10,'Rate Card'!$AF$23,IF(63&lt;=15,'Rate Card'!$AG$23,IF(63&lt;=20,'Rate Card'!$AH$23,IF(63&lt;=35,'Rate Card'!$AH$23+(63-20)*'Rate Card'!$AI$23,'Rate Card'!$AK$23+(63-35)*'Rate Card'!$AJ$23)))))))*(1+'Rate Card'!$C$6),2)+ROUND(ROUND((IF(63&lt;=2,'Rate Card'!$AD$23,IF(63&lt;=5,'Rate Card'!$AE$23,IF(63&lt;=10,'Rate Card'!$AF$23,IF(63&lt;=15,'Rate Card'!$AG$23,IF(63&lt;=20,'Rate Card'!$AH$23,IF(63&lt;=35,'Rate Card'!$AH$23+(63-20)*'Rate Card'!$AI$23,'Rate Card'!$AK$23+(63-35)*'Rate Card'!$AJ$23)))))))*(1+'Rate Card'!$C$6),2)*(IF('Rate Card'!$G$6="YES",'Rate Card'!$E$6,0)+IF('Rate Card'!$K$6="YES",'Rate Card'!$I$6,0)),2)</f>
        <v/>
      </c>
      <c r="J67" s="10">
        <f>""</f>
        <v/>
      </c>
      <c r="K67" s="10">
        <f>""</f>
        <v/>
      </c>
      <c r="L67" s="10">
        <f>""</f>
        <v/>
      </c>
      <c r="M67" s="10">
        <f>""</f>
        <v/>
      </c>
      <c r="N67" s="23">
        <f>IF(63&lt;=2,'Rate Card'!$AD$119,IF(63&lt;=5,'Rate Card'!$AE$119,IF(63&lt;=10,'Rate Card'!$AF$119,IF(63&lt;=15,'Rate Card'!$AG$119,IF(63&lt;=20,'Rate Card'!$AH$119,IF(63&lt;=35,'Rate Card'!$AH$119+(63-20)*'Rate Card'!$AI$119,'Rate Card'!$AK$119+(63-35)*'Rate Card'!$AJ$119))))))</f>
        <v/>
      </c>
      <c r="O67" s="23">
        <f>ROUND((IF(63&lt;=2,'Rate Card'!$AD$119,IF(63&lt;=5,'Rate Card'!$AE$119,IF(63&lt;=10,'Rate Card'!$AF$119,IF(63&lt;=15,'Rate Card'!$AG$119,IF(63&lt;=20,'Rate Card'!$AH$119,IF(63&lt;=35,'Rate Card'!$AH$119+(63-20)*'Rate Card'!$AI$119,'Rate Card'!$AK$119+(63-35)*'Rate Card'!$AJ$119)))))))*(1+'Rate Card'!$C$6),2)+ROUND(ROUND((IF(63&lt;=2,'Rate Card'!$AD$119,IF(63&lt;=5,'Rate Card'!$AE$119,IF(63&lt;=10,'Rate Card'!$AF$119,IF(63&lt;=15,'Rate Card'!$AG$119,IF(63&lt;=20,'Rate Card'!$AH$119,IF(63&lt;=35,'Rate Card'!$AH$119+(63-20)*'Rate Card'!$AI$119,'Rate Card'!$AK$119+(63-35)*'Rate Card'!$AJ$119)))))))*(1+'Rate Card'!$C$6),2)*(IF('Rate Card'!$G$6="YES",'Rate Card'!$E$6,0)+IF('Rate Card'!$K$6="YES",'Rate Card'!$I$6,0)),2)</f>
        <v/>
      </c>
      <c r="P67" s="23">
        <f>IF(63&lt;=2,'Rate Card'!$AD$120,IF(63&lt;=5,'Rate Card'!$AE$120,IF(63&lt;=10,'Rate Card'!$AF$120,IF(63&lt;=15,'Rate Card'!$AG$120,IF(63&lt;=20,'Rate Card'!$AH$120,IF(63&lt;=35,'Rate Card'!$AH$120+(63-20)*'Rate Card'!$AI$120,'Rate Card'!$AK$120+(63-35)*'Rate Card'!$AJ$120))))))</f>
        <v/>
      </c>
      <c r="Q67" s="12">
        <f>ROUND((IF(63&lt;=2,'Rate Card'!$AD$120,IF(63&lt;=5,'Rate Card'!$AE$120,IF(63&lt;=10,'Rate Card'!$AF$120,IF(63&lt;=15,'Rate Card'!$AG$120,IF(63&lt;=20,'Rate Card'!$AH$120,IF(63&lt;=35,'Rate Card'!$AH$120+(63-20)*'Rate Card'!$AI$120,'Rate Card'!$AK$120+(63-35)*'Rate Card'!$AJ$120)))))))*(1+'Rate Card'!$C$6),2)+ROUND(ROUND((IF(63&lt;=2,'Rate Card'!$AD$120,IF(63&lt;=5,'Rate Card'!$AE$120,IF(63&lt;=10,'Rate Card'!$AF$120,IF(63&lt;=15,'Rate Card'!$AG$120,IF(63&lt;=20,'Rate Card'!$AH$120,IF(63&lt;=35,'Rate Card'!$AH$120+(63-20)*'Rate Card'!$AI$120,'Rate Card'!$AK$120+(63-35)*'Rate Card'!$AJ$120)))))))*(1+'Rate Card'!$C$6),2)*(IF('Rate Card'!$G$6="YES",'Rate Card'!$E$6,0)+IF('Rate Card'!$K$6="YES",'Rate Card'!$I$6,0)),2)</f>
        <v/>
      </c>
    </row>
    <row r="68">
      <c r="A68" s="75" t="n">
        <v>64</v>
      </c>
      <c r="B68" s="10">
        <f>""</f>
        <v/>
      </c>
      <c r="C68" s="10">
        <f>""</f>
        <v/>
      </c>
      <c r="D68" s="10">
        <f>""</f>
        <v/>
      </c>
      <c r="E68" s="10">
        <f>""</f>
        <v/>
      </c>
      <c r="F68" s="23">
        <f>IF(64&lt;=2,'Rate Card'!$AD$22,IF(64&lt;=5,'Rate Card'!$AE$22,IF(64&lt;=10,'Rate Card'!$AF$22,IF(64&lt;=15,'Rate Card'!$AG$22,IF(64&lt;=20,'Rate Card'!$AH$22,IF(64&lt;=35,'Rate Card'!$AH$22+(64-20)*'Rate Card'!$AI$22,'Rate Card'!$AK$22+(64-35)*'Rate Card'!$AJ$22))))))</f>
        <v/>
      </c>
      <c r="G68" s="23">
        <f>ROUND((IF(64&lt;=2,'Rate Card'!$AD$22,IF(64&lt;=5,'Rate Card'!$AE$22,IF(64&lt;=10,'Rate Card'!$AF$22,IF(64&lt;=15,'Rate Card'!$AG$22,IF(64&lt;=20,'Rate Card'!$AH$22,IF(64&lt;=35,'Rate Card'!$AH$22+(64-20)*'Rate Card'!$AI$22,'Rate Card'!$AK$22+(64-35)*'Rate Card'!$AJ$22)))))))*(1+'Rate Card'!$C$6),2)+ROUND(ROUND((IF(64&lt;=2,'Rate Card'!$AD$22,IF(64&lt;=5,'Rate Card'!$AE$22,IF(64&lt;=10,'Rate Card'!$AF$22,IF(64&lt;=15,'Rate Card'!$AG$22,IF(64&lt;=20,'Rate Card'!$AH$22,IF(64&lt;=35,'Rate Card'!$AH$22+(64-20)*'Rate Card'!$AI$22,'Rate Card'!$AK$22+(64-35)*'Rate Card'!$AJ$22)))))))*(1+'Rate Card'!$C$6),2)*(IF('Rate Card'!$G$6="YES",'Rate Card'!$E$6,0)+IF('Rate Card'!$K$6="YES",'Rate Card'!$I$6,0)),2)</f>
        <v/>
      </c>
      <c r="H68" s="23">
        <f>IF(64&lt;=2,'Rate Card'!$AD$23,IF(64&lt;=5,'Rate Card'!$AE$23,IF(64&lt;=10,'Rate Card'!$AF$23,IF(64&lt;=15,'Rate Card'!$AG$23,IF(64&lt;=20,'Rate Card'!$AH$23,IF(64&lt;=35,'Rate Card'!$AH$23+(64-20)*'Rate Card'!$AI$23,'Rate Card'!$AK$23+(64-35)*'Rate Card'!$AJ$23))))))</f>
        <v/>
      </c>
      <c r="I68" s="23">
        <f>ROUND((IF(64&lt;=2,'Rate Card'!$AD$23,IF(64&lt;=5,'Rate Card'!$AE$23,IF(64&lt;=10,'Rate Card'!$AF$23,IF(64&lt;=15,'Rate Card'!$AG$23,IF(64&lt;=20,'Rate Card'!$AH$23,IF(64&lt;=35,'Rate Card'!$AH$23+(64-20)*'Rate Card'!$AI$23,'Rate Card'!$AK$23+(64-35)*'Rate Card'!$AJ$23)))))))*(1+'Rate Card'!$C$6),2)+ROUND(ROUND((IF(64&lt;=2,'Rate Card'!$AD$23,IF(64&lt;=5,'Rate Card'!$AE$23,IF(64&lt;=10,'Rate Card'!$AF$23,IF(64&lt;=15,'Rate Card'!$AG$23,IF(64&lt;=20,'Rate Card'!$AH$23,IF(64&lt;=35,'Rate Card'!$AH$23+(64-20)*'Rate Card'!$AI$23,'Rate Card'!$AK$23+(64-35)*'Rate Card'!$AJ$23)))))))*(1+'Rate Card'!$C$6),2)*(IF('Rate Card'!$G$6="YES",'Rate Card'!$E$6,0)+IF('Rate Card'!$K$6="YES",'Rate Card'!$I$6,0)),2)</f>
        <v/>
      </c>
      <c r="J68" s="10">
        <f>""</f>
        <v/>
      </c>
      <c r="K68" s="10">
        <f>""</f>
        <v/>
      </c>
      <c r="L68" s="10">
        <f>""</f>
        <v/>
      </c>
      <c r="M68" s="10">
        <f>""</f>
        <v/>
      </c>
      <c r="N68" s="23">
        <f>IF(64&lt;=2,'Rate Card'!$AD$119,IF(64&lt;=5,'Rate Card'!$AE$119,IF(64&lt;=10,'Rate Card'!$AF$119,IF(64&lt;=15,'Rate Card'!$AG$119,IF(64&lt;=20,'Rate Card'!$AH$119,IF(64&lt;=35,'Rate Card'!$AH$119+(64-20)*'Rate Card'!$AI$119,'Rate Card'!$AK$119+(64-35)*'Rate Card'!$AJ$119))))))</f>
        <v/>
      </c>
      <c r="O68" s="23">
        <f>ROUND((IF(64&lt;=2,'Rate Card'!$AD$119,IF(64&lt;=5,'Rate Card'!$AE$119,IF(64&lt;=10,'Rate Card'!$AF$119,IF(64&lt;=15,'Rate Card'!$AG$119,IF(64&lt;=20,'Rate Card'!$AH$119,IF(64&lt;=35,'Rate Card'!$AH$119+(64-20)*'Rate Card'!$AI$119,'Rate Card'!$AK$119+(64-35)*'Rate Card'!$AJ$119)))))))*(1+'Rate Card'!$C$6),2)+ROUND(ROUND((IF(64&lt;=2,'Rate Card'!$AD$119,IF(64&lt;=5,'Rate Card'!$AE$119,IF(64&lt;=10,'Rate Card'!$AF$119,IF(64&lt;=15,'Rate Card'!$AG$119,IF(64&lt;=20,'Rate Card'!$AH$119,IF(64&lt;=35,'Rate Card'!$AH$119+(64-20)*'Rate Card'!$AI$119,'Rate Card'!$AK$119+(64-35)*'Rate Card'!$AJ$119)))))))*(1+'Rate Card'!$C$6),2)*(IF('Rate Card'!$G$6="YES",'Rate Card'!$E$6,0)+IF('Rate Card'!$K$6="YES",'Rate Card'!$I$6,0)),2)</f>
        <v/>
      </c>
      <c r="P68" s="23">
        <f>IF(64&lt;=2,'Rate Card'!$AD$120,IF(64&lt;=5,'Rate Card'!$AE$120,IF(64&lt;=10,'Rate Card'!$AF$120,IF(64&lt;=15,'Rate Card'!$AG$120,IF(64&lt;=20,'Rate Card'!$AH$120,IF(64&lt;=35,'Rate Card'!$AH$120+(64-20)*'Rate Card'!$AI$120,'Rate Card'!$AK$120+(64-35)*'Rate Card'!$AJ$120))))))</f>
        <v/>
      </c>
      <c r="Q68" s="12">
        <f>ROUND((IF(64&lt;=2,'Rate Card'!$AD$120,IF(64&lt;=5,'Rate Card'!$AE$120,IF(64&lt;=10,'Rate Card'!$AF$120,IF(64&lt;=15,'Rate Card'!$AG$120,IF(64&lt;=20,'Rate Card'!$AH$120,IF(64&lt;=35,'Rate Card'!$AH$120+(64-20)*'Rate Card'!$AI$120,'Rate Card'!$AK$120+(64-35)*'Rate Card'!$AJ$120)))))))*(1+'Rate Card'!$C$6),2)+ROUND(ROUND((IF(64&lt;=2,'Rate Card'!$AD$120,IF(64&lt;=5,'Rate Card'!$AE$120,IF(64&lt;=10,'Rate Card'!$AF$120,IF(64&lt;=15,'Rate Card'!$AG$120,IF(64&lt;=20,'Rate Card'!$AH$120,IF(64&lt;=35,'Rate Card'!$AH$120+(64-20)*'Rate Card'!$AI$120,'Rate Card'!$AK$120+(64-35)*'Rate Card'!$AJ$120)))))))*(1+'Rate Card'!$C$6),2)*(IF('Rate Card'!$G$6="YES",'Rate Card'!$E$6,0)+IF('Rate Card'!$K$6="YES",'Rate Card'!$I$6,0)),2)</f>
        <v/>
      </c>
    </row>
    <row r="69">
      <c r="A69" s="75" t="n">
        <v>65</v>
      </c>
      <c r="B69" s="10">
        <f>""</f>
        <v/>
      </c>
      <c r="C69" s="10">
        <f>""</f>
        <v/>
      </c>
      <c r="D69" s="10">
        <f>""</f>
        <v/>
      </c>
      <c r="E69" s="10">
        <f>""</f>
        <v/>
      </c>
      <c r="F69" s="23">
        <f>IF(65&lt;=2,'Rate Card'!$AD$22,IF(65&lt;=5,'Rate Card'!$AE$22,IF(65&lt;=10,'Rate Card'!$AF$22,IF(65&lt;=15,'Rate Card'!$AG$22,IF(65&lt;=20,'Rate Card'!$AH$22,IF(65&lt;=35,'Rate Card'!$AH$22+(65-20)*'Rate Card'!$AI$22,'Rate Card'!$AK$22+(65-35)*'Rate Card'!$AJ$22))))))</f>
        <v/>
      </c>
      <c r="G69" s="23">
        <f>ROUND((IF(65&lt;=2,'Rate Card'!$AD$22,IF(65&lt;=5,'Rate Card'!$AE$22,IF(65&lt;=10,'Rate Card'!$AF$22,IF(65&lt;=15,'Rate Card'!$AG$22,IF(65&lt;=20,'Rate Card'!$AH$22,IF(65&lt;=35,'Rate Card'!$AH$22+(65-20)*'Rate Card'!$AI$22,'Rate Card'!$AK$22+(65-35)*'Rate Card'!$AJ$22)))))))*(1+'Rate Card'!$C$6),2)+ROUND(ROUND((IF(65&lt;=2,'Rate Card'!$AD$22,IF(65&lt;=5,'Rate Card'!$AE$22,IF(65&lt;=10,'Rate Card'!$AF$22,IF(65&lt;=15,'Rate Card'!$AG$22,IF(65&lt;=20,'Rate Card'!$AH$22,IF(65&lt;=35,'Rate Card'!$AH$22+(65-20)*'Rate Card'!$AI$22,'Rate Card'!$AK$22+(65-35)*'Rate Card'!$AJ$22)))))))*(1+'Rate Card'!$C$6),2)*(IF('Rate Card'!$G$6="YES",'Rate Card'!$E$6,0)+IF('Rate Card'!$K$6="YES",'Rate Card'!$I$6,0)),2)</f>
        <v/>
      </c>
      <c r="H69" s="23">
        <f>IF(65&lt;=2,'Rate Card'!$AD$23,IF(65&lt;=5,'Rate Card'!$AE$23,IF(65&lt;=10,'Rate Card'!$AF$23,IF(65&lt;=15,'Rate Card'!$AG$23,IF(65&lt;=20,'Rate Card'!$AH$23,IF(65&lt;=35,'Rate Card'!$AH$23+(65-20)*'Rate Card'!$AI$23,'Rate Card'!$AK$23+(65-35)*'Rate Card'!$AJ$23))))))</f>
        <v/>
      </c>
      <c r="I69" s="23">
        <f>ROUND((IF(65&lt;=2,'Rate Card'!$AD$23,IF(65&lt;=5,'Rate Card'!$AE$23,IF(65&lt;=10,'Rate Card'!$AF$23,IF(65&lt;=15,'Rate Card'!$AG$23,IF(65&lt;=20,'Rate Card'!$AH$23,IF(65&lt;=35,'Rate Card'!$AH$23+(65-20)*'Rate Card'!$AI$23,'Rate Card'!$AK$23+(65-35)*'Rate Card'!$AJ$23)))))))*(1+'Rate Card'!$C$6),2)+ROUND(ROUND((IF(65&lt;=2,'Rate Card'!$AD$23,IF(65&lt;=5,'Rate Card'!$AE$23,IF(65&lt;=10,'Rate Card'!$AF$23,IF(65&lt;=15,'Rate Card'!$AG$23,IF(65&lt;=20,'Rate Card'!$AH$23,IF(65&lt;=35,'Rate Card'!$AH$23+(65-20)*'Rate Card'!$AI$23,'Rate Card'!$AK$23+(65-35)*'Rate Card'!$AJ$23)))))))*(1+'Rate Card'!$C$6),2)*(IF('Rate Card'!$G$6="YES",'Rate Card'!$E$6,0)+IF('Rate Card'!$K$6="YES",'Rate Card'!$I$6,0)),2)</f>
        <v/>
      </c>
      <c r="J69" s="10">
        <f>""</f>
        <v/>
      </c>
      <c r="K69" s="10">
        <f>""</f>
        <v/>
      </c>
      <c r="L69" s="10">
        <f>""</f>
        <v/>
      </c>
      <c r="M69" s="10">
        <f>""</f>
        <v/>
      </c>
      <c r="N69" s="23">
        <f>IF(65&lt;=2,'Rate Card'!$AD$119,IF(65&lt;=5,'Rate Card'!$AE$119,IF(65&lt;=10,'Rate Card'!$AF$119,IF(65&lt;=15,'Rate Card'!$AG$119,IF(65&lt;=20,'Rate Card'!$AH$119,IF(65&lt;=35,'Rate Card'!$AH$119+(65-20)*'Rate Card'!$AI$119,'Rate Card'!$AK$119+(65-35)*'Rate Card'!$AJ$119))))))</f>
        <v/>
      </c>
      <c r="O69" s="23">
        <f>ROUND((IF(65&lt;=2,'Rate Card'!$AD$119,IF(65&lt;=5,'Rate Card'!$AE$119,IF(65&lt;=10,'Rate Card'!$AF$119,IF(65&lt;=15,'Rate Card'!$AG$119,IF(65&lt;=20,'Rate Card'!$AH$119,IF(65&lt;=35,'Rate Card'!$AH$119+(65-20)*'Rate Card'!$AI$119,'Rate Card'!$AK$119+(65-35)*'Rate Card'!$AJ$119)))))))*(1+'Rate Card'!$C$6),2)+ROUND(ROUND((IF(65&lt;=2,'Rate Card'!$AD$119,IF(65&lt;=5,'Rate Card'!$AE$119,IF(65&lt;=10,'Rate Card'!$AF$119,IF(65&lt;=15,'Rate Card'!$AG$119,IF(65&lt;=20,'Rate Card'!$AH$119,IF(65&lt;=35,'Rate Card'!$AH$119+(65-20)*'Rate Card'!$AI$119,'Rate Card'!$AK$119+(65-35)*'Rate Card'!$AJ$119)))))))*(1+'Rate Card'!$C$6),2)*(IF('Rate Card'!$G$6="YES",'Rate Card'!$E$6,0)+IF('Rate Card'!$K$6="YES",'Rate Card'!$I$6,0)),2)</f>
        <v/>
      </c>
      <c r="P69" s="23">
        <f>IF(65&lt;=2,'Rate Card'!$AD$120,IF(65&lt;=5,'Rate Card'!$AE$120,IF(65&lt;=10,'Rate Card'!$AF$120,IF(65&lt;=15,'Rate Card'!$AG$120,IF(65&lt;=20,'Rate Card'!$AH$120,IF(65&lt;=35,'Rate Card'!$AH$120+(65-20)*'Rate Card'!$AI$120,'Rate Card'!$AK$120+(65-35)*'Rate Card'!$AJ$120))))))</f>
        <v/>
      </c>
      <c r="Q69" s="12">
        <f>ROUND((IF(65&lt;=2,'Rate Card'!$AD$120,IF(65&lt;=5,'Rate Card'!$AE$120,IF(65&lt;=10,'Rate Card'!$AF$120,IF(65&lt;=15,'Rate Card'!$AG$120,IF(65&lt;=20,'Rate Card'!$AH$120,IF(65&lt;=35,'Rate Card'!$AH$120+(65-20)*'Rate Card'!$AI$120,'Rate Card'!$AK$120+(65-35)*'Rate Card'!$AJ$120)))))))*(1+'Rate Card'!$C$6),2)+ROUND(ROUND((IF(65&lt;=2,'Rate Card'!$AD$120,IF(65&lt;=5,'Rate Card'!$AE$120,IF(65&lt;=10,'Rate Card'!$AF$120,IF(65&lt;=15,'Rate Card'!$AG$120,IF(65&lt;=20,'Rate Card'!$AH$120,IF(65&lt;=35,'Rate Card'!$AH$120+(65-20)*'Rate Card'!$AI$120,'Rate Card'!$AK$120+(65-35)*'Rate Card'!$AJ$120)))))))*(1+'Rate Card'!$C$6),2)*(IF('Rate Card'!$G$6="YES",'Rate Card'!$E$6,0)+IF('Rate Card'!$K$6="YES",'Rate Card'!$I$6,0)),2)</f>
        <v/>
      </c>
    </row>
    <row r="70">
      <c r="A70" s="75" t="n">
        <v>66</v>
      </c>
      <c r="B70" s="10">
        <f>""</f>
        <v/>
      </c>
      <c r="C70" s="10">
        <f>""</f>
        <v/>
      </c>
      <c r="D70" s="10">
        <f>""</f>
        <v/>
      </c>
      <c r="E70" s="10">
        <f>""</f>
        <v/>
      </c>
      <c r="F70" s="23">
        <f>IF(66&lt;=2,'Rate Card'!$AD$22,IF(66&lt;=5,'Rate Card'!$AE$22,IF(66&lt;=10,'Rate Card'!$AF$22,IF(66&lt;=15,'Rate Card'!$AG$22,IF(66&lt;=20,'Rate Card'!$AH$22,IF(66&lt;=35,'Rate Card'!$AH$22+(66-20)*'Rate Card'!$AI$22,'Rate Card'!$AK$22+(66-35)*'Rate Card'!$AJ$22))))))</f>
        <v/>
      </c>
      <c r="G70" s="23">
        <f>ROUND((IF(66&lt;=2,'Rate Card'!$AD$22,IF(66&lt;=5,'Rate Card'!$AE$22,IF(66&lt;=10,'Rate Card'!$AF$22,IF(66&lt;=15,'Rate Card'!$AG$22,IF(66&lt;=20,'Rate Card'!$AH$22,IF(66&lt;=35,'Rate Card'!$AH$22+(66-20)*'Rate Card'!$AI$22,'Rate Card'!$AK$22+(66-35)*'Rate Card'!$AJ$22)))))))*(1+'Rate Card'!$C$6),2)+ROUND(ROUND((IF(66&lt;=2,'Rate Card'!$AD$22,IF(66&lt;=5,'Rate Card'!$AE$22,IF(66&lt;=10,'Rate Card'!$AF$22,IF(66&lt;=15,'Rate Card'!$AG$22,IF(66&lt;=20,'Rate Card'!$AH$22,IF(66&lt;=35,'Rate Card'!$AH$22+(66-20)*'Rate Card'!$AI$22,'Rate Card'!$AK$22+(66-35)*'Rate Card'!$AJ$22)))))))*(1+'Rate Card'!$C$6),2)*(IF('Rate Card'!$G$6="YES",'Rate Card'!$E$6,0)+IF('Rate Card'!$K$6="YES",'Rate Card'!$I$6,0)),2)</f>
        <v/>
      </c>
      <c r="H70" s="23">
        <f>IF(66&lt;=2,'Rate Card'!$AD$23,IF(66&lt;=5,'Rate Card'!$AE$23,IF(66&lt;=10,'Rate Card'!$AF$23,IF(66&lt;=15,'Rate Card'!$AG$23,IF(66&lt;=20,'Rate Card'!$AH$23,IF(66&lt;=35,'Rate Card'!$AH$23+(66-20)*'Rate Card'!$AI$23,'Rate Card'!$AK$23+(66-35)*'Rate Card'!$AJ$23))))))</f>
        <v/>
      </c>
      <c r="I70" s="23">
        <f>ROUND((IF(66&lt;=2,'Rate Card'!$AD$23,IF(66&lt;=5,'Rate Card'!$AE$23,IF(66&lt;=10,'Rate Card'!$AF$23,IF(66&lt;=15,'Rate Card'!$AG$23,IF(66&lt;=20,'Rate Card'!$AH$23,IF(66&lt;=35,'Rate Card'!$AH$23+(66-20)*'Rate Card'!$AI$23,'Rate Card'!$AK$23+(66-35)*'Rate Card'!$AJ$23)))))))*(1+'Rate Card'!$C$6),2)+ROUND(ROUND((IF(66&lt;=2,'Rate Card'!$AD$23,IF(66&lt;=5,'Rate Card'!$AE$23,IF(66&lt;=10,'Rate Card'!$AF$23,IF(66&lt;=15,'Rate Card'!$AG$23,IF(66&lt;=20,'Rate Card'!$AH$23,IF(66&lt;=35,'Rate Card'!$AH$23+(66-20)*'Rate Card'!$AI$23,'Rate Card'!$AK$23+(66-35)*'Rate Card'!$AJ$23)))))))*(1+'Rate Card'!$C$6),2)*(IF('Rate Card'!$G$6="YES",'Rate Card'!$E$6,0)+IF('Rate Card'!$K$6="YES",'Rate Card'!$I$6,0)),2)</f>
        <v/>
      </c>
      <c r="J70" s="10">
        <f>""</f>
        <v/>
      </c>
      <c r="K70" s="10">
        <f>""</f>
        <v/>
      </c>
      <c r="L70" s="10">
        <f>""</f>
        <v/>
      </c>
      <c r="M70" s="10">
        <f>""</f>
        <v/>
      </c>
      <c r="N70" s="23">
        <f>IF(66&lt;=2,'Rate Card'!$AD$119,IF(66&lt;=5,'Rate Card'!$AE$119,IF(66&lt;=10,'Rate Card'!$AF$119,IF(66&lt;=15,'Rate Card'!$AG$119,IF(66&lt;=20,'Rate Card'!$AH$119,IF(66&lt;=35,'Rate Card'!$AH$119+(66-20)*'Rate Card'!$AI$119,'Rate Card'!$AK$119+(66-35)*'Rate Card'!$AJ$119))))))</f>
        <v/>
      </c>
      <c r="O70" s="23">
        <f>ROUND((IF(66&lt;=2,'Rate Card'!$AD$119,IF(66&lt;=5,'Rate Card'!$AE$119,IF(66&lt;=10,'Rate Card'!$AF$119,IF(66&lt;=15,'Rate Card'!$AG$119,IF(66&lt;=20,'Rate Card'!$AH$119,IF(66&lt;=35,'Rate Card'!$AH$119+(66-20)*'Rate Card'!$AI$119,'Rate Card'!$AK$119+(66-35)*'Rate Card'!$AJ$119)))))))*(1+'Rate Card'!$C$6),2)+ROUND(ROUND((IF(66&lt;=2,'Rate Card'!$AD$119,IF(66&lt;=5,'Rate Card'!$AE$119,IF(66&lt;=10,'Rate Card'!$AF$119,IF(66&lt;=15,'Rate Card'!$AG$119,IF(66&lt;=20,'Rate Card'!$AH$119,IF(66&lt;=35,'Rate Card'!$AH$119+(66-20)*'Rate Card'!$AI$119,'Rate Card'!$AK$119+(66-35)*'Rate Card'!$AJ$119)))))))*(1+'Rate Card'!$C$6),2)*(IF('Rate Card'!$G$6="YES",'Rate Card'!$E$6,0)+IF('Rate Card'!$K$6="YES",'Rate Card'!$I$6,0)),2)</f>
        <v/>
      </c>
      <c r="P70" s="23">
        <f>IF(66&lt;=2,'Rate Card'!$AD$120,IF(66&lt;=5,'Rate Card'!$AE$120,IF(66&lt;=10,'Rate Card'!$AF$120,IF(66&lt;=15,'Rate Card'!$AG$120,IF(66&lt;=20,'Rate Card'!$AH$120,IF(66&lt;=35,'Rate Card'!$AH$120+(66-20)*'Rate Card'!$AI$120,'Rate Card'!$AK$120+(66-35)*'Rate Card'!$AJ$120))))))</f>
        <v/>
      </c>
      <c r="Q70" s="12">
        <f>ROUND((IF(66&lt;=2,'Rate Card'!$AD$120,IF(66&lt;=5,'Rate Card'!$AE$120,IF(66&lt;=10,'Rate Card'!$AF$120,IF(66&lt;=15,'Rate Card'!$AG$120,IF(66&lt;=20,'Rate Card'!$AH$120,IF(66&lt;=35,'Rate Card'!$AH$120+(66-20)*'Rate Card'!$AI$120,'Rate Card'!$AK$120+(66-35)*'Rate Card'!$AJ$120)))))))*(1+'Rate Card'!$C$6),2)+ROUND(ROUND((IF(66&lt;=2,'Rate Card'!$AD$120,IF(66&lt;=5,'Rate Card'!$AE$120,IF(66&lt;=10,'Rate Card'!$AF$120,IF(66&lt;=15,'Rate Card'!$AG$120,IF(66&lt;=20,'Rate Card'!$AH$120,IF(66&lt;=35,'Rate Card'!$AH$120+(66-20)*'Rate Card'!$AI$120,'Rate Card'!$AK$120+(66-35)*'Rate Card'!$AJ$120)))))))*(1+'Rate Card'!$C$6),2)*(IF('Rate Card'!$G$6="YES",'Rate Card'!$E$6,0)+IF('Rate Card'!$K$6="YES",'Rate Card'!$I$6,0)),2)</f>
        <v/>
      </c>
    </row>
    <row r="71">
      <c r="A71" s="75" t="n">
        <v>67</v>
      </c>
      <c r="B71" s="10">
        <f>""</f>
        <v/>
      </c>
      <c r="C71" s="10">
        <f>""</f>
        <v/>
      </c>
      <c r="D71" s="10">
        <f>""</f>
        <v/>
      </c>
      <c r="E71" s="10">
        <f>""</f>
        <v/>
      </c>
      <c r="F71" s="23">
        <f>IF(67&lt;=2,'Rate Card'!$AD$22,IF(67&lt;=5,'Rate Card'!$AE$22,IF(67&lt;=10,'Rate Card'!$AF$22,IF(67&lt;=15,'Rate Card'!$AG$22,IF(67&lt;=20,'Rate Card'!$AH$22,IF(67&lt;=35,'Rate Card'!$AH$22+(67-20)*'Rate Card'!$AI$22,'Rate Card'!$AK$22+(67-35)*'Rate Card'!$AJ$22))))))</f>
        <v/>
      </c>
      <c r="G71" s="23">
        <f>ROUND((IF(67&lt;=2,'Rate Card'!$AD$22,IF(67&lt;=5,'Rate Card'!$AE$22,IF(67&lt;=10,'Rate Card'!$AF$22,IF(67&lt;=15,'Rate Card'!$AG$22,IF(67&lt;=20,'Rate Card'!$AH$22,IF(67&lt;=35,'Rate Card'!$AH$22+(67-20)*'Rate Card'!$AI$22,'Rate Card'!$AK$22+(67-35)*'Rate Card'!$AJ$22)))))))*(1+'Rate Card'!$C$6),2)+ROUND(ROUND((IF(67&lt;=2,'Rate Card'!$AD$22,IF(67&lt;=5,'Rate Card'!$AE$22,IF(67&lt;=10,'Rate Card'!$AF$22,IF(67&lt;=15,'Rate Card'!$AG$22,IF(67&lt;=20,'Rate Card'!$AH$22,IF(67&lt;=35,'Rate Card'!$AH$22+(67-20)*'Rate Card'!$AI$22,'Rate Card'!$AK$22+(67-35)*'Rate Card'!$AJ$22)))))))*(1+'Rate Card'!$C$6),2)*(IF('Rate Card'!$G$6="YES",'Rate Card'!$E$6,0)+IF('Rate Card'!$K$6="YES",'Rate Card'!$I$6,0)),2)</f>
        <v/>
      </c>
      <c r="H71" s="23">
        <f>IF(67&lt;=2,'Rate Card'!$AD$23,IF(67&lt;=5,'Rate Card'!$AE$23,IF(67&lt;=10,'Rate Card'!$AF$23,IF(67&lt;=15,'Rate Card'!$AG$23,IF(67&lt;=20,'Rate Card'!$AH$23,IF(67&lt;=35,'Rate Card'!$AH$23+(67-20)*'Rate Card'!$AI$23,'Rate Card'!$AK$23+(67-35)*'Rate Card'!$AJ$23))))))</f>
        <v/>
      </c>
      <c r="I71" s="23">
        <f>ROUND((IF(67&lt;=2,'Rate Card'!$AD$23,IF(67&lt;=5,'Rate Card'!$AE$23,IF(67&lt;=10,'Rate Card'!$AF$23,IF(67&lt;=15,'Rate Card'!$AG$23,IF(67&lt;=20,'Rate Card'!$AH$23,IF(67&lt;=35,'Rate Card'!$AH$23+(67-20)*'Rate Card'!$AI$23,'Rate Card'!$AK$23+(67-35)*'Rate Card'!$AJ$23)))))))*(1+'Rate Card'!$C$6),2)+ROUND(ROUND((IF(67&lt;=2,'Rate Card'!$AD$23,IF(67&lt;=5,'Rate Card'!$AE$23,IF(67&lt;=10,'Rate Card'!$AF$23,IF(67&lt;=15,'Rate Card'!$AG$23,IF(67&lt;=20,'Rate Card'!$AH$23,IF(67&lt;=35,'Rate Card'!$AH$23+(67-20)*'Rate Card'!$AI$23,'Rate Card'!$AK$23+(67-35)*'Rate Card'!$AJ$23)))))))*(1+'Rate Card'!$C$6),2)*(IF('Rate Card'!$G$6="YES",'Rate Card'!$E$6,0)+IF('Rate Card'!$K$6="YES",'Rate Card'!$I$6,0)),2)</f>
        <v/>
      </c>
      <c r="J71" s="10">
        <f>""</f>
        <v/>
      </c>
      <c r="K71" s="10">
        <f>""</f>
        <v/>
      </c>
      <c r="L71" s="10">
        <f>""</f>
        <v/>
      </c>
      <c r="M71" s="10">
        <f>""</f>
        <v/>
      </c>
      <c r="N71" s="23">
        <f>IF(67&lt;=2,'Rate Card'!$AD$119,IF(67&lt;=5,'Rate Card'!$AE$119,IF(67&lt;=10,'Rate Card'!$AF$119,IF(67&lt;=15,'Rate Card'!$AG$119,IF(67&lt;=20,'Rate Card'!$AH$119,IF(67&lt;=35,'Rate Card'!$AH$119+(67-20)*'Rate Card'!$AI$119,'Rate Card'!$AK$119+(67-35)*'Rate Card'!$AJ$119))))))</f>
        <v/>
      </c>
      <c r="O71" s="23">
        <f>ROUND((IF(67&lt;=2,'Rate Card'!$AD$119,IF(67&lt;=5,'Rate Card'!$AE$119,IF(67&lt;=10,'Rate Card'!$AF$119,IF(67&lt;=15,'Rate Card'!$AG$119,IF(67&lt;=20,'Rate Card'!$AH$119,IF(67&lt;=35,'Rate Card'!$AH$119+(67-20)*'Rate Card'!$AI$119,'Rate Card'!$AK$119+(67-35)*'Rate Card'!$AJ$119)))))))*(1+'Rate Card'!$C$6),2)+ROUND(ROUND((IF(67&lt;=2,'Rate Card'!$AD$119,IF(67&lt;=5,'Rate Card'!$AE$119,IF(67&lt;=10,'Rate Card'!$AF$119,IF(67&lt;=15,'Rate Card'!$AG$119,IF(67&lt;=20,'Rate Card'!$AH$119,IF(67&lt;=35,'Rate Card'!$AH$119+(67-20)*'Rate Card'!$AI$119,'Rate Card'!$AK$119+(67-35)*'Rate Card'!$AJ$119)))))))*(1+'Rate Card'!$C$6),2)*(IF('Rate Card'!$G$6="YES",'Rate Card'!$E$6,0)+IF('Rate Card'!$K$6="YES",'Rate Card'!$I$6,0)),2)</f>
        <v/>
      </c>
      <c r="P71" s="23">
        <f>IF(67&lt;=2,'Rate Card'!$AD$120,IF(67&lt;=5,'Rate Card'!$AE$120,IF(67&lt;=10,'Rate Card'!$AF$120,IF(67&lt;=15,'Rate Card'!$AG$120,IF(67&lt;=20,'Rate Card'!$AH$120,IF(67&lt;=35,'Rate Card'!$AH$120+(67-20)*'Rate Card'!$AI$120,'Rate Card'!$AK$120+(67-35)*'Rate Card'!$AJ$120))))))</f>
        <v/>
      </c>
      <c r="Q71" s="12">
        <f>ROUND((IF(67&lt;=2,'Rate Card'!$AD$120,IF(67&lt;=5,'Rate Card'!$AE$120,IF(67&lt;=10,'Rate Card'!$AF$120,IF(67&lt;=15,'Rate Card'!$AG$120,IF(67&lt;=20,'Rate Card'!$AH$120,IF(67&lt;=35,'Rate Card'!$AH$120+(67-20)*'Rate Card'!$AI$120,'Rate Card'!$AK$120+(67-35)*'Rate Card'!$AJ$120)))))))*(1+'Rate Card'!$C$6),2)+ROUND(ROUND((IF(67&lt;=2,'Rate Card'!$AD$120,IF(67&lt;=5,'Rate Card'!$AE$120,IF(67&lt;=10,'Rate Card'!$AF$120,IF(67&lt;=15,'Rate Card'!$AG$120,IF(67&lt;=20,'Rate Card'!$AH$120,IF(67&lt;=35,'Rate Card'!$AH$120+(67-20)*'Rate Card'!$AI$120,'Rate Card'!$AK$120+(67-35)*'Rate Card'!$AJ$120)))))))*(1+'Rate Card'!$C$6),2)*(IF('Rate Card'!$G$6="YES",'Rate Card'!$E$6,0)+IF('Rate Card'!$K$6="YES",'Rate Card'!$I$6,0)),2)</f>
        <v/>
      </c>
    </row>
    <row r="72">
      <c r="A72" s="75" t="n">
        <v>68</v>
      </c>
      <c r="B72" s="10">
        <f>""</f>
        <v/>
      </c>
      <c r="C72" s="10">
        <f>""</f>
        <v/>
      </c>
      <c r="D72" s="10">
        <f>""</f>
        <v/>
      </c>
      <c r="E72" s="10">
        <f>""</f>
        <v/>
      </c>
      <c r="F72" s="23">
        <f>IF(68&lt;=2,'Rate Card'!$AD$22,IF(68&lt;=5,'Rate Card'!$AE$22,IF(68&lt;=10,'Rate Card'!$AF$22,IF(68&lt;=15,'Rate Card'!$AG$22,IF(68&lt;=20,'Rate Card'!$AH$22,IF(68&lt;=35,'Rate Card'!$AH$22+(68-20)*'Rate Card'!$AI$22,'Rate Card'!$AK$22+(68-35)*'Rate Card'!$AJ$22))))))</f>
        <v/>
      </c>
      <c r="G72" s="23">
        <f>ROUND((IF(68&lt;=2,'Rate Card'!$AD$22,IF(68&lt;=5,'Rate Card'!$AE$22,IF(68&lt;=10,'Rate Card'!$AF$22,IF(68&lt;=15,'Rate Card'!$AG$22,IF(68&lt;=20,'Rate Card'!$AH$22,IF(68&lt;=35,'Rate Card'!$AH$22+(68-20)*'Rate Card'!$AI$22,'Rate Card'!$AK$22+(68-35)*'Rate Card'!$AJ$22)))))))*(1+'Rate Card'!$C$6),2)+ROUND(ROUND((IF(68&lt;=2,'Rate Card'!$AD$22,IF(68&lt;=5,'Rate Card'!$AE$22,IF(68&lt;=10,'Rate Card'!$AF$22,IF(68&lt;=15,'Rate Card'!$AG$22,IF(68&lt;=20,'Rate Card'!$AH$22,IF(68&lt;=35,'Rate Card'!$AH$22+(68-20)*'Rate Card'!$AI$22,'Rate Card'!$AK$22+(68-35)*'Rate Card'!$AJ$22)))))))*(1+'Rate Card'!$C$6),2)*(IF('Rate Card'!$G$6="YES",'Rate Card'!$E$6,0)+IF('Rate Card'!$K$6="YES",'Rate Card'!$I$6,0)),2)</f>
        <v/>
      </c>
      <c r="H72" s="23">
        <f>IF(68&lt;=2,'Rate Card'!$AD$23,IF(68&lt;=5,'Rate Card'!$AE$23,IF(68&lt;=10,'Rate Card'!$AF$23,IF(68&lt;=15,'Rate Card'!$AG$23,IF(68&lt;=20,'Rate Card'!$AH$23,IF(68&lt;=35,'Rate Card'!$AH$23+(68-20)*'Rate Card'!$AI$23,'Rate Card'!$AK$23+(68-35)*'Rate Card'!$AJ$23))))))</f>
        <v/>
      </c>
      <c r="I72" s="23">
        <f>ROUND((IF(68&lt;=2,'Rate Card'!$AD$23,IF(68&lt;=5,'Rate Card'!$AE$23,IF(68&lt;=10,'Rate Card'!$AF$23,IF(68&lt;=15,'Rate Card'!$AG$23,IF(68&lt;=20,'Rate Card'!$AH$23,IF(68&lt;=35,'Rate Card'!$AH$23+(68-20)*'Rate Card'!$AI$23,'Rate Card'!$AK$23+(68-35)*'Rate Card'!$AJ$23)))))))*(1+'Rate Card'!$C$6),2)+ROUND(ROUND((IF(68&lt;=2,'Rate Card'!$AD$23,IF(68&lt;=5,'Rate Card'!$AE$23,IF(68&lt;=10,'Rate Card'!$AF$23,IF(68&lt;=15,'Rate Card'!$AG$23,IF(68&lt;=20,'Rate Card'!$AH$23,IF(68&lt;=35,'Rate Card'!$AH$23+(68-20)*'Rate Card'!$AI$23,'Rate Card'!$AK$23+(68-35)*'Rate Card'!$AJ$23)))))))*(1+'Rate Card'!$C$6),2)*(IF('Rate Card'!$G$6="YES",'Rate Card'!$E$6,0)+IF('Rate Card'!$K$6="YES",'Rate Card'!$I$6,0)),2)</f>
        <v/>
      </c>
      <c r="J72" s="10">
        <f>""</f>
        <v/>
      </c>
      <c r="K72" s="10">
        <f>""</f>
        <v/>
      </c>
      <c r="L72" s="10">
        <f>""</f>
        <v/>
      </c>
      <c r="M72" s="10">
        <f>""</f>
        <v/>
      </c>
      <c r="N72" s="23">
        <f>IF(68&lt;=2,'Rate Card'!$AD$119,IF(68&lt;=5,'Rate Card'!$AE$119,IF(68&lt;=10,'Rate Card'!$AF$119,IF(68&lt;=15,'Rate Card'!$AG$119,IF(68&lt;=20,'Rate Card'!$AH$119,IF(68&lt;=35,'Rate Card'!$AH$119+(68-20)*'Rate Card'!$AI$119,'Rate Card'!$AK$119+(68-35)*'Rate Card'!$AJ$119))))))</f>
        <v/>
      </c>
      <c r="O72" s="23">
        <f>ROUND((IF(68&lt;=2,'Rate Card'!$AD$119,IF(68&lt;=5,'Rate Card'!$AE$119,IF(68&lt;=10,'Rate Card'!$AF$119,IF(68&lt;=15,'Rate Card'!$AG$119,IF(68&lt;=20,'Rate Card'!$AH$119,IF(68&lt;=35,'Rate Card'!$AH$119+(68-20)*'Rate Card'!$AI$119,'Rate Card'!$AK$119+(68-35)*'Rate Card'!$AJ$119)))))))*(1+'Rate Card'!$C$6),2)+ROUND(ROUND((IF(68&lt;=2,'Rate Card'!$AD$119,IF(68&lt;=5,'Rate Card'!$AE$119,IF(68&lt;=10,'Rate Card'!$AF$119,IF(68&lt;=15,'Rate Card'!$AG$119,IF(68&lt;=20,'Rate Card'!$AH$119,IF(68&lt;=35,'Rate Card'!$AH$119+(68-20)*'Rate Card'!$AI$119,'Rate Card'!$AK$119+(68-35)*'Rate Card'!$AJ$119)))))))*(1+'Rate Card'!$C$6),2)*(IF('Rate Card'!$G$6="YES",'Rate Card'!$E$6,0)+IF('Rate Card'!$K$6="YES",'Rate Card'!$I$6,0)),2)</f>
        <v/>
      </c>
      <c r="P72" s="23">
        <f>IF(68&lt;=2,'Rate Card'!$AD$120,IF(68&lt;=5,'Rate Card'!$AE$120,IF(68&lt;=10,'Rate Card'!$AF$120,IF(68&lt;=15,'Rate Card'!$AG$120,IF(68&lt;=20,'Rate Card'!$AH$120,IF(68&lt;=35,'Rate Card'!$AH$120+(68-20)*'Rate Card'!$AI$120,'Rate Card'!$AK$120+(68-35)*'Rate Card'!$AJ$120))))))</f>
        <v/>
      </c>
      <c r="Q72" s="12">
        <f>ROUND((IF(68&lt;=2,'Rate Card'!$AD$120,IF(68&lt;=5,'Rate Card'!$AE$120,IF(68&lt;=10,'Rate Card'!$AF$120,IF(68&lt;=15,'Rate Card'!$AG$120,IF(68&lt;=20,'Rate Card'!$AH$120,IF(68&lt;=35,'Rate Card'!$AH$120+(68-20)*'Rate Card'!$AI$120,'Rate Card'!$AK$120+(68-35)*'Rate Card'!$AJ$120)))))))*(1+'Rate Card'!$C$6),2)+ROUND(ROUND((IF(68&lt;=2,'Rate Card'!$AD$120,IF(68&lt;=5,'Rate Card'!$AE$120,IF(68&lt;=10,'Rate Card'!$AF$120,IF(68&lt;=15,'Rate Card'!$AG$120,IF(68&lt;=20,'Rate Card'!$AH$120,IF(68&lt;=35,'Rate Card'!$AH$120+(68-20)*'Rate Card'!$AI$120,'Rate Card'!$AK$120+(68-35)*'Rate Card'!$AJ$120)))))))*(1+'Rate Card'!$C$6),2)*(IF('Rate Card'!$G$6="YES",'Rate Card'!$E$6,0)+IF('Rate Card'!$K$6="YES",'Rate Card'!$I$6,0)),2)</f>
        <v/>
      </c>
    </row>
    <row r="73">
      <c r="A73" s="75" t="n">
        <v>69</v>
      </c>
      <c r="B73" s="10">
        <f>""</f>
        <v/>
      </c>
      <c r="C73" s="10">
        <f>""</f>
        <v/>
      </c>
      <c r="D73" s="10">
        <f>""</f>
        <v/>
      </c>
      <c r="E73" s="10">
        <f>""</f>
        <v/>
      </c>
      <c r="F73" s="23">
        <f>IF(69&lt;=2,'Rate Card'!$AD$22,IF(69&lt;=5,'Rate Card'!$AE$22,IF(69&lt;=10,'Rate Card'!$AF$22,IF(69&lt;=15,'Rate Card'!$AG$22,IF(69&lt;=20,'Rate Card'!$AH$22,IF(69&lt;=35,'Rate Card'!$AH$22+(69-20)*'Rate Card'!$AI$22,'Rate Card'!$AK$22+(69-35)*'Rate Card'!$AJ$22))))))</f>
        <v/>
      </c>
      <c r="G73" s="23">
        <f>ROUND((IF(69&lt;=2,'Rate Card'!$AD$22,IF(69&lt;=5,'Rate Card'!$AE$22,IF(69&lt;=10,'Rate Card'!$AF$22,IF(69&lt;=15,'Rate Card'!$AG$22,IF(69&lt;=20,'Rate Card'!$AH$22,IF(69&lt;=35,'Rate Card'!$AH$22+(69-20)*'Rate Card'!$AI$22,'Rate Card'!$AK$22+(69-35)*'Rate Card'!$AJ$22)))))))*(1+'Rate Card'!$C$6),2)+ROUND(ROUND((IF(69&lt;=2,'Rate Card'!$AD$22,IF(69&lt;=5,'Rate Card'!$AE$22,IF(69&lt;=10,'Rate Card'!$AF$22,IF(69&lt;=15,'Rate Card'!$AG$22,IF(69&lt;=20,'Rate Card'!$AH$22,IF(69&lt;=35,'Rate Card'!$AH$22+(69-20)*'Rate Card'!$AI$22,'Rate Card'!$AK$22+(69-35)*'Rate Card'!$AJ$22)))))))*(1+'Rate Card'!$C$6),2)*(IF('Rate Card'!$G$6="YES",'Rate Card'!$E$6,0)+IF('Rate Card'!$K$6="YES",'Rate Card'!$I$6,0)),2)</f>
        <v/>
      </c>
      <c r="H73" s="23">
        <f>IF(69&lt;=2,'Rate Card'!$AD$23,IF(69&lt;=5,'Rate Card'!$AE$23,IF(69&lt;=10,'Rate Card'!$AF$23,IF(69&lt;=15,'Rate Card'!$AG$23,IF(69&lt;=20,'Rate Card'!$AH$23,IF(69&lt;=35,'Rate Card'!$AH$23+(69-20)*'Rate Card'!$AI$23,'Rate Card'!$AK$23+(69-35)*'Rate Card'!$AJ$23))))))</f>
        <v/>
      </c>
      <c r="I73" s="23">
        <f>ROUND((IF(69&lt;=2,'Rate Card'!$AD$23,IF(69&lt;=5,'Rate Card'!$AE$23,IF(69&lt;=10,'Rate Card'!$AF$23,IF(69&lt;=15,'Rate Card'!$AG$23,IF(69&lt;=20,'Rate Card'!$AH$23,IF(69&lt;=35,'Rate Card'!$AH$23+(69-20)*'Rate Card'!$AI$23,'Rate Card'!$AK$23+(69-35)*'Rate Card'!$AJ$23)))))))*(1+'Rate Card'!$C$6),2)+ROUND(ROUND((IF(69&lt;=2,'Rate Card'!$AD$23,IF(69&lt;=5,'Rate Card'!$AE$23,IF(69&lt;=10,'Rate Card'!$AF$23,IF(69&lt;=15,'Rate Card'!$AG$23,IF(69&lt;=20,'Rate Card'!$AH$23,IF(69&lt;=35,'Rate Card'!$AH$23+(69-20)*'Rate Card'!$AI$23,'Rate Card'!$AK$23+(69-35)*'Rate Card'!$AJ$23)))))))*(1+'Rate Card'!$C$6),2)*(IF('Rate Card'!$G$6="YES",'Rate Card'!$E$6,0)+IF('Rate Card'!$K$6="YES",'Rate Card'!$I$6,0)),2)</f>
        <v/>
      </c>
      <c r="J73" s="10">
        <f>""</f>
        <v/>
      </c>
      <c r="K73" s="10">
        <f>""</f>
        <v/>
      </c>
      <c r="L73" s="10">
        <f>""</f>
        <v/>
      </c>
      <c r="M73" s="10">
        <f>""</f>
        <v/>
      </c>
      <c r="N73" s="23">
        <f>IF(69&lt;=2,'Rate Card'!$AD$119,IF(69&lt;=5,'Rate Card'!$AE$119,IF(69&lt;=10,'Rate Card'!$AF$119,IF(69&lt;=15,'Rate Card'!$AG$119,IF(69&lt;=20,'Rate Card'!$AH$119,IF(69&lt;=35,'Rate Card'!$AH$119+(69-20)*'Rate Card'!$AI$119,'Rate Card'!$AK$119+(69-35)*'Rate Card'!$AJ$119))))))</f>
        <v/>
      </c>
      <c r="O73" s="23">
        <f>ROUND((IF(69&lt;=2,'Rate Card'!$AD$119,IF(69&lt;=5,'Rate Card'!$AE$119,IF(69&lt;=10,'Rate Card'!$AF$119,IF(69&lt;=15,'Rate Card'!$AG$119,IF(69&lt;=20,'Rate Card'!$AH$119,IF(69&lt;=35,'Rate Card'!$AH$119+(69-20)*'Rate Card'!$AI$119,'Rate Card'!$AK$119+(69-35)*'Rate Card'!$AJ$119)))))))*(1+'Rate Card'!$C$6),2)+ROUND(ROUND((IF(69&lt;=2,'Rate Card'!$AD$119,IF(69&lt;=5,'Rate Card'!$AE$119,IF(69&lt;=10,'Rate Card'!$AF$119,IF(69&lt;=15,'Rate Card'!$AG$119,IF(69&lt;=20,'Rate Card'!$AH$119,IF(69&lt;=35,'Rate Card'!$AH$119+(69-20)*'Rate Card'!$AI$119,'Rate Card'!$AK$119+(69-35)*'Rate Card'!$AJ$119)))))))*(1+'Rate Card'!$C$6),2)*(IF('Rate Card'!$G$6="YES",'Rate Card'!$E$6,0)+IF('Rate Card'!$K$6="YES",'Rate Card'!$I$6,0)),2)</f>
        <v/>
      </c>
      <c r="P73" s="23">
        <f>IF(69&lt;=2,'Rate Card'!$AD$120,IF(69&lt;=5,'Rate Card'!$AE$120,IF(69&lt;=10,'Rate Card'!$AF$120,IF(69&lt;=15,'Rate Card'!$AG$120,IF(69&lt;=20,'Rate Card'!$AH$120,IF(69&lt;=35,'Rate Card'!$AH$120+(69-20)*'Rate Card'!$AI$120,'Rate Card'!$AK$120+(69-35)*'Rate Card'!$AJ$120))))))</f>
        <v/>
      </c>
      <c r="Q73" s="12">
        <f>ROUND((IF(69&lt;=2,'Rate Card'!$AD$120,IF(69&lt;=5,'Rate Card'!$AE$120,IF(69&lt;=10,'Rate Card'!$AF$120,IF(69&lt;=15,'Rate Card'!$AG$120,IF(69&lt;=20,'Rate Card'!$AH$120,IF(69&lt;=35,'Rate Card'!$AH$120+(69-20)*'Rate Card'!$AI$120,'Rate Card'!$AK$120+(69-35)*'Rate Card'!$AJ$120)))))))*(1+'Rate Card'!$C$6),2)+ROUND(ROUND((IF(69&lt;=2,'Rate Card'!$AD$120,IF(69&lt;=5,'Rate Card'!$AE$120,IF(69&lt;=10,'Rate Card'!$AF$120,IF(69&lt;=15,'Rate Card'!$AG$120,IF(69&lt;=20,'Rate Card'!$AH$120,IF(69&lt;=35,'Rate Card'!$AH$120+(69-20)*'Rate Card'!$AI$120,'Rate Card'!$AK$120+(69-35)*'Rate Card'!$AJ$120)))))))*(1+'Rate Card'!$C$6),2)*(IF('Rate Card'!$G$6="YES",'Rate Card'!$E$6,0)+IF('Rate Card'!$K$6="YES",'Rate Card'!$I$6,0)),2)</f>
        <v/>
      </c>
    </row>
    <row r="74">
      <c r="A74" s="75" t="n">
        <v>70</v>
      </c>
      <c r="B74" s="10">
        <f>""</f>
        <v/>
      </c>
      <c r="C74" s="10">
        <f>""</f>
        <v/>
      </c>
      <c r="D74" s="10">
        <f>""</f>
        <v/>
      </c>
      <c r="E74" s="10">
        <f>""</f>
        <v/>
      </c>
      <c r="F74" s="23">
        <f>IF(70&lt;=2,'Rate Card'!$AD$22,IF(70&lt;=5,'Rate Card'!$AE$22,IF(70&lt;=10,'Rate Card'!$AF$22,IF(70&lt;=15,'Rate Card'!$AG$22,IF(70&lt;=20,'Rate Card'!$AH$22,IF(70&lt;=35,'Rate Card'!$AH$22+(70-20)*'Rate Card'!$AI$22,'Rate Card'!$AK$22+(70-35)*'Rate Card'!$AJ$22))))))</f>
        <v/>
      </c>
      <c r="G74" s="23">
        <f>ROUND((IF(70&lt;=2,'Rate Card'!$AD$22,IF(70&lt;=5,'Rate Card'!$AE$22,IF(70&lt;=10,'Rate Card'!$AF$22,IF(70&lt;=15,'Rate Card'!$AG$22,IF(70&lt;=20,'Rate Card'!$AH$22,IF(70&lt;=35,'Rate Card'!$AH$22+(70-20)*'Rate Card'!$AI$22,'Rate Card'!$AK$22+(70-35)*'Rate Card'!$AJ$22)))))))*(1+'Rate Card'!$C$6),2)+ROUND(ROUND((IF(70&lt;=2,'Rate Card'!$AD$22,IF(70&lt;=5,'Rate Card'!$AE$22,IF(70&lt;=10,'Rate Card'!$AF$22,IF(70&lt;=15,'Rate Card'!$AG$22,IF(70&lt;=20,'Rate Card'!$AH$22,IF(70&lt;=35,'Rate Card'!$AH$22+(70-20)*'Rate Card'!$AI$22,'Rate Card'!$AK$22+(70-35)*'Rate Card'!$AJ$22)))))))*(1+'Rate Card'!$C$6),2)*(IF('Rate Card'!$G$6="YES",'Rate Card'!$E$6,0)+IF('Rate Card'!$K$6="YES",'Rate Card'!$I$6,0)),2)</f>
        <v/>
      </c>
      <c r="H74" s="23">
        <f>IF(70&lt;=2,'Rate Card'!$AD$23,IF(70&lt;=5,'Rate Card'!$AE$23,IF(70&lt;=10,'Rate Card'!$AF$23,IF(70&lt;=15,'Rate Card'!$AG$23,IF(70&lt;=20,'Rate Card'!$AH$23,IF(70&lt;=35,'Rate Card'!$AH$23+(70-20)*'Rate Card'!$AI$23,'Rate Card'!$AK$23+(70-35)*'Rate Card'!$AJ$23))))))</f>
        <v/>
      </c>
      <c r="I74" s="23">
        <f>ROUND((IF(70&lt;=2,'Rate Card'!$AD$23,IF(70&lt;=5,'Rate Card'!$AE$23,IF(70&lt;=10,'Rate Card'!$AF$23,IF(70&lt;=15,'Rate Card'!$AG$23,IF(70&lt;=20,'Rate Card'!$AH$23,IF(70&lt;=35,'Rate Card'!$AH$23+(70-20)*'Rate Card'!$AI$23,'Rate Card'!$AK$23+(70-35)*'Rate Card'!$AJ$23)))))))*(1+'Rate Card'!$C$6),2)+ROUND(ROUND((IF(70&lt;=2,'Rate Card'!$AD$23,IF(70&lt;=5,'Rate Card'!$AE$23,IF(70&lt;=10,'Rate Card'!$AF$23,IF(70&lt;=15,'Rate Card'!$AG$23,IF(70&lt;=20,'Rate Card'!$AH$23,IF(70&lt;=35,'Rate Card'!$AH$23+(70-20)*'Rate Card'!$AI$23,'Rate Card'!$AK$23+(70-35)*'Rate Card'!$AJ$23)))))))*(1+'Rate Card'!$C$6),2)*(IF('Rate Card'!$G$6="YES",'Rate Card'!$E$6,0)+IF('Rate Card'!$K$6="YES",'Rate Card'!$I$6,0)),2)</f>
        <v/>
      </c>
      <c r="J74" s="10">
        <f>""</f>
        <v/>
      </c>
      <c r="K74" s="10">
        <f>""</f>
        <v/>
      </c>
      <c r="L74" s="10">
        <f>""</f>
        <v/>
      </c>
      <c r="M74" s="10">
        <f>""</f>
        <v/>
      </c>
      <c r="N74" s="23">
        <f>IF(70&lt;=2,'Rate Card'!$AD$119,IF(70&lt;=5,'Rate Card'!$AE$119,IF(70&lt;=10,'Rate Card'!$AF$119,IF(70&lt;=15,'Rate Card'!$AG$119,IF(70&lt;=20,'Rate Card'!$AH$119,IF(70&lt;=35,'Rate Card'!$AH$119+(70-20)*'Rate Card'!$AI$119,'Rate Card'!$AK$119+(70-35)*'Rate Card'!$AJ$119))))))</f>
        <v/>
      </c>
      <c r="O74" s="23">
        <f>ROUND((IF(70&lt;=2,'Rate Card'!$AD$119,IF(70&lt;=5,'Rate Card'!$AE$119,IF(70&lt;=10,'Rate Card'!$AF$119,IF(70&lt;=15,'Rate Card'!$AG$119,IF(70&lt;=20,'Rate Card'!$AH$119,IF(70&lt;=35,'Rate Card'!$AH$119+(70-20)*'Rate Card'!$AI$119,'Rate Card'!$AK$119+(70-35)*'Rate Card'!$AJ$119)))))))*(1+'Rate Card'!$C$6),2)+ROUND(ROUND((IF(70&lt;=2,'Rate Card'!$AD$119,IF(70&lt;=5,'Rate Card'!$AE$119,IF(70&lt;=10,'Rate Card'!$AF$119,IF(70&lt;=15,'Rate Card'!$AG$119,IF(70&lt;=20,'Rate Card'!$AH$119,IF(70&lt;=35,'Rate Card'!$AH$119+(70-20)*'Rate Card'!$AI$119,'Rate Card'!$AK$119+(70-35)*'Rate Card'!$AJ$119)))))))*(1+'Rate Card'!$C$6),2)*(IF('Rate Card'!$G$6="YES",'Rate Card'!$E$6,0)+IF('Rate Card'!$K$6="YES",'Rate Card'!$I$6,0)),2)</f>
        <v/>
      </c>
      <c r="P74" s="23">
        <f>IF(70&lt;=2,'Rate Card'!$AD$120,IF(70&lt;=5,'Rate Card'!$AE$120,IF(70&lt;=10,'Rate Card'!$AF$120,IF(70&lt;=15,'Rate Card'!$AG$120,IF(70&lt;=20,'Rate Card'!$AH$120,IF(70&lt;=35,'Rate Card'!$AH$120+(70-20)*'Rate Card'!$AI$120,'Rate Card'!$AK$120+(70-35)*'Rate Card'!$AJ$120))))))</f>
        <v/>
      </c>
      <c r="Q74" s="12">
        <f>ROUND((IF(70&lt;=2,'Rate Card'!$AD$120,IF(70&lt;=5,'Rate Card'!$AE$120,IF(70&lt;=10,'Rate Card'!$AF$120,IF(70&lt;=15,'Rate Card'!$AG$120,IF(70&lt;=20,'Rate Card'!$AH$120,IF(70&lt;=35,'Rate Card'!$AH$120+(70-20)*'Rate Card'!$AI$120,'Rate Card'!$AK$120+(70-35)*'Rate Card'!$AJ$120)))))))*(1+'Rate Card'!$C$6),2)+ROUND(ROUND((IF(70&lt;=2,'Rate Card'!$AD$120,IF(70&lt;=5,'Rate Card'!$AE$120,IF(70&lt;=10,'Rate Card'!$AF$120,IF(70&lt;=15,'Rate Card'!$AG$120,IF(70&lt;=20,'Rate Card'!$AH$120,IF(70&lt;=35,'Rate Card'!$AH$120+(70-20)*'Rate Card'!$AI$120,'Rate Card'!$AK$120+(70-35)*'Rate Card'!$AJ$120)))))))*(1+'Rate Card'!$C$6),2)*(IF('Rate Card'!$G$6="YES",'Rate Card'!$E$6,0)+IF('Rate Card'!$K$6="YES",'Rate Card'!$I$6,0)),2)</f>
        <v/>
      </c>
    </row>
    <row r="75">
      <c r="A75" s="75" t="n">
        <v>71</v>
      </c>
      <c r="B75" s="10">
        <f>""</f>
        <v/>
      </c>
      <c r="C75" s="10">
        <f>""</f>
        <v/>
      </c>
      <c r="D75" s="10">
        <f>""</f>
        <v/>
      </c>
      <c r="E75" s="10">
        <f>""</f>
        <v/>
      </c>
      <c r="F75" s="23">
        <f>IF(71&lt;=2,'Rate Card'!$AD$22,IF(71&lt;=5,'Rate Card'!$AE$22,IF(71&lt;=10,'Rate Card'!$AF$22,IF(71&lt;=15,'Rate Card'!$AG$22,IF(71&lt;=20,'Rate Card'!$AH$22,IF(71&lt;=35,'Rate Card'!$AH$22+(71-20)*'Rate Card'!$AI$22,'Rate Card'!$AK$22+(71-35)*'Rate Card'!$AJ$22))))))</f>
        <v/>
      </c>
      <c r="G75" s="23">
        <f>ROUND((IF(71&lt;=2,'Rate Card'!$AD$22,IF(71&lt;=5,'Rate Card'!$AE$22,IF(71&lt;=10,'Rate Card'!$AF$22,IF(71&lt;=15,'Rate Card'!$AG$22,IF(71&lt;=20,'Rate Card'!$AH$22,IF(71&lt;=35,'Rate Card'!$AH$22+(71-20)*'Rate Card'!$AI$22,'Rate Card'!$AK$22+(71-35)*'Rate Card'!$AJ$22)))))))*(1+'Rate Card'!$C$6),2)+ROUND(ROUND((IF(71&lt;=2,'Rate Card'!$AD$22,IF(71&lt;=5,'Rate Card'!$AE$22,IF(71&lt;=10,'Rate Card'!$AF$22,IF(71&lt;=15,'Rate Card'!$AG$22,IF(71&lt;=20,'Rate Card'!$AH$22,IF(71&lt;=35,'Rate Card'!$AH$22+(71-20)*'Rate Card'!$AI$22,'Rate Card'!$AK$22+(71-35)*'Rate Card'!$AJ$22)))))))*(1+'Rate Card'!$C$6),2)*(IF('Rate Card'!$G$6="YES",'Rate Card'!$E$6,0)+IF('Rate Card'!$K$6="YES",'Rate Card'!$I$6,0)),2)</f>
        <v/>
      </c>
      <c r="H75" s="23">
        <f>IF(71&lt;=2,'Rate Card'!$AD$23,IF(71&lt;=5,'Rate Card'!$AE$23,IF(71&lt;=10,'Rate Card'!$AF$23,IF(71&lt;=15,'Rate Card'!$AG$23,IF(71&lt;=20,'Rate Card'!$AH$23,IF(71&lt;=35,'Rate Card'!$AH$23+(71-20)*'Rate Card'!$AI$23,'Rate Card'!$AK$23+(71-35)*'Rate Card'!$AJ$23))))))</f>
        <v/>
      </c>
      <c r="I75" s="23">
        <f>ROUND((IF(71&lt;=2,'Rate Card'!$AD$23,IF(71&lt;=5,'Rate Card'!$AE$23,IF(71&lt;=10,'Rate Card'!$AF$23,IF(71&lt;=15,'Rate Card'!$AG$23,IF(71&lt;=20,'Rate Card'!$AH$23,IF(71&lt;=35,'Rate Card'!$AH$23+(71-20)*'Rate Card'!$AI$23,'Rate Card'!$AK$23+(71-35)*'Rate Card'!$AJ$23)))))))*(1+'Rate Card'!$C$6),2)+ROUND(ROUND((IF(71&lt;=2,'Rate Card'!$AD$23,IF(71&lt;=5,'Rate Card'!$AE$23,IF(71&lt;=10,'Rate Card'!$AF$23,IF(71&lt;=15,'Rate Card'!$AG$23,IF(71&lt;=20,'Rate Card'!$AH$23,IF(71&lt;=35,'Rate Card'!$AH$23+(71-20)*'Rate Card'!$AI$23,'Rate Card'!$AK$23+(71-35)*'Rate Card'!$AJ$23)))))))*(1+'Rate Card'!$C$6),2)*(IF('Rate Card'!$G$6="YES",'Rate Card'!$E$6,0)+IF('Rate Card'!$K$6="YES",'Rate Card'!$I$6,0)),2)</f>
        <v/>
      </c>
      <c r="J75" s="10">
        <f>""</f>
        <v/>
      </c>
      <c r="K75" s="10">
        <f>""</f>
        <v/>
      </c>
      <c r="L75" s="10">
        <f>""</f>
        <v/>
      </c>
      <c r="M75" s="10">
        <f>""</f>
        <v/>
      </c>
      <c r="N75" s="23">
        <f>IF(71&lt;=2,'Rate Card'!$AD$119,IF(71&lt;=5,'Rate Card'!$AE$119,IF(71&lt;=10,'Rate Card'!$AF$119,IF(71&lt;=15,'Rate Card'!$AG$119,IF(71&lt;=20,'Rate Card'!$AH$119,IF(71&lt;=35,'Rate Card'!$AH$119+(71-20)*'Rate Card'!$AI$119,'Rate Card'!$AK$119+(71-35)*'Rate Card'!$AJ$119))))))</f>
        <v/>
      </c>
      <c r="O75" s="23">
        <f>ROUND((IF(71&lt;=2,'Rate Card'!$AD$119,IF(71&lt;=5,'Rate Card'!$AE$119,IF(71&lt;=10,'Rate Card'!$AF$119,IF(71&lt;=15,'Rate Card'!$AG$119,IF(71&lt;=20,'Rate Card'!$AH$119,IF(71&lt;=35,'Rate Card'!$AH$119+(71-20)*'Rate Card'!$AI$119,'Rate Card'!$AK$119+(71-35)*'Rate Card'!$AJ$119)))))))*(1+'Rate Card'!$C$6),2)+ROUND(ROUND((IF(71&lt;=2,'Rate Card'!$AD$119,IF(71&lt;=5,'Rate Card'!$AE$119,IF(71&lt;=10,'Rate Card'!$AF$119,IF(71&lt;=15,'Rate Card'!$AG$119,IF(71&lt;=20,'Rate Card'!$AH$119,IF(71&lt;=35,'Rate Card'!$AH$119+(71-20)*'Rate Card'!$AI$119,'Rate Card'!$AK$119+(71-35)*'Rate Card'!$AJ$119)))))))*(1+'Rate Card'!$C$6),2)*(IF('Rate Card'!$G$6="YES",'Rate Card'!$E$6,0)+IF('Rate Card'!$K$6="YES",'Rate Card'!$I$6,0)),2)</f>
        <v/>
      </c>
      <c r="P75" s="23">
        <f>IF(71&lt;=2,'Rate Card'!$AD$120,IF(71&lt;=5,'Rate Card'!$AE$120,IF(71&lt;=10,'Rate Card'!$AF$120,IF(71&lt;=15,'Rate Card'!$AG$120,IF(71&lt;=20,'Rate Card'!$AH$120,IF(71&lt;=35,'Rate Card'!$AH$120+(71-20)*'Rate Card'!$AI$120,'Rate Card'!$AK$120+(71-35)*'Rate Card'!$AJ$120))))))</f>
        <v/>
      </c>
      <c r="Q75" s="12">
        <f>ROUND((IF(71&lt;=2,'Rate Card'!$AD$120,IF(71&lt;=5,'Rate Card'!$AE$120,IF(71&lt;=10,'Rate Card'!$AF$120,IF(71&lt;=15,'Rate Card'!$AG$120,IF(71&lt;=20,'Rate Card'!$AH$120,IF(71&lt;=35,'Rate Card'!$AH$120+(71-20)*'Rate Card'!$AI$120,'Rate Card'!$AK$120+(71-35)*'Rate Card'!$AJ$120)))))))*(1+'Rate Card'!$C$6),2)+ROUND(ROUND((IF(71&lt;=2,'Rate Card'!$AD$120,IF(71&lt;=5,'Rate Card'!$AE$120,IF(71&lt;=10,'Rate Card'!$AF$120,IF(71&lt;=15,'Rate Card'!$AG$120,IF(71&lt;=20,'Rate Card'!$AH$120,IF(71&lt;=35,'Rate Card'!$AH$120+(71-20)*'Rate Card'!$AI$120,'Rate Card'!$AK$120+(71-35)*'Rate Card'!$AJ$120)))))))*(1+'Rate Card'!$C$6),2)*(IF('Rate Card'!$G$6="YES",'Rate Card'!$E$6,0)+IF('Rate Card'!$K$6="YES",'Rate Card'!$I$6,0)),2)</f>
        <v/>
      </c>
    </row>
    <row r="76">
      <c r="A76" s="75" t="n">
        <v>72</v>
      </c>
      <c r="B76" s="10">
        <f>""</f>
        <v/>
      </c>
      <c r="C76" s="10">
        <f>""</f>
        <v/>
      </c>
      <c r="D76" s="10">
        <f>""</f>
        <v/>
      </c>
      <c r="E76" s="10">
        <f>""</f>
        <v/>
      </c>
      <c r="F76" s="23">
        <f>IF(72&lt;=2,'Rate Card'!$AD$22,IF(72&lt;=5,'Rate Card'!$AE$22,IF(72&lt;=10,'Rate Card'!$AF$22,IF(72&lt;=15,'Rate Card'!$AG$22,IF(72&lt;=20,'Rate Card'!$AH$22,IF(72&lt;=35,'Rate Card'!$AH$22+(72-20)*'Rate Card'!$AI$22,'Rate Card'!$AK$22+(72-35)*'Rate Card'!$AJ$22))))))</f>
        <v/>
      </c>
      <c r="G76" s="23">
        <f>ROUND((IF(72&lt;=2,'Rate Card'!$AD$22,IF(72&lt;=5,'Rate Card'!$AE$22,IF(72&lt;=10,'Rate Card'!$AF$22,IF(72&lt;=15,'Rate Card'!$AG$22,IF(72&lt;=20,'Rate Card'!$AH$22,IF(72&lt;=35,'Rate Card'!$AH$22+(72-20)*'Rate Card'!$AI$22,'Rate Card'!$AK$22+(72-35)*'Rate Card'!$AJ$22)))))))*(1+'Rate Card'!$C$6),2)+ROUND(ROUND((IF(72&lt;=2,'Rate Card'!$AD$22,IF(72&lt;=5,'Rate Card'!$AE$22,IF(72&lt;=10,'Rate Card'!$AF$22,IF(72&lt;=15,'Rate Card'!$AG$22,IF(72&lt;=20,'Rate Card'!$AH$22,IF(72&lt;=35,'Rate Card'!$AH$22+(72-20)*'Rate Card'!$AI$22,'Rate Card'!$AK$22+(72-35)*'Rate Card'!$AJ$22)))))))*(1+'Rate Card'!$C$6),2)*(IF('Rate Card'!$G$6="YES",'Rate Card'!$E$6,0)+IF('Rate Card'!$K$6="YES",'Rate Card'!$I$6,0)),2)</f>
        <v/>
      </c>
      <c r="H76" s="23">
        <f>IF(72&lt;=2,'Rate Card'!$AD$23,IF(72&lt;=5,'Rate Card'!$AE$23,IF(72&lt;=10,'Rate Card'!$AF$23,IF(72&lt;=15,'Rate Card'!$AG$23,IF(72&lt;=20,'Rate Card'!$AH$23,IF(72&lt;=35,'Rate Card'!$AH$23+(72-20)*'Rate Card'!$AI$23,'Rate Card'!$AK$23+(72-35)*'Rate Card'!$AJ$23))))))</f>
        <v/>
      </c>
      <c r="I76" s="23">
        <f>ROUND((IF(72&lt;=2,'Rate Card'!$AD$23,IF(72&lt;=5,'Rate Card'!$AE$23,IF(72&lt;=10,'Rate Card'!$AF$23,IF(72&lt;=15,'Rate Card'!$AG$23,IF(72&lt;=20,'Rate Card'!$AH$23,IF(72&lt;=35,'Rate Card'!$AH$23+(72-20)*'Rate Card'!$AI$23,'Rate Card'!$AK$23+(72-35)*'Rate Card'!$AJ$23)))))))*(1+'Rate Card'!$C$6),2)+ROUND(ROUND((IF(72&lt;=2,'Rate Card'!$AD$23,IF(72&lt;=5,'Rate Card'!$AE$23,IF(72&lt;=10,'Rate Card'!$AF$23,IF(72&lt;=15,'Rate Card'!$AG$23,IF(72&lt;=20,'Rate Card'!$AH$23,IF(72&lt;=35,'Rate Card'!$AH$23+(72-20)*'Rate Card'!$AI$23,'Rate Card'!$AK$23+(72-35)*'Rate Card'!$AJ$23)))))))*(1+'Rate Card'!$C$6),2)*(IF('Rate Card'!$G$6="YES",'Rate Card'!$E$6,0)+IF('Rate Card'!$K$6="YES",'Rate Card'!$I$6,0)),2)</f>
        <v/>
      </c>
      <c r="J76" s="10">
        <f>""</f>
        <v/>
      </c>
      <c r="K76" s="10">
        <f>""</f>
        <v/>
      </c>
      <c r="L76" s="10">
        <f>""</f>
        <v/>
      </c>
      <c r="M76" s="10">
        <f>""</f>
        <v/>
      </c>
      <c r="N76" s="23">
        <f>IF(72&lt;=2,'Rate Card'!$AD$119,IF(72&lt;=5,'Rate Card'!$AE$119,IF(72&lt;=10,'Rate Card'!$AF$119,IF(72&lt;=15,'Rate Card'!$AG$119,IF(72&lt;=20,'Rate Card'!$AH$119,IF(72&lt;=35,'Rate Card'!$AH$119+(72-20)*'Rate Card'!$AI$119,'Rate Card'!$AK$119+(72-35)*'Rate Card'!$AJ$119))))))</f>
        <v/>
      </c>
      <c r="O76" s="23">
        <f>ROUND((IF(72&lt;=2,'Rate Card'!$AD$119,IF(72&lt;=5,'Rate Card'!$AE$119,IF(72&lt;=10,'Rate Card'!$AF$119,IF(72&lt;=15,'Rate Card'!$AG$119,IF(72&lt;=20,'Rate Card'!$AH$119,IF(72&lt;=35,'Rate Card'!$AH$119+(72-20)*'Rate Card'!$AI$119,'Rate Card'!$AK$119+(72-35)*'Rate Card'!$AJ$119)))))))*(1+'Rate Card'!$C$6),2)+ROUND(ROUND((IF(72&lt;=2,'Rate Card'!$AD$119,IF(72&lt;=5,'Rate Card'!$AE$119,IF(72&lt;=10,'Rate Card'!$AF$119,IF(72&lt;=15,'Rate Card'!$AG$119,IF(72&lt;=20,'Rate Card'!$AH$119,IF(72&lt;=35,'Rate Card'!$AH$119+(72-20)*'Rate Card'!$AI$119,'Rate Card'!$AK$119+(72-35)*'Rate Card'!$AJ$119)))))))*(1+'Rate Card'!$C$6),2)*(IF('Rate Card'!$G$6="YES",'Rate Card'!$E$6,0)+IF('Rate Card'!$K$6="YES",'Rate Card'!$I$6,0)),2)</f>
        <v/>
      </c>
      <c r="P76" s="23">
        <f>IF(72&lt;=2,'Rate Card'!$AD$120,IF(72&lt;=5,'Rate Card'!$AE$120,IF(72&lt;=10,'Rate Card'!$AF$120,IF(72&lt;=15,'Rate Card'!$AG$120,IF(72&lt;=20,'Rate Card'!$AH$120,IF(72&lt;=35,'Rate Card'!$AH$120+(72-20)*'Rate Card'!$AI$120,'Rate Card'!$AK$120+(72-35)*'Rate Card'!$AJ$120))))))</f>
        <v/>
      </c>
      <c r="Q76" s="12">
        <f>ROUND((IF(72&lt;=2,'Rate Card'!$AD$120,IF(72&lt;=5,'Rate Card'!$AE$120,IF(72&lt;=10,'Rate Card'!$AF$120,IF(72&lt;=15,'Rate Card'!$AG$120,IF(72&lt;=20,'Rate Card'!$AH$120,IF(72&lt;=35,'Rate Card'!$AH$120+(72-20)*'Rate Card'!$AI$120,'Rate Card'!$AK$120+(72-35)*'Rate Card'!$AJ$120)))))))*(1+'Rate Card'!$C$6),2)+ROUND(ROUND((IF(72&lt;=2,'Rate Card'!$AD$120,IF(72&lt;=5,'Rate Card'!$AE$120,IF(72&lt;=10,'Rate Card'!$AF$120,IF(72&lt;=15,'Rate Card'!$AG$120,IF(72&lt;=20,'Rate Card'!$AH$120,IF(72&lt;=35,'Rate Card'!$AH$120+(72-20)*'Rate Card'!$AI$120,'Rate Card'!$AK$120+(72-35)*'Rate Card'!$AJ$120)))))))*(1+'Rate Card'!$C$6),2)*(IF('Rate Card'!$G$6="YES",'Rate Card'!$E$6,0)+IF('Rate Card'!$K$6="YES",'Rate Card'!$I$6,0)),2)</f>
        <v/>
      </c>
    </row>
    <row r="77">
      <c r="A77" s="75" t="n">
        <v>73</v>
      </c>
      <c r="B77" s="10">
        <f>""</f>
        <v/>
      </c>
      <c r="C77" s="10">
        <f>""</f>
        <v/>
      </c>
      <c r="D77" s="10">
        <f>""</f>
        <v/>
      </c>
      <c r="E77" s="10">
        <f>""</f>
        <v/>
      </c>
      <c r="F77" s="23">
        <f>IF(73&lt;=2,'Rate Card'!$AD$22,IF(73&lt;=5,'Rate Card'!$AE$22,IF(73&lt;=10,'Rate Card'!$AF$22,IF(73&lt;=15,'Rate Card'!$AG$22,IF(73&lt;=20,'Rate Card'!$AH$22,IF(73&lt;=35,'Rate Card'!$AH$22+(73-20)*'Rate Card'!$AI$22,'Rate Card'!$AK$22+(73-35)*'Rate Card'!$AJ$22))))))</f>
        <v/>
      </c>
      <c r="G77" s="23">
        <f>ROUND((IF(73&lt;=2,'Rate Card'!$AD$22,IF(73&lt;=5,'Rate Card'!$AE$22,IF(73&lt;=10,'Rate Card'!$AF$22,IF(73&lt;=15,'Rate Card'!$AG$22,IF(73&lt;=20,'Rate Card'!$AH$22,IF(73&lt;=35,'Rate Card'!$AH$22+(73-20)*'Rate Card'!$AI$22,'Rate Card'!$AK$22+(73-35)*'Rate Card'!$AJ$22)))))))*(1+'Rate Card'!$C$6),2)+ROUND(ROUND((IF(73&lt;=2,'Rate Card'!$AD$22,IF(73&lt;=5,'Rate Card'!$AE$22,IF(73&lt;=10,'Rate Card'!$AF$22,IF(73&lt;=15,'Rate Card'!$AG$22,IF(73&lt;=20,'Rate Card'!$AH$22,IF(73&lt;=35,'Rate Card'!$AH$22+(73-20)*'Rate Card'!$AI$22,'Rate Card'!$AK$22+(73-35)*'Rate Card'!$AJ$22)))))))*(1+'Rate Card'!$C$6),2)*(IF('Rate Card'!$G$6="YES",'Rate Card'!$E$6,0)+IF('Rate Card'!$K$6="YES",'Rate Card'!$I$6,0)),2)</f>
        <v/>
      </c>
      <c r="H77" s="23">
        <f>IF(73&lt;=2,'Rate Card'!$AD$23,IF(73&lt;=5,'Rate Card'!$AE$23,IF(73&lt;=10,'Rate Card'!$AF$23,IF(73&lt;=15,'Rate Card'!$AG$23,IF(73&lt;=20,'Rate Card'!$AH$23,IF(73&lt;=35,'Rate Card'!$AH$23+(73-20)*'Rate Card'!$AI$23,'Rate Card'!$AK$23+(73-35)*'Rate Card'!$AJ$23))))))</f>
        <v/>
      </c>
      <c r="I77" s="23">
        <f>ROUND((IF(73&lt;=2,'Rate Card'!$AD$23,IF(73&lt;=5,'Rate Card'!$AE$23,IF(73&lt;=10,'Rate Card'!$AF$23,IF(73&lt;=15,'Rate Card'!$AG$23,IF(73&lt;=20,'Rate Card'!$AH$23,IF(73&lt;=35,'Rate Card'!$AH$23+(73-20)*'Rate Card'!$AI$23,'Rate Card'!$AK$23+(73-35)*'Rate Card'!$AJ$23)))))))*(1+'Rate Card'!$C$6),2)+ROUND(ROUND((IF(73&lt;=2,'Rate Card'!$AD$23,IF(73&lt;=5,'Rate Card'!$AE$23,IF(73&lt;=10,'Rate Card'!$AF$23,IF(73&lt;=15,'Rate Card'!$AG$23,IF(73&lt;=20,'Rate Card'!$AH$23,IF(73&lt;=35,'Rate Card'!$AH$23+(73-20)*'Rate Card'!$AI$23,'Rate Card'!$AK$23+(73-35)*'Rate Card'!$AJ$23)))))))*(1+'Rate Card'!$C$6),2)*(IF('Rate Card'!$G$6="YES",'Rate Card'!$E$6,0)+IF('Rate Card'!$K$6="YES",'Rate Card'!$I$6,0)),2)</f>
        <v/>
      </c>
      <c r="J77" s="10">
        <f>""</f>
        <v/>
      </c>
      <c r="K77" s="10">
        <f>""</f>
        <v/>
      </c>
      <c r="L77" s="10">
        <f>""</f>
        <v/>
      </c>
      <c r="M77" s="10">
        <f>""</f>
        <v/>
      </c>
      <c r="N77" s="23">
        <f>IF(73&lt;=2,'Rate Card'!$AD$119,IF(73&lt;=5,'Rate Card'!$AE$119,IF(73&lt;=10,'Rate Card'!$AF$119,IF(73&lt;=15,'Rate Card'!$AG$119,IF(73&lt;=20,'Rate Card'!$AH$119,IF(73&lt;=35,'Rate Card'!$AH$119+(73-20)*'Rate Card'!$AI$119,'Rate Card'!$AK$119+(73-35)*'Rate Card'!$AJ$119))))))</f>
        <v/>
      </c>
      <c r="O77" s="23">
        <f>ROUND((IF(73&lt;=2,'Rate Card'!$AD$119,IF(73&lt;=5,'Rate Card'!$AE$119,IF(73&lt;=10,'Rate Card'!$AF$119,IF(73&lt;=15,'Rate Card'!$AG$119,IF(73&lt;=20,'Rate Card'!$AH$119,IF(73&lt;=35,'Rate Card'!$AH$119+(73-20)*'Rate Card'!$AI$119,'Rate Card'!$AK$119+(73-35)*'Rate Card'!$AJ$119)))))))*(1+'Rate Card'!$C$6),2)+ROUND(ROUND((IF(73&lt;=2,'Rate Card'!$AD$119,IF(73&lt;=5,'Rate Card'!$AE$119,IF(73&lt;=10,'Rate Card'!$AF$119,IF(73&lt;=15,'Rate Card'!$AG$119,IF(73&lt;=20,'Rate Card'!$AH$119,IF(73&lt;=35,'Rate Card'!$AH$119+(73-20)*'Rate Card'!$AI$119,'Rate Card'!$AK$119+(73-35)*'Rate Card'!$AJ$119)))))))*(1+'Rate Card'!$C$6),2)*(IF('Rate Card'!$G$6="YES",'Rate Card'!$E$6,0)+IF('Rate Card'!$K$6="YES",'Rate Card'!$I$6,0)),2)</f>
        <v/>
      </c>
      <c r="P77" s="23">
        <f>IF(73&lt;=2,'Rate Card'!$AD$120,IF(73&lt;=5,'Rate Card'!$AE$120,IF(73&lt;=10,'Rate Card'!$AF$120,IF(73&lt;=15,'Rate Card'!$AG$120,IF(73&lt;=20,'Rate Card'!$AH$120,IF(73&lt;=35,'Rate Card'!$AH$120+(73-20)*'Rate Card'!$AI$120,'Rate Card'!$AK$120+(73-35)*'Rate Card'!$AJ$120))))))</f>
        <v/>
      </c>
      <c r="Q77" s="12">
        <f>ROUND((IF(73&lt;=2,'Rate Card'!$AD$120,IF(73&lt;=5,'Rate Card'!$AE$120,IF(73&lt;=10,'Rate Card'!$AF$120,IF(73&lt;=15,'Rate Card'!$AG$120,IF(73&lt;=20,'Rate Card'!$AH$120,IF(73&lt;=35,'Rate Card'!$AH$120+(73-20)*'Rate Card'!$AI$120,'Rate Card'!$AK$120+(73-35)*'Rate Card'!$AJ$120)))))))*(1+'Rate Card'!$C$6),2)+ROUND(ROUND((IF(73&lt;=2,'Rate Card'!$AD$120,IF(73&lt;=5,'Rate Card'!$AE$120,IF(73&lt;=10,'Rate Card'!$AF$120,IF(73&lt;=15,'Rate Card'!$AG$120,IF(73&lt;=20,'Rate Card'!$AH$120,IF(73&lt;=35,'Rate Card'!$AH$120+(73-20)*'Rate Card'!$AI$120,'Rate Card'!$AK$120+(73-35)*'Rate Card'!$AJ$120)))))))*(1+'Rate Card'!$C$6),2)*(IF('Rate Card'!$G$6="YES",'Rate Card'!$E$6,0)+IF('Rate Card'!$K$6="YES",'Rate Card'!$I$6,0)),2)</f>
        <v/>
      </c>
    </row>
    <row r="78">
      <c r="A78" s="75" t="n">
        <v>74</v>
      </c>
      <c r="B78" s="10">
        <f>""</f>
        <v/>
      </c>
      <c r="C78" s="10">
        <f>""</f>
        <v/>
      </c>
      <c r="D78" s="10">
        <f>""</f>
        <v/>
      </c>
      <c r="E78" s="10">
        <f>""</f>
        <v/>
      </c>
      <c r="F78" s="23">
        <f>IF(74&lt;=2,'Rate Card'!$AD$22,IF(74&lt;=5,'Rate Card'!$AE$22,IF(74&lt;=10,'Rate Card'!$AF$22,IF(74&lt;=15,'Rate Card'!$AG$22,IF(74&lt;=20,'Rate Card'!$AH$22,IF(74&lt;=35,'Rate Card'!$AH$22+(74-20)*'Rate Card'!$AI$22,'Rate Card'!$AK$22+(74-35)*'Rate Card'!$AJ$22))))))</f>
        <v/>
      </c>
      <c r="G78" s="23">
        <f>ROUND((IF(74&lt;=2,'Rate Card'!$AD$22,IF(74&lt;=5,'Rate Card'!$AE$22,IF(74&lt;=10,'Rate Card'!$AF$22,IF(74&lt;=15,'Rate Card'!$AG$22,IF(74&lt;=20,'Rate Card'!$AH$22,IF(74&lt;=35,'Rate Card'!$AH$22+(74-20)*'Rate Card'!$AI$22,'Rate Card'!$AK$22+(74-35)*'Rate Card'!$AJ$22)))))))*(1+'Rate Card'!$C$6),2)+ROUND(ROUND((IF(74&lt;=2,'Rate Card'!$AD$22,IF(74&lt;=5,'Rate Card'!$AE$22,IF(74&lt;=10,'Rate Card'!$AF$22,IF(74&lt;=15,'Rate Card'!$AG$22,IF(74&lt;=20,'Rate Card'!$AH$22,IF(74&lt;=35,'Rate Card'!$AH$22+(74-20)*'Rate Card'!$AI$22,'Rate Card'!$AK$22+(74-35)*'Rate Card'!$AJ$22)))))))*(1+'Rate Card'!$C$6),2)*(IF('Rate Card'!$G$6="YES",'Rate Card'!$E$6,0)+IF('Rate Card'!$K$6="YES",'Rate Card'!$I$6,0)),2)</f>
        <v/>
      </c>
      <c r="H78" s="23">
        <f>IF(74&lt;=2,'Rate Card'!$AD$23,IF(74&lt;=5,'Rate Card'!$AE$23,IF(74&lt;=10,'Rate Card'!$AF$23,IF(74&lt;=15,'Rate Card'!$AG$23,IF(74&lt;=20,'Rate Card'!$AH$23,IF(74&lt;=35,'Rate Card'!$AH$23+(74-20)*'Rate Card'!$AI$23,'Rate Card'!$AK$23+(74-35)*'Rate Card'!$AJ$23))))))</f>
        <v/>
      </c>
      <c r="I78" s="23">
        <f>ROUND((IF(74&lt;=2,'Rate Card'!$AD$23,IF(74&lt;=5,'Rate Card'!$AE$23,IF(74&lt;=10,'Rate Card'!$AF$23,IF(74&lt;=15,'Rate Card'!$AG$23,IF(74&lt;=20,'Rate Card'!$AH$23,IF(74&lt;=35,'Rate Card'!$AH$23+(74-20)*'Rate Card'!$AI$23,'Rate Card'!$AK$23+(74-35)*'Rate Card'!$AJ$23)))))))*(1+'Rate Card'!$C$6),2)+ROUND(ROUND((IF(74&lt;=2,'Rate Card'!$AD$23,IF(74&lt;=5,'Rate Card'!$AE$23,IF(74&lt;=10,'Rate Card'!$AF$23,IF(74&lt;=15,'Rate Card'!$AG$23,IF(74&lt;=20,'Rate Card'!$AH$23,IF(74&lt;=35,'Rate Card'!$AH$23+(74-20)*'Rate Card'!$AI$23,'Rate Card'!$AK$23+(74-35)*'Rate Card'!$AJ$23)))))))*(1+'Rate Card'!$C$6),2)*(IF('Rate Card'!$G$6="YES",'Rate Card'!$E$6,0)+IF('Rate Card'!$K$6="YES",'Rate Card'!$I$6,0)),2)</f>
        <v/>
      </c>
      <c r="J78" s="10">
        <f>""</f>
        <v/>
      </c>
      <c r="K78" s="10">
        <f>""</f>
        <v/>
      </c>
      <c r="L78" s="10">
        <f>""</f>
        <v/>
      </c>
      <c r="M78" s="10">
        <f>""</f>
        <v/>
      </c>
      <c r="N78" s="23">
        <f>IF(74&lt;=2,'Rate Card'!$AD$119,IF(74&lt;=5,'Rate Card'!$AE$119,IF(74&lt;=10,'Rate Card'!$AF$119,IF(74&lt;=15,'Rate Card'!$AG$119,IF(74&lt;=20,'Rate Card'!$AH$119,IF(74&lt;=35,'Rate Card'!$AH$119+(74-20)*'Rate Card'!$AI$119,'Rate Card'!$AK$119+(74-35)*'Rate Card'!$AJ$119))))))</f>
        <v/>
      </c>
      <c r="O78" s="23">
        <f>ROUND((IF(74&lt;=2,'Rate Card'!$AD$119,IF(74&lt;=5,'Rate Card'!$AE$119,IF(74&lt;=10,'Rate Card'!$AF$119,IF(74&lt;=15,'Rate Card'!$AG$119,IF(74&lt;=20,'Rate Card'!$AH$119,IF(74&lt;=35,'Rate Card'!$AH$119+(74-20)*'Rate Card'!$AI$119,'Rate Card'!$AK$119+(74-35)*'Rate Card'!$AJ$119)))))))*(1+'Rate Card'!$C$6),2)+ROUND(ROUND((IF(74&lt;=2,'Rate Card'!$AD$119,IF(74&lt;=5,'Rate Card'!$AE$119,IF(74&lt;=10,'Rate Card'!$AF$119,IF(74&lt;=15,'Rate Card'!$AG$119,IF(74&lt;=20,'Rate Card'!$AH$119,IF(74&lt;=35,'Rate Card'!$AH$119+(74-20)*'Rate Card'!$AI$119,'Rate Card'!$AK$119+(74-35)*'Rate Card'!$AJ$119)))))))*(1+'Rate Card'!$C$6),2)*(IF('Rate Card'!$G$6="YES",'Rate Card'!$E$6,0)+IF('Rate Card'!$K$6="YES",'Rate Card'!$I$6,0)),2)</f>
        <v/>
      </c>
      <c r="P78" s="23">
        <f>IF(74&lt;=2,'Rate Card'!$AD$120,IF(74&lt;=5,'Rate Card'!$AE$120,IF(74&lt;=10,'Rate Card'!$AF$120,IF(74&lt;=15,'Rate Card'!$AG$120,IF(74&lt;=20,'Rate Card'!$AH$120,IF(74&lt;=35,'Rate Card'!$AH$120+(74-20)*'Rate Card'!$AI$120,'Rate Card'!$AK$120+(74-35)*'Rate Card'!$AJ$120))))))</f>
        <v/>
      </c>
      <c r="Q78" s="12">
        <f>ROUND((IF(74&lt;=2,'Rate Card'!$AD$120,IF(74&lt;=5,'Rate Card'!$AE$120,IF(74&lt;=10,'Rate Card'!$AF$120,IF(74&lt;=15,'Rate Card'!$AG$120,IF(74&lt;=20,'Rate Card'!$AH$120,IF(74&lt;=35,'Rate Card'!$AH$120+(74-20)*'Rate Card'!$AI$120,'Rate Card'!$AK$120+(74-35)*'Rate Card'!$AJ$120)))))))*(1+'Rate Card'!$C$6),2)+ROUND(ROUND((IF(74&lt;=2,'Rate Card'!$AD$120,IF(74&lt;=5,'Rate Card'!$AE$120,IF(74&lt;=10,'Rate Card'!$AF$120,IF(74&lt;=15,'Rate Card'!$AG$120,IF(74&lt;=20,'Rate Card'!$AH$120,IF(74&lt;=35,'Rate Card'!$AH$120+(74-20)*'Rate Card'!$AI$120,'Rate Card'!$AK$120+(74-35)*'Rate Card'!$AJ$120)))))))*(1+'Rate Card'!$C$6),2)*(IF('Rate Card'!$G$6="YES",'Rate Card'!$E$6,0)+IF('Rate Card'!$K$6="YES",'Rate Card'!$I$6,0)),2)</f>
        <v/>
      </c>
    </row>
    <row r="79">
      <c r="A79" s="75" t="n">
        <v>75</v>
      </c>
      <c r="B79" s="10">
        <f>""</f>
        <v/>
      </c>
      <c r="C79" s="10">
        <f>""</f>
        <v/>
      </c>
      <c r="D79" s="10">
        <f>""</f>
        <v/>
      </c>
      <c r="E79" s="10">
        <f>""</f>
        <v/>
      </c>
      <c r="F79" s="23">
        <f>IF(75&lt;=2,'Rate Card'!$AD$22,IF(75&lt;=5,'Rate Card'!$AE$22,IF(75&lt;=10,'Rate Card'!$AF$22,IF(75&lt;=15,'Rate Card'!$AG$22,IF(75&lt;=20,'Rate Card'!$AH$22,IF(75&lt;=35,'Rate Card'!$AH$22+(75-20)*'Rate Card'!$AI$22,'Rate Card'!$AK$22+(75-35)*'Rate Card'!$AJ$22))))))</f>
        <v/>
      </c>
      <c r="G79" s="23">
        <f>ROUND((IF(75&lt;=2,'Rate Card'!$AD$22,IF(75&lt;=5,'Rate Card'!$AE$22,IF(75&lt;=10,'Rate Card'!$AF$22,IF(75&lt;=15,'Rate Card'!$AG$22,IF(75&lt;=20,'Rate Card'!$AH$22,IF(75&lt;=35,'Rate Card'!$AH$22+(75-20)*'Rate Card'!$AI$22,'Rate Card'!$AK$22+(75-35)*'Rate Card'!$AJ$22)))))))*(1+'Rate Card'!$C$6),2)+ROUND(ROUND((IF(75&lt;=2,'Rate Card'!$AD$22,IF(75&lt;=5,'Rate Card'!$AE$22,IF(75&lt;=10,'Rate Card'!$AF$22,IF(75&lt;=15,'Rate Card'!$AG$22,IF(75&lt;=20,'Rate Card'!$AH$22,IF(75&lt;=35,'Rate Card'!$AH$22+(75-20)*'Rate Card'!$AI$22,'Rate Card'!$AK$22+(75-35)*'Rate Card'!$AJ$22)))))))*(1+'Rate Card'!$C$6),2)*(IF('Rate Card'!$G$6="YES",'Rate Card'!$E$6,0)+IF('Rate Card'!$K$6="YES",'Rate Card'!$I$6,0)),2)</f>
        <v/>
      </c>
      <c r="H79" s="23">
        <f>IF(75&lt;=2,'Rate Card'!$AD$23,IF(75&lt;=5,'Rate Card'!$AE$23,IF(75&lt;=10,'Rate Card'!$AF$23,IF(75&lt;=15,'Rate Card'!$AG$23,IF(75&lt;=20,'Rate Card'!$AH$23,IF(75&lt;=35,'Rate Card'!$AH$23+(75-20)*'Rate Card'!$AI$23,'Rate Card'!$AK$23+(75-35)*'Rate Card'!$AJ$23))))))</f>
        <v/>
      </c>
      <c r="I79" s="23">
        <f>ROUND((IF(75&lt;=2,'Rate Card'!$AD$23,IF(75&lt;=5,'Rate Card'!$AE$23,IF(75&lt;=10,'Rate Card'!$AF$23,IF(75&lt;=15,'Rate Card'!$AG$23,IF(75&lt;=20,'Rate Card'!$AH$23,IF(75&lt;=35,'Rate Card'!$AH$23+(75-20)*'Rate Card'!$AI$23,'Rate Card'!$AK$23+(75-35)*'Rate Card'!$AJ$23)))))))*(1+'Rate Card'!$C$6),2)+ROUND(ROUND((IF(75&lt;=2,'Rate Card'!$AD$23,IF(75&lt;=5,'Rate Card'!$AE$23,IF(75&lt;=10,'Rate Card'!$AF$23,IF(75&lt;=15,'Rate Card'!$AG$23,IF(75&lt;=20,'Rate Card'!$AH$23,IF(75&lt;=35,'Rate Card'!$AH$23+(75-20)*'Rate Card'!$AI$23,'Rate Card'!$AK$23+(75-35)*'Rate Card'!$AJ$23)))))))*(1+'Rate Card'!$C$6),2)*(IF('Rate Card'!$G$6="YES",'Rate Card'!$E$6,0)+IF('Rate Card'!$K$6="YES",'Rate Card'!$I$6,0)),2)</f>
        <v/>
      </c>
      <c r="J79" s="10">
        <f>""</f>
        <v/>
      </c>
      <c r="K79" s="10">
        <f>""</f>
        <v/>
      </c>
      <c r="L79" s="10">
        <f>""</f>
        <v/>
      </c>
      <c r="M79" s="10">
        <f>""</f>
        <v/>
      </c>
      <c r="N79" s="23">
        <f>IF(75&lt;=2,'Rate Card'!$AD$119,IF(75&lt;=5,'Rate Card'!$AE$119,IF(75&lt;=10,'Rate Card'!$AF$119,IF(75&lt;=15,'Rate Card'!$AG$119,IF(75&lt;=20,'Rate Card'!$AH$119,IF(75&lt;=35,'Rate Card'!$AH$119+(75-20)*'Rate Card'!$AI$119,'Rate Card'!$AK$119+(75-35)*'Rate Card'!$AJ$119))))))</f>
        <v/>
      </c>
      <c r="O79" s="23">
        <f>ROUND((IF(75&lt;=2,'Rate Card'!$AD$119,IF(75&lt;=5,'Rate Card'!$AE$119,IF(75&lt;=10,'Rate Card'!$AF$119,IF(75&lt;=15,'Rate Card'!$AG$119,IF(75&lt;=20,'Rate Card'!$AH$119,IF(75&lt;=35,'Rate Card'!$AH$119+(75-20)*'Rate Card'!$AI$119,'Rate Card'!$AK$119+(75-35)*'Rate Card'!$AJ$119)))))))*(1+'Rate Card'!$C$6),2)+ROUND(ROUND((IF(75&lt;=2,'Rate Card'!$AD$119,IF(75&lt;=5,'Rate Card'!$AE$119,IF(75&lt;=10,'Rate Card'!$AF$119,IF(75&lt;=15,'Rate Card'!$AG$119,IF(75&lt;=20,'Rate Card'!$AH$119,IF(75&lt;=35,'Rate Card'!$AH$119+(75-20)*'Rate Card'!$AI$119,'Rate Card'!$AK$119+(75-35)*'Rate Card'!$AJ$119)))))))*(1+'Rate Card'!$C$6),2)*(IF('Rate Card'!$G$6="YES",'Rate Card'!$E$6,0)+IF('Rate Card'!$K$6="YES",'Rate Card'!$I$6,0)),2)</f>
        <v/>
      </c>
      <c r="P79" s="23">
        <f>IF(75&lt;=2,'Rate Card'!$AD$120,IF(75&lt;=5,'Rate Card'!$AE$120,IF(75&lt;=10,'Rate Card'!$AF$120,IF(75&lt;=15,'Rate Card'!$AG$120,IF(75&lt;=20,'Rate Card'!$AH$120,IF(75&lt;=35,'Rate Card'!$AH$120+(75-20)*'Rate Card'!$AI$120,'Rate Card'!$AK$120+(75-35)*'Rate Card'!$AJ$120))))))</f>
        <v/>
      </c>
      <c r="Q79" s="12">
        <f>ROUND((IF(75&lt;=2,'Rate Card'!$AD$120,IF(75&lt;=5,'Rate Card'!$AE$120,IF(75&lt;=10,'Rate Card'!$AF$120,IF(75&lt;=15,'Rate Card'!$AG$120,IF(75&lt;=20,'Rate Card'!$AH$120,IF(75&lt;=35,'Rate Card'!$AH$120+(75-20)*'Rate Card'!$AI$120,'Rate Card'!$AK$120+(75-35)*'Rate Card'!$AJ$120)))))))*(1+'Rate Card'!$C$6),2)+ROUND(ROUND((IF(75&lt;=2,'Rate Card'!$AD$120,IF(75&lt;=5,'Rate Card'!$AE$120,IF(75&lt;=10,'Rate Card'!$AF$120,IF(75&lt;=15,'Rate Card'!$AG$120,IF(75&lt;=20,'Rate Card'!$AH$120,IF(75&lt;=35,'Rate Card'!$AH$120+(75-20)*'Rate Card'!$AI$120,'Rate Card'!$AK$120+(75-35)*'Rate Card'!$AJ$120)))))))*(1+'Rate Card'!$C$6),2)*(IF('Rate Card'!$G$6="YES",'Rate Card'!$E$6,0)+IF('Rate Card'!$K$6="YES",'Rate Card'!$I$6,0)),2)</f>
        <v/>
      </c>
    </row>
    <row r="80">
      <c r="A80" s="75" t="n">
        <v>76</v>
      </c>
      <c r="B80" s="10">
        <f>""</f>
        <v/>
      </c>
      <c r="C80" s="10">
        <f>""</f>
        <v/>
      </c>
      <c r="D80" s="10">
        <f>""</f>
        <v/>
      </c>
      <c r="E80" s="10">
        <f>""</f>
        <v/>
      </c>
      <c r="F80" s="23">
        <f>IF(76&lt;=2,'Rate Card'!$AD$22,IF(76&lt;=5,'Rate Card'!$AE$22,IF(76&lt;=10,'Rate Card'!$AF$22,IF(76&lt;=15,'Rate Card'!$AG$22,IF(76&lt;=20,'Rate Card'!$AH$22,IF(76&lt;=35,'Rate Card'!$AH$22+(76-20)*'Rate Card'!$AI$22,'Rate Card'!$AK$22+(76-35)*'Rate Card'!$AJ$22))))))</f>
        <v/>
      </c>
      <c r="G80" s="23">
        <f>ROUND((IF(76&lt;=2,'Rate Card'!$AD$22,IF(76&lt;=5,'Rate Card'!$AE$22,IF(76&lt;=10,'Rate Card'!$AF$22,IF(76&lt;=15,'Rate Card'!$AG$22,IF(76&lt;=20,'Rate Card'!$AH$22,IF(76&lt;=35,'Rate Card'!$AH$22+(76-20)*'Rate Card'!$AI$22,'Rate Card'!$AK$22+(76-35)*'Rate Card'!$AJ$22)))))))*(1+'Rate Card'!$C$6),2)+ROUND(ROUND((IF(76&lt;=2,'Rate Card'!$AD$22,IF(76&lt;=5,'Rate Card'!$AE$22,IF(76&lt;=10,'Rate Card'!$AF$22,IF(76&lt;=15,'Rate Card'!$AG$22,IF(76&lt;=20,'Rate Card'!$AH$22,IF(76&lt;=35,'Rate Card'!$AH$22+(76-20)*'Rate Card'!$AI$22,'Rate Card'!$AK$22+(76-35)*'Rate Card'!$AJ$22)))))))*(1+'Rate Card'!$C$6),2)*(IF('Rate Card'!$G$6="YES",'Rate Card'!$E$6,0)+IF('Rate Card'!$K$6="YES",'Rate Card'!$I$6,0)),2)</f>
        <v/>
      </c>
      <c r="H80" s="23">
        <f>IF(76&lt;=2,'Rate Card'!$AD$23,IF(76&lt;=5,'Rate Card'!$AE$23,IF(76&lt;=10,'Rate Card'!$AF$23,IF(76&lt;=15,'Rate Card'!$AG$23,IF(76&lt;=20,'Rate Card'!$AH$23,IF(76&lt;=35,'Rate Card'!$AH$23+(76-20)*'Rate Card'!$AI$23,'Rate Card'!$AK$23+(76-35)*'Rate Card'!$AJ$23))))))</f>
        <v/>
      </c>
      <c r="I80" s="23">
        <f>ROUND((IF(76&lt;=2,'Rate Card'!$AD$23,IF(76&lt;=5,'Rate Card'!$AE$23,IF(76&lt;=10,'Rate Card'!$AF$23,IF(76&lt;=15,'Rate Card'!$AG$23,IF(76&lt;=20,'Rate Card'!$AH$23,IF(76&lt;=35,'Rate Card'!$AH$23+(76-20)*'Rate Card'!$AI$23,'Rate Card'!$AK$23+(76-35)*'Rate Card'!$AJ$23)))))))*(1+'Rate Card'!$C$6),2)+ROUND(ROUND((IF(76&lt;=2,'Rate Card'!$AD$23,IF(76&lt;=5,'Rate Card'!$AE$23,IF(76&lt;=10,'Rate Card'!$AF$23,IF(76&lt;=15,'Rate Card'!$AG$23,IF(76&lt;=20,'Rate Card'!$AH$23,IF(76&lt;=35,'Rate Card'!$AH$23+(76-20)*'Rate Card'!$AI$23,'Rate Card'!$AK$23+(76-35)*'Rate Card'!$AJ$23)))))))*(1+'Rate Card'!$C$6),2)*(IF('Rate Card'!$G$6="YES",'Rate Card'!$E$6,0)+IF('Rate Card'!$K$6="YES",'Rate Card'!$I$6,0)),2)</f>
        <v/>
      </c>
      <c r="J80" s="10">
        <f>""</f>
        <v/>
      </c>
      <c r="K80" s="10">
        <f>""</f>
        <v/>
      </c>
      <c r="L80" s="10">
        <f>""</f>
        <v/>
      </c>
      <c r="M80" s="10">
        <f>""</f>
        <v/>
      </c>
      <c r="N80" s="23">
        <f>IF(76&lt;=2,'Rate Card'!$AD$119,IF(76&lt;=5,'Rate Card'!$AE$119,IF(76&lt;=10,'Rate Card'!$AF$119,IF(76&lt;=15,'Rate Card'!$AG$119,IF(76&lt;=20,'Rate Card'!$AH$119,IF(76&lt;=35,'Rate Card'!$AH$119+(76-20)*'Rate Card'!$AI$119,'Rate Card'!$AK$119+(76-35)*'Rate Card'!$AJ$119))))))</f>
        <v/>
      </c>
      <c r="O80" s="23">
        <f>ROUND((IF(76&lt;=2,'Rate Card'!$AD$119,IF(76&lt;=5,'Rate Card'!$AE$119,IF(76&lt;=10,'Rate Card'!$AF$119,IF(76&lt;=15,'Rate Card'!$AG$119,IF(76&lt;=20,'Rate Card'!$AH$119,IF(76&lt;=35,'Rate Card'!$AH$119+(76-20)*'Rate Card'!$AI$119,'Rate Card'!$AK$119+(76-35)*'Rate Card'!$AJ$119)))))))*(1+'Rate Card'!$C$6),2)+ROUND(ROUND((IF(76&lt;=2,'Rate Card'!$AD$119,IF(76&lt;=5,'Rate Card'!$AE$119,IF(76&lt;=10,'Rate Card'!$AF$119,IF(76&lt;=15,'Rate Card'!$AG$119,IF(76&lt;=20,'Rate Card'!$AH$119,IF(76&lt;=35,'Rate Card'!$AH$119+(76-20)*'Rate Card'!$AI$119,'Rate Card'!$AK$119+(76-35)*'Rate Card'!$AJ$119)))))))*(1+'Rate Card'!$C$6),2)*(IF('Rate Card'!$G$6="YES",'Rate Card'!$E$6,0)+IF('Rate Card'!$K$6="YES",'Rate Card'!$I$6,0)),2)</f>
        <v/>
      </c>
      <c r="P80" s="23">
        <f>IF(76&lt;=2,'Rate Card'!$AD$120,IF(76&lt;=5,'Rate Card'!$AE$120,IF(76&lt;=10,'Rate Card'!$AF$120,IF(76&lt;=15,'Rate Card'!$AG$120,IF(76&lt;=20,'Rate Card'!$AH$120,IF(76&lt;=35,'Rate Card'!$AH$120+(76-20)*'Rate Card'!$AI$120,'Rate Card'!$AK$120+(76-35)*'Rate Card'!$AJ$120))))))</f>
        <v/>
      </c>
      <c r="Q80" s="12">
        <f>ROUND((IF(76&lt;=2,'Rate Card'!$AD$120,IF(76&lt;=5,'Rate Card'!$AE$120,IF(76&lt;=10,'Rate Card'!$AF$120,IF(76&lt;=15,'Rate Card'!$AG$120,IF(76&lt;=20,'Rate Card'!$AH$120,IF(76&lt;=35,'Rate Card'!$AH$120+(76-20)*'Rate Card'!$AI$120,'Rate Card'!$AK$120+(76-35)*'Rate Card'!$AJ$120)))))))*(1+'Rate Card'!$C$6),2)+ROUND(ROUND((IF(76&lt;=2,'Rate Card'!$AD$120,IF(76&lt;=5,'Rate Card'!$AE$120,IF(76&lt;=10,'Rate Card'!$AF$120,IF(76&lt;=15,'Rate Card'!$AG$120,IF(76&lt;=20,'Rate Card'!$AH$120,IF(76&lt;=35,'Rate Card'!$AH$120+(76-20)*'Rate Card'!$AI$120,'Rate Card'!$AK$120+(76-35)*'Rate Card'!$AJ$120)))))))*(1+'Rate Card'!$C$6),2)*(IF('Rate Card'!$G$6="YES",'Rate Card'!$E$6,0)+IF('Rate Card'!$K$6="YES",'Rate Card'!$I$6,0)),2)</f>
        <v/>
      </c>
    </row>
    <row r="81">
      <c r="A81" s="75" t="n">
        <v>77</v>
      </c>
      <c r="B81" s="10">
        <f>""</f>
        <v/>
      </c>
      <c r="C81" s="10">
        <f>""</f>
        <v/>
      </c>
      <c r="D81" s="10">
        <f>""</f>
        <v/>
      </c>
      <c r="E81" s="10">
        <f>""</f>
        <v/>
      </c>
      <c r="F81" s="23">
        <f>IF(77&lt;=2,'Rate Card'!$AD$22,IF(77&lt;=5,'Rate Card'!$AE$22,IF(77&lt;=10,'Rate Card'!$AF$22,IF(77&lt;=15,'Rate Card'!$AG$22,IF(77&lt;=20,'Rate Card'!$AH$22,IF(77&lt;=35,'Rate Card'!$AH$22+(77-20)*'Rate Card'!$AI$22,'Rate Card'!$AK$22+(77-35)*'Rate Card'!$AJ$22))))))</f>
        <v/>
      </c>
      <c r="G81" s="23">
        <f>ROUND((IF(77&lt;=2,'Rate Card'!$AD$22,IF(77&lt;=5,'Rate Card'!$AE$22,IF(77&lt;=10,'Rate Card'!$AF$22,IF(77&lt;=15,'Rate Card'!$AG$22,IF(77&lt;=20,'Rate Card'!$AH$22,IF(77&lt;=35,'Rate Card'!$AH$22+(77-20)*'Rate Card'!$AI$22,'Rate Card'!$AK$22+(77-35)*'Rate Card'!$AJ$22)))))))*(1+'Rate Card'!$C$6),2)+ROUND(ROUND((IF(77&lt;=2,'Rate Card'!$AD$22,IF(77&lt;=5,'Rate Card'!$AE$22,IF(77&lt;=10,'Rate Card'!$AF$22,IF(77&lt;=15,'Rate Card'!$AG$22,IF(77&lt;=20,'Rate Card'!$AH$22,IF(77&lt;=35,'Rate Card'!$AH$22+(77-20)*'Rate Card'!$AI$22,'Rate Card'!$AK$22+(77-35)*'Rate Card'!$AJ$22)))))))*(1+'Rate Card'!$C$6),2)*(IF('Rate Card'!$G$6="YES",'Rate Card'!$E$6,0)+IF('Rate Card'!$K$6="YES",'Rate Card'!$I$6,0)),2)</f>
        <v/>
      </c>
      <c r="H81" s="23">
        <f>IF(77&lt;=2,'Rate Card'!$AD$23,IF(77&lt;=5,'Rate Card'!$AE$23,IF(77&lt;=10,'Rate Card'!$AF$23,IF(77&lt;=15,'Rate Card'!$AG$23,IF(77&lt;=20,'Rate Card'!$AH$23,IF(77&lt;=35,'Rate Card'!$AH$23+(77-20)*'Rate Card'!$AI$23,'Rate Card'!$AK$23+(77-35)*'Rate Card'!$AJ$23))))))</f>
        <v/>
      </c>
      <c r="I81" s="23">
        <f>ROUND((IF(77&lt;=2,'Rate Card'!$AD$23,IF(77&lt;=5,'Rate Card'!$AE$23,IF(77&lt;=10,'Rate Card'!$AF$23,IF(77&lt;=15,'Rate Card'!$AG$23,IF(77&lt;=20,'Rate Card'!$AH$23,IF(77&lt;=35,'Rate Card'!$AH$23+(77-20)*'Rate Card'!$AI$23,'Rate Card'!$AK$23+(77-35)*'Rate Card'!$AJ$23)))))))*(1+'Rate Card'!$C$6),2)+ROUND(ROUND((IF(77&lt;=2,'Rate Card'!$AD$23,IF(77&lt;=5,'Rate Card'!$AE$23,IF(77&lt;=10,'Rate Card'!$AF$23,IF(77&lt;=15,'Rate Card'!$AG$23,IF(77&lt;=20,'Rate Card'!$AH$23,IF(77&lt;=35,'Rate Card'!$AH$23+(77-20)*'Rate Card'!$AI$23,'Rate Card'!$AK$23+(77-35)*'Rate Card'!$AJ$23)))))))*(1+'Rate Card'!$C$6),2)*(IF('Rate Card'!$G$6="YES",'Rate Card'!$E$6,0)+IF('Rate Card'!$K$6="YES",'Rate Card'!$I$6,0)),2)</f>
        <v/>
      </c>
      <c r="J81" s="10">
        <f>""</f>
        <v/>
      </c>
      <c r="K81" s="10">
        <f>""</f>
        <v/>
      </c>
      <c r="L81" s="10">
        <f>""</f>
        <v/>
      </c>
      <c r="M81" s="10">
        <f>""</f>
        <v/>
      </c>
      <c r="N81" s="23">
        <f>IF(77&lt;=2,'Rate Card'!$AD$119,IF(77&lt;=5,'Rate Card'!$AE$119,IF(77&lt;=10,'Rate Card'!$AF$119,IF(77&lt;=15,'Rate Card'!$AG$119,IF(77&lt;=20,'Rate Card'!$AH$119,IF(77&lt;=35,'Rate Card'!$AH$119+(77-20)*'Rate Card'!$AI$119,'Rate Card'!$AK$119+(77-35)*'Rate Card'!$AJ$119))))))</f>
        <v/>
      </c>
      <c r="O81" s="23">
        <f>ROUND((IF(77&lt;=2,'Rate Card'!$AD$119,IF(77&lt;=5,'Rate Card'!$AE$119,IF(77&lt;=10,'Rate Card'!$AF$119,IF(77&lt;=15,'Rate Card'!$AG$119,IF(77&lt;=20,'Rate Card'!$AH$119,IF(77&lt;=35,'Rate Card'!$AH$119+(77-20)*'Rate Card'!$AI$119,'Rate Card'!$AK$119+(77-35)*'Rate Card'!$AJ$119)))))))*(1+'Rate Card'!$C$6),2)+ROUND(ROUND((IF(77&lt;=2,'Rate Card'!$AD$119,IF(77&lt;=5,'Rate Card'!$AE$119,IF(77&lt;=10,'Rate Card'!$AF$119,IF(77&lt;=15,'Rate Card'!$AG$119,IF(77&lt;=20,'Rate Card'!$AH$119,IF(77&lt;=35,'Rate Card'!$AH$119+(77-20)*'Rate Card'!$AI$119,'Rate Card'!$AK$119+(77-35)*'Rate Card'!$AJ$119)))))))*(1+'Rate Card'!$C$6),2)*(IF('Rate Card'!$G$6="YES",'Rate Card'!$E$6,0)+IF('Rate Card'!$K$6="YES",'Rate Card'!$I$6,0)),2)</f>
        <v/>
      </c>
      <c r="P81" s="23">
        <f>IF(77&lt;=2,'Rate Card'!$AD$120,IF(77&lt;=5,'Rate Card'!$AE$120,IF(77&lt;=10,'Rate Card'!$AF$120,IF(77&lt;=15,'Rate Card'!$AG$120,IF(77&lt;=20,'Rate Card'!$AH$120,IF(77&lt;=35,'Rate Card'!$AH$120+(77-20)*'Rate Card'!$AI$120,'Rate Card'!$AK$120+(77-35)*'Rate Card'!$AJ$120))))))</f>
        <v/>
      </c>
      <c r="Q81" s="12">
        <f>ROUND((IF(77&lt;=2,'Rate Card'!$AD$120,IF(77&lt;=5,'Rate Card'!$AE$120,IF(77&lt;=10,'Rate Card'!$AF$120,IF(77&lt;=15,'Rate Card'!$AG$120,IF(77&lt;=20,'Rate Card'!$AH$120,IF(77&lt;=35,'Rate Card'!$AH$120+(77-20)*'Rate Card'!$AI$120,'Rate Card'!$AK$120+(77-35)*'Rate Card'!$AJ$120)))))))*(1+'Rate Card'!$C$6),2)+ROUND(ROUND((IF(77&lt;=2,'Rate Card'!$AD$120,IF(77&lt;=5,'Rate Card'!$AE$120,IF(77&lt;=10,'Rate Card'!$AF$120,IF(77&lt;=15,'Rate Card'!$AG$120,IF(77&lt;=20,'Rate Card'!$AH$120,IF(77&lt;=35,'Rate Card'!$AH$120+(77-20)*'Rate Card'!$AI$120,'Rate Card'!$AK$120+(77-35)*'Rate Card'!$AJ$120)))))))*(1+'Rate Card'!$C$6),2)*(IF('Rate Card'!$G$6="YES",'Rate Card'!$E$6,0)+IF('Rate Card'!$K$6="YES",'Rate Card'!$I$6,0)),2)</f>
        <v/>
      </c>
    </row>
    <row r="82">
      <c r="A82" s="75" t="n">
        <v>78</v>
      </c>
      <c r="B82" s="10">
        <f>""</f>
        <v/>
      </c>
      <c r="C82" s="10">
        <f>""</f>
        <v/>
      </c>
      <c r="D82" s="10">
        <f>""</f>
        <v/>
      </c>
      <c r="E82" s="10">
        <f>""</f>
        <v/>
      </c>
      <c r="F82" s="23">
        <f>IF(78&lt;=2,'Rate Card'!$AD$22,IF(78&lt;=5,'Rate Card'!$AE$22,IF(78&lt;=10,'Rate Card'!$AF$22,IF(78&lt;=15,'Rate Card'!$AG$22,IF(78&lt;=20,'Rate Card'!$AH$22,IF(78&lt;=35,'Rate Card'!$AH$22+(78-20)*'Rate Card'!$AI$22,'Rate Card'!$AK$22+(78-35)*'Rate Card'!$AJ$22))))))</f>
        <v/>
      </c>
      <c r="G82" s="23">
        <f>ROUND((IF(78&lt;=2,'Rate Card'!$AD$22,IF(78&lt;=5,'Rate Card'!$AE$22,IF(78&lt;=10,'Rate Card'!$AF$22,IF(78&lt;=15,'Rate Card'!$AG$22,IF(78&lt;=20,'Rate Card'!$AH$22,IF(78&lt;=35,'Rate Card'!$AH$22+(78-20)*'Rate Card'!$AI$22,'Rate Card'!$AK$22+(78-35)*'Rate Card'!$AJ$22)))))))*(1+'Rate Card'!$C$6),2)+ROUND(ROUND((IF(78&lt;=2,'Rate Card'!$AD$22,IF(78&lt;=5,'Rate Card'!$AE$22,IF(78&lt;=10,'Rate Card'!$AF$22,IF(78&lt;=15,'Rate Card'!$AG$22,IF(78&lt;=20,'Rate Card'!$AH$22,IF(78&lt;=35,'Rate Card'!$AH$22+(78-20)*'Rate Card'!$AI$22,'Rate Card'!$AK$22+(78-35)*'Rate Card'!$AJ$22)))))))*(1+'Rate Card'!$C$6),2)*(IF('Rate Card'!$G$6="YES",'Rate Card'!$E$6,0)+IF('Rate Card'!$K$6="YES",'Rate Card'!$I$6,0)),2)</f>
        <v/>
      </c>
      <c r="H82" s="23">
        <f>IF(78&lt;=2,'Rate Card'!$AD$23,IF(78&lt;=5,'Rate Card'!$AE$23,IF(78&lt;=10,'Rate Card'!$AF$23,IF(78&lt;=15,'Rate Card'!$AG$23,IF(78&lt;=20,'Rate Card'!$AH$23,IF(78&lt;=35,'Rate Card'!$AH$23+(78-20)*'Rate Card'!$AI$23,'Rate Card'!$AK$23+(78-35)*'Rate Card'!$AJ$23))))))</f>
        <v/>
      </c>
      <c r="I82" s="23">
        <f>ROUND((IF(78&lt;=2,'Rate Card'!$AD$23,IF(78&lt;=5,'Rate Card'!$AE$23,IF(78&lt;=10,'Rate Card'!$AF$23,IF(78&lt;=15,'Rate Card'!$AG$23,IF(78&lt;=20,'Rate Card'!$AH$23,IF(78&lt;=35,'Rate Card'!$AH$23+(78-20)*'Rate Card'!$AI$23,'Rate Card'!$AK$23+(78-35)*'Rate Card'!$AJ$23)))))))*(1+'Rate Card'!$C$6),2)+ROUND(ROUND((IF(78&lt;=2,'Rate Card'!$AD$23,IF(78&lt;=5,'Rate Card'!$AE$23,IF(78&lt;=10,'Rate Card'!$AF$23,IF(78&lt;=15,'Rate Card'!$AG$23,IF(78&lt;=20,'Rate Card'!$AH$23,IF(78&lt;=35,'Rate Card'!$AH$23+(78-20)*'Rate Card'!$AI$23,'Rate Card'!$AK$23+(78-35)*'Rate Card'!$AJ$23)))))))*(1+'Rate Card'!$C$6),2)*(IF('Rate Card'!$G$6="YES",'Rate Card'!$E$6,0)+IF('Rate Card'!$K$6="YES",'Rate Card'!$I$6,0)),2)</f>
        <v/>
      </c>
      <c r="J82" s="10">
        <f>""</f>
        <v/>
      </c>
      <c r="K82" s="10">
        <f>""</f>
        <v/>
      </c>
      <c r="L82" s="10">
        <f>""</f>
        <v/>
      </c>
      <c r="M82" s="10">
        <f>""</f>
        <v/>
      </c>
      <c r="N82" s="23">
        <f>IF(78&lt;=2,'Rate Card'!$AD$119,IF(78&lt;=5,'Rate Card'!$AE$119,IF(78&lt;=10,'Rate Card'!$AF$119,IF(78&lt;=15,'Rate Card'!$AG$119,IF(78&lt;=20,'Rate Card'!$AH$119,IF(78&lt;=35,'Rate Card'!$AH$119+(78-20)*'Rate Card'!$AI$119,'Rate Card'!$AK$119+(78-35)*'Rate Card'!$AJ$119))))))</f>
        <v/>
      </c>
      <c r="O82" s="23">
        <f>ROUND((IF(78&lt;=2,'Rate Card'!$AD$119,IF(78&lt;=5,'Rate Card'!$AE$119,IF(78&lt;=10,'Rate Card'!$AF$119,IF(78&lt;=15,'Rate Card'!$AG$119,IF(78&lt;=20,'Rate Card'!$AH$119,IF(78&lt;=35,'Rate Card'!$AH$119+(78-20)*'Rate Card'!$AI$119,'Rate Card'!$AK$119+(78-35)*'Rate Card'!$AJ$119)))))))*(1+'Rate Card'!$C$6),2)+ROUND(ROUND((IF(78&lt;=2,'Rate Card'!$AD$119,IF(78&lt;=5,'Rate Card'!$AE$119,IF(78&lt;=10,'Rate Card'!$AF$119,IF(78&lt;=15,'Rate Card'!$AG$119,IF(78&lt;=20,'Rate Card'!$AH$119,IF(78&lt;=35,'Rate Card'!$AH$119+(78-20)*'Rate Card'!$AI$119,'Rate Card'!$AK$119+(78-35)*'Rate Card'!$AJ$119)))))))*(1+'Rate Card'!$C$6),2)*(IF('Rate Card'!$G$6="YES",'Rate Card'!$E$6,0)+IF('Rate Card'!$K$6="YES",'Rate Card'!$I$6,0)),2)</f>
        <v/>
      </c>
      <c r="P82" s="23">
        <f>IF(78&lt;=2,'Rate Card'!$AD$120,IF(78&lt;=5,'Rate Card'!$AE$120,IF(78&lt;=10,'Rate Card'!$AF$120,IF(78&lt;=15,'Rate Card'!$AG$120,IF(78&lt;=20,'Rate Card'!$AH$120,IF(78&lt;=35,'Rate Card'!$AH$120+(78-20)*'Rate Card'!$AI$120,'Rate Card'!$AK$120+(78-35)*'Rate Card'!$AJ$120))))))</f>
        <v/>
      </c>
      <c r="Q82" s="12">
        <f>ROUND((IF(78&lt;=2,'Rate Card'!$AD$120,IF(78&lt;=5,'Rate Card'!$AE$120,IF(78&lt;=10,'Rate Card'!$AF$120,IF(78&lt;=15,'Rate Card'!$AG$120,IF(78&lt;=20,'Rate Card'!$AH$120,IF(78&lt;=35,'Rate Card'!$AH$120+(78-20)*'Rate Card'!$AI$120,'Rate Card'!$AK$120+(78-35)*'Rate Card'!$AJ$120)))))))*(1+'Rate Card'!$C$6),2)+ROUND(ROUND((IF(78&lt;=2,'Rate Card'!$AD$120,IF(78&lt;=5,'Rate Card'!$AE$120,IF(78&lt;=10,'Rate Card'!$AF$120,IF(78&lt;=15,'Rate Card'!$AG$120,IF(78&lt;=20,'Rate Card'!$AH$120,IF(78&lt;=35,'Rate Card'!$AH$120+(78-20)*'Rate Card'!$AI$120,'Rate Card'!$AK$120+(78-35)*'Rate Card'!$AJ$120)))))))*(1+'Rate Card'!$C$6),2)*(IF('Rate Card'!$G$6="YES",'Rate Card'!$E$6,0)+IF('Rate Card'!$K$6="YES",'Rate Card'!$I$6,0)),2)</f>
        <v/>
      </c>
    </row>
    <row r="83">
      <c r="A83" s="75" t="n">
        <v>79</v>
      </c>
      <c r="B83" s="10">
        <f>""</f>
        <v/>
      </c>
      <c r="C83" s="10">
        <f>""</f>
        <v/>
      </c>
      <c r="D83" s="10">
        <f>""</f>
        <v/>
      </c>
      <c r="E83" s="10">
        <f>""</f>
        <v/>
      </c>
      <c r="F83" s="23">
        <f>IF(79&lt;=2,'Rate Card'!$AD$22,IF(79&lt;=5,'Rate Card'!$AE$22,IF(79&lt;=10,'Rate Card'!$AF$22,IF(79&lt;=15,'Rate Card'!$AG$22,IF(79&lt;=20,'Rate Card'!$AH$22,IF(79&lt;=35,'Rate Card'!$AH$22+(79-20)*'Rate Card'!$AI$22,'Rate Card'!$AK$22+(79-35)*'Rate Card'!$AJ$22))))))</f>
        <v/>
      </c>
      <c r="G83" s="23">
        <f>ROUND((IF(79&lt;=2,'Rate Card'!$AD$22,IF(79&lt;=5,'Rate Card'!$AE$22,IF(79&lt;=10,'Rate Card'!$AF$22,IF(79&lt;=15,'Rate Card'!$AG$22,IF(79&lt;=20,'Rate Card'!$AH$22,IF(79&lt;=35,'Rate Card'!$AH$22+(79-20)*'Rate Card'!$AI$22,'Rate Card'!$AK$22+(79-35)*'Rate Card'!$AJ$22)))))))*(1+'Rate Card'!$C$6),2)+ROUND(ROUND((IF(79&lt;=2,'Rate Card'!$AD$22,IF(79&lt;=5,'Rate Card'!$AE$22,IF(79&lt;=10,'Rate Card'!$AF$22,IF(79&lt;=15,'Rate Card'!$AG$22,IF(79&lt;=20,'Rate Card'!$AH$22,IF(79&lt;=35,'Rate Card'!$AH$22+(79-20)*'Rate Card'!$AI$22,'Rate Card'!$AK$22+(79-35)*'Rate Card'!$AJ$22)))))))*(1+'Rate Card'!$C$6),2)*(IF('Rate Card'!$G$6="YES",'Rate Card'!$E$6,0)+IF('Rate Card'!$K$6="YES",'Rate Card'!$I$6,0)),2)</f>
        <v/>
      </c>
      <c r="H83" s="23">
        <f>IF(79&lt;=2,'Rate Card'!$AD$23,IF(79&lt;=5,'Rate Card'!$AE$23,IF(79&lt;=10,'Rate Card'!$AF$23,IF(79&lt;=15,'Rate Card'!$AG$23,IF(79&lt;=20,'Rate Card'!$AH$23,IF(79&lt;=35,'Rate Card'!$AH$23+(79-20)*'Rate Card'!$AI$23,'Rate Card'!$AK$23+(79-35)*'Rate Card'!$AJ$23))))))</f>
        <v/>
      </c>
      <c r="I83" s="23">
        <f>ROUND((IF(79&lt;=2,'Rate Card'!$AD$23,IF(79&lt;=5,'Rate Card'!$AE$23,IF(79&lt;=10,'Rate Card'!$AF$23,IF(79&lt;=15,'Rate Card'!$AG$23,IF(79&lt;=20,'Rate Card'!$AH$23,IF(79&lt;=35,'Rate Card'!$AH$23+(79-20)*'Rate Card'!$AI$23,'Rate Card'!$AK$23+(79-35)*'Rate Card'!$AJ$23)))))))*(1+'Rate Card'!$C$6),2)+ROUND(ROUND((IF(79&lt;=2,'Rate Card'!$AD$23,IF(79&lt;=5,'Rate Card'!$AE$23,IF(79&lt;=10,'Rate Card'!$AF$23,IF(79&lt;=15,'Rate Card'!$AG$23,IF(79&lt;=20,'Rate Card'!$AH$23,IF(79&lt;=35,'Rate Card'!$AH$23+(79-20)*'Rate Card'!$AI$23,'Rate Card'!$AK$23+(79-35)*'Rate Card'!$AJ$23)))))))*(1+'Rate Card'!$C$6),2)*(IF('Rate Card'!$G$6="YES",'Rate Card'!$E$6,0)+IF('Rate Card'!$K$6="YES",'Rate Card'!$I$6,0)),2)</f>
        <v/>
      </c>
      <c r="J83" s="10">
        <f>""</f>
        <v/>
      </c>
      <c r="K83" s="10">
        <f>""</f>
        <v/>
      </c>
      <c r="L83" s="10">
        <f>""</f>
        <v/>
      </c>
      <c r="M83" s="10">
        <f>""</f>
        <v/>
      </c>
      <c r="N83" s="23">
        <f>IF(79&lt;=2,'Rate Card'!$AD$119,IF(79&lt;=5,'Rate Card'!$AE$119,IF(79&lt;=10,'Rate Card'!$AF$119,IF(79&lt;=15,'Rate Card'!$AG$119,IF(79&lt;=20,'Rate Card'!$AH$119,IF(79&lt;=35,'Rate Card'!$AH$119+(79-20)*'Rate Card'!$AI$119,'Rate Card'!$AK$119+(79-35)*'Rate Card'!$AJ$119))))))</f>
        <v/>
      </c>
      <c r="O83" s="23">
        <f>ROUND((IF(79&lt;=2,'Rate Card'!$AD$119,IF(79&lt;=5,'Rate Card'!$AE$119,IF(79&lt;=10,'Rate Card'!$AF$119,IF(79&lt;=15,'Rate Card'!$AG$119,IF(79&lt;=20,'Rate Card'!$AH$119,IF(79&lt;=35,'Rate Card'!$AH$119+(79-20)*'Rate Card'!$AI$119,'Rate Card'!$AK$119+(79-35)*'Rate Card'!$AJ$119)))))))*(1+'Rate Card'!$C$6),2)+ROUND(ROUND((IF(79&lt;=2,'Rate Card'!$AD$119,IF(79&lt;=5,'Rate Card'!$AE$119,IF(79&lt;=10,'Rate Card'!$AF$119,IF(79&lt;=15,'Rate Card'!$AG$119,IF(79&lt;=20,'Rate Card'!$AH$119,IF(79&lt;=35,'Rate Card'!$AH$119+(79-20)*'Rate Card'!$AI$119,'Rate Card'!$AK$119+(79-35)*'Rate Card'!$AJ$119)))))))*(1+'Rate Card'!$C$6),2)*(IF('Rate Card'!$G$6="YES",'Rate Card'!$E$6,0)+IF('Rate Card'!$K$6="YES",'Rate Card'!$I$6,0)),2)</f>
        <v/>
      </c>
      <c r="P83" s="23">
        <f>IF(79&lt;=2,'Rate Card'!$AD$120,IF(79&lt;=5,'Rate Card'!$AE$120,IF(79&lt;=10,'Rate Card'!$AF$120,IF(79&lt;=15,'Rate Card'!$AG$120,IF(79&lt;=20,'Rate Card'!$AH$120,IF(79&lt;=35,'Rate Card'!$AH$120+(79-20)*'Rate Card'!$AI$120,'Rate Card'!$AK$120+(79-35)*'Rate Card'!$AJ$120))))))</f>
        <v/>
      </c>
      <c r="Q83" s="12">
        <f>ROUND((IF(79&lt;=2,'Rate Card'!$AD$120,IF(79&lt;=5,'Rate Card'!$AE$120,IF(79&lt;=10,'Rate Card'!$AF$120,IF(79&lt;=15,'Rate Card'!$AG$120,IF(79&lt;=20,'Rate Card'!$AH$120,IF(79&lt;=35,'Rate Card'!$AH$120+(79-20)*'Rate Card'!$AI$120,'Rate Card'!$AK$120+(79-35)*'Rate Card'!$AJ$120)))))))*(1+'Rate Card'!$C$6),2)+ROUND(ROUND((IF(79&lt;=2,'Rate Card'!$AD$120,IF(79&lt;=5,'Rate Card'!$AE$120,IF(79&lt;=10,'Rate Card'!$AF$120,IF(79&lt;=15,'Rate Card'!$AG$120,IF(79&lt;=20,'Rate Card'!$AH$120,IF(79&lt;=35,'Rate Card'!$AH$120+(79-20)*'Rate Card'!$AI$120,'Rate Card'!$AK$120+(79-35)*'Rate Card'!$AJ$120)))))))*(1+'Rate Card'!$C$6),2)*(IF('Rate Card'!$G$6="YES",'Rate Card'!$E$6,0)+IF('Rate Card'!$K$6="YES",'Rate Card'!$I$6,0)),2)</f>
        <v/>
      </c>
    </row>
    <row r="84">
      <c r="A84" s="75" t="n">
        <v>80</v>
      </c>
      <c r="B84" s="10">
        <f>""</f>
        <v/>
      </c>
      <c r="C84" s="10">
        <f>""</f>
        <v/>
      </c>
      <c r="D84" s="10">
        <f>""</f>
        <v/>
      </c>
      <c r="E84" s="10">
        <f>""</f>
        <v/>
      </c>
      <c r="F84" s="23">
        <f>IF(80&lt;=2,'Rate Card'!$AD$22,IF(80&lt;=5,'Rate Card'!$AE$22,IF(80&lt;=10,'Rate Card'!$AF$22,IF(80&lt;=15,'Rate Card'!$AG$22,IF(80&lt;=20,'Rate Card'!$AH$22,IF(80&lt;=35,'Rate Card'!$AH$22+(80-20)*'Rate Card'!$AI$22,'Rate Card'!$AK$22+(80-35)*'Rate Card'!$AJ$22))))))</f>
        <v/>
      </c>
      <c r="G84" s="23">
        <f>ROUND((IF(80&lt;=2,'Rate Card'!$AD$22,IF(80&lt;=5,'Rate Card'!$AE$22,IF(80&lt;=10,'Rate Card'!$AF$22,IF(80&lt;=15,'Rate Card'!$AG$22,IF(80&lt;=20,'Rate Card'!$AH$22,IF(80&lt;=35,'Rate Card'!$AH$22+(80-20)*'Rate Card'!$AI$22,'Rate Card'!$AK$22+(80-35)*'Rate Card'!$AJ$22)))))))*(1+'Rate Card'!$C$6),2)+ROUND(ROUND((IF(80&lt;=2,'Rate Card'!$AD$22,IF(80&lt;=5,'Rate Card'!$AE$22,IF(80&lt;=10,'Rate Card'!$AF$22,IF(80&lt;=15,'Rate Card'!$AG$22,IF(80&lt;=20,'Rate Card'!$AH$22,IF(80&lt;=35,'Rate Card'!$AH$22+(80-20)*'Rate Card'!$AI$22,'Rate Card'!$AK$22+(80-35)*'Rate Card'!$AJ$22)))))))*(1+'Rate Card'!$C$6),2)*(IF('Rate Card'!$G$6="YES",'Rate Card'!$E$6,0)+IF('Rate Card'!$K$6="YES",'Rate Card'!$I$6,0)),2)</f>
        <v/>
      </c>
      <c r="H84" s="23">
        <f>IF(80&lt;=2,'Rate Card'!$AD$23,IF(80&lt;=5,'Rate Card'!$AE$23,IF(80&lt;=10,'Rate Card'!$AF$23,IF(80&lt;=15,'Rate Card'!$AG$23,IF(80&lt;=20,'Rate Card'!$AH$23,IF(80&lt;=35,'Rate Card'!$AH$23+(80-20)*'Rate Card'!$AI$23,'Rate Card'!$AK$23+(80-35)*'Rate Card'!$AJ$23))))))</f>
        <v/>
      </c>
      <c r="I84" s="23">
        <f>ROUND((IF(80&lt;=2,'Rate Card'!$AD$23,IF(80&lt;=5,'Rate Card'!$AE$23,IF(80&lt;=10,'Rate Card'!$AF$23,IF(80&lt;=15,'Rate Card'!$AG$23,IF(80&lt;=20,'Rate Card'!$AH$23,IF(80&lt;=35,'Rate Card'!$AH$23+(80-20)*'Rate Card'!$AI$23,'Rate Card'!$AK$23+(80-35)*'Rate Card'!$AJ$23)))))))*(1+'Rate Card'!$C$6),2)+ROUND(ROUND((IF(80&lt;=2,'Rate Card'!$AD$23,IF(80&lt;=5,'Rate Card'!$AE$23,IF(80&lt;=10,'Rate Card'!$AF$23,IF(80&lt;=15,'Rate Card'!$AG$23,IF(80&lt;=20,'Rate Card'!$AH$23,IF(80&lt;=35,'Rate Card'!$AH$23+(80-20)*'Rate Card'!$AI$23,'Rate Card'!$AK$23+(80-35)*'Rate Card'!$AJ$23)))))))*(1+'Rate Card'!$C$6),2)*(IF('Rate Card'!$G$6="YES",'Rate Card'!$E$6,0)+IF('Rate Card'!$K$6="YES",'Rate Card'!$I$6,0)),2)</f>
        <v/>
      </c>
      <c r="J84" s="10">
        <f>""</f>
        <v/>
      </c>
      <c r="K84" s="10">
        <f>""</f>
        <v/>
      </c>
      <c r="L84" s="10">
        <f>""</f>
        <v/>
      </c>
      <c r="M84" s="10">
        <f>""</f>
        <v/>
      </c>
      <c r="N84" s="23">
        <f>IF(80&lt;=2,'Rate Card'!$AD$119,IF(80&lt;=5,'Rate Card'!$AE$119,IF(80&lt;=10,'Rate Card'!$AF$119,IF(80&lt;=15,'Rate Card'!$AG$119,IF(80&lt;=20,'Rate Card'!$AH$119,IF(80&lt;=35,'Rate Card'!$AH$119+(80-20)*'Rate Card'!$AI$119,'Rate Card'!$AK$119+(80-35)*'Rate Card'!$AJ$119))))))</f>
        <v/>
      </c>
      <c r="O84" s="23">
        <f>ROUND((IF(80&lt;=2,'Rate Card'!$AD$119,IF(80&lt;=5,'Rate Card'!$AE$119,IF(80&lt;=10,'Rate Card'!$AF$119,IF(80&lt;=15,'Rate Card'!$AG$119,IF(80&lt;=20,'Rate Card'!$AH$119,IF(80&lt;=35,'Rate Card'!$AH$119+(80-20)*'Rate Card'!$AI$119,'Rate Card'!$AK$119+(80-35)*'Rate Card'!$AJ$119)))))))*(1+'Rate Card'!$C$6),2)+ROUND(ROUND((IF(80&lt;=2,'Rate Card'!$AD$119,IF(80&lt;=5,'Rate Card'!$AE$119,IF(80&lt;=10,'Rate Card'!$AF$119,IF(80&lt;=15,'Rate Card'!$AG$119,IF(80&lt;=20,'Rate Card'!$AH$119,IF(80&lt;=35,'Rate Card'!$AH$119+(80-20)*'Rate Card'!$AI$119,'Rate Card'!$AK$119+(80-35)*'Rate Card'!$AJ$119)))))))*(1+'Rate Card'!$C$6),2)*(IF('Rate Card'!$G$6="YES",'Rate Card'!$E$6,0)+IF('Rate Card'!$K$6="YES",'Rate Card'!$I$6,0)),2)</f>
        <v/>
      </c>
      <c r="P84" s="23">
        <f>IF(80&lt;=2,'Rate Card'!$AD$120,IF(80&lt;=5,'Rate Card'!$AE$120,IF(80&lt;=10,'Rate Card'!$AF$120,IF(80&lt;=15,'Rate Card'!$AG$120,IF(80&lt;=20,'Rate Card'!$AH$120,IF(80&lt;=35,'Rate Card'!$AH$120+(80-20)*'Rate Card'!$AI$120,'Rate Card'!$AK$120+(80-35)*'Rate Card'!$AJ$120))))))</f>
        <v/>
      </c>
      <c r="Q84" s="12">
        <f>ROUND((IF(80&lt;=2,'Rate Card'!$AD$120,IF(80&lt;=5,'Rate Card'!$AE$120,IF(80&lt;=10,'Rate Card'!$AF$120,IF(80&lt;=15,'Rate Card'!$AG$120,IF(80&lt;=20,'Rate Card'!$AH$120,IF(80&lt;=35,'Rate Card'!$AH$120+(80-20)*'Rate Card'!$AI$120,'Rate Card'!$AK$120+(80-35)*'Rate Card'!$AJ$120)))))))*(1+'Rate Card'!$C$6),2)+ROUND(ROUND((IF(80&lt;=2,'Rate Card'!$AD$120,IF(80&lt;=5,'Rate Card'!$AE$120,IF(80&lt;=10,'Rate Card'!$AF$120,IF(80&lt;=15,'Rate Card'!$AG$120,IF(80&lt;=20,'Rate Card'!$AH$120,IF(80&lt;=35,'Rate Card'!$AH$120+(80-20)*'Rate Card'!$AI$120,'Rate Card'!$AK$120+(80-35)*'Rate Card'!$AJ$120)))))))*(1+'Rate Card'!$C$6),2)*(IF('Rate Card'!$G$6="YES",'Rate Card'!$E$6,0)+IF('Rate Card'!$K$6="YES",'Rate Card'!$I$6,0)),2)</f>
        <v/>
      </c>
    </row>
    <row r="85">
      <c r="A85" s="75" t="n">
        <v>81</v>
      </c>
      <c r="B85" s="10">
        <f>""</f>
        <v/>
      </c>
      <c r="C85" s="10">
        <f>""</f>
        <v/>
      </c>
      <c r="D85" s="10">
        <f>""</f>
        <v/>
      </c>
      <c r="E85" s="10">
        <f>""</f>
        <v/>
      </c>
      <c r="F85" s="23">
        <f>IF(81&lt;=2,'Rate Card'!$AD$22,IF(81&lt;=5,'Rate Card'!$AE$22,IF(81&lt;=10,'Rate Card'!$AF$22,IF(81&lt;=15,'Rate Card'!$AG$22,IF(81&lt;=20,'Rate Card'!$AH$22,IF(81&lt;=35,'Rate Card'!$AH$22+(81-20)*'Rate Card'!$AI$22,'Rate Card'!$AK$22+(81-35)*'Rate Card'!$AJ$22))))))</f>
        <v/>
      </c>
      <c r="G85" s="23">
        <f>ROUND((IF(81&lt;=2,'Rate Card'!$AD$22,IF(81&lt;=5,'Rate Card'!$AE$22,IF(81&lt;=10,'Rate Card'!$AF$22,IF(81&lt;=15,'Rate Card'!$AG$22,IF(81&lt;=20,'Rate Card'!$AH$22,IF(81&lt;=35,'Rate Card'!$AH$22+(81-20)*'Rate Card'!$AI$22,'Rate Card'!$AK$22+(81-35)*'Rate Card'!$AJ$22)))))))*(1+'Rate Card'!$C$6),2)+ROUND(ROUND((IF(81&lt;=2,'Rate Card'!$AD$22,IF(81&lt;=5,'Rate Card'!$AE$22,IF(81&lt;=10,'Rate Card'!$AF$22,IF(81&lt;=15,'Rate Card'!$AG$22,IF(81&lt;=20,'Rate Card'!$AH$22,IF(81&lt;=35,'Rate Card'!$AH$22+(81-20)*'Rate Card'!$AI$22,'Rate Card'!$AK$22+(81-35)*'Rate Card'!$AJ$22)))))))*(1+'Rate Card'!$C$6),2)*(IF('Rate Card'!$G$6="YES",'Rate Card'!$E$6,0)+IF('Rate Card'!$K$6="YES",'Rate Card'!$I$6,0)),2)</f>
        <v/>
      </c>
      <c r="H85" s="23">
        <f>IF(81&lt;=2,'Rate Card'!$AD$23,IF(81&lt;=5,'Rate Card'!$AE$23,IF(81&lt;=10,'Rate Card'!$AF$23,IF(81&lt;=15,'Rate Card'!$AG$23,IF(81&lt;=20,'Rate Card'!$AH$23,IF(81&lt;=35,'Rate Card'!$AH$23+(81-20)*'Rate Card'!$AI$23,'Rate Card'!$AK$23+(81-35)*'Rate Card'!$AJ$23))))))</f>
        <v/>
      </c>
      <c r="I85" s="23">
        <f>ROUND((IF(81&lt;=2,'Rate Card'!$AD$23,IF(81&lt;=5,'Rate Card'!$AE$23,IF(81&lt;=10,'Rate Card'!$AF$23,IF(81&lt;=15,'Rate Card'!$AG$23,IF(81&lt;=20,'Rate Card'!$AH$23,IF(81&lt;=35,'Rate Card'!$AH$23+(81-20)*'Rate Card'!$AI$23,'Rate Card'!$AK$23+(81-35)*'Rate Card'!$AJ$23)))))))*(1+'Rate Card'!$C$6),2)+ROUND(ROUND((IF(81&lt;=2,'Rate Card'!$AD$23,IF(81&lt;=5,'Rate Card'!$AE$23,IF(81&lt;=10,'Rate Card'!$AF$23,IF(81&lt;=15,'Rate Card'!$AG$23,IF(81&lt;=20,'Rate Card'!$AH$23,IF(81&lt;=35,'Rate Card'!$AH$23+(81-20)*'Rate Card'!$AI$23,'Rate Card'!$AK$23+(81-35)*'Rate Card'!$AJ$23)))))))*(1+'Rate Card'!$C$6),2)*(IF('Rate Card'!$G$6="YES",'Rate Card'!$E$6,0)+IF('Rate Card'!$K$6="YES",'Rate Card'!$I$6,0)),2)</f>
        <v/>
      </c>
      <c r="J85" s="10">
        <f>""</f>
        <v/>
      </c>
      <c r="K85" s="10">
        <f>""</f>
        <v/>
      </c>
      <c r="L85" s="10">
        <f>""</f>
        <v/>
      </c>
      <c r="M85" s="10">
        <f>""</f>
        <v/>
      </c>
      <c r="N85" s="23">
        <f>IF(81&lt;=2,'Rate Card'!$AD$119,IF(81&lt;=5,'Rate Card'!$AE$119,IF(81&lt;=10,'Rate Card'!$AF$119,IF(81&lt;=15,'Rate Card'!$AG$119,IF(81&lt;=20,'Rate Card'!$AH$119,IF(81&lt;=35,'Rate Card'!$AH$119+(81-20)*'Rate Card'!$AI$119,'Rate Card'!$AK$119+(81-35)*'Rate Card'!$AJ$119))))))</f>
        <v/>
      </c>
      <c r="O85" s="23">
        <f>ROUND((IF(81&lt;=2,'Rate Card'!$AD$119,IF(81&lt;=5,'Rate Card'!$AE$119,IF(81&lt;=10,'Rate Card'!$AF$119,IF(81&lt;=15,'Rate Card'!$AG$119,IF(81&lt;=20,'Rate Card'!$AH$119,IF(81&lt;=35,'Rate Card'!$AH$119+(81-20)*'Rate Card'!$AI$119,'Rate Card'!$AK$119+(81-35)*'Rate Card'!$AJ$119)))))))*(1+'Rate Card'!$C$6),2)+ROUND(ROUND((IF(81&lt;=2,'Rate Card'!$AD$119,IF(81&lt;=5,'Rate Card'!$AE$119,IF(81&lt;=10,'Rate Card'!$AF$119,IF(81&lt;=15,'Rate Card'!$AG$119,IF(81&lt;=20,'Rate Card'!$AH$119,IF(81&lt;=35,'Rate Card'!$AH$119+(81-20)*'Rate Card'!$AI$119,'Rate Card'!$AK$119+(81-35)*'Rate Card'!$AJ$119)))))))*(1+'Rate Card'!$C$6),2)*(IF('Rate Card'!$G$6="YES",'Rate Card'!$E$6,0)+IF('Rate Card'!$K$6="YES",'Rate Card'!$I$6,0)),2)</f>
        <v/>
      </c>
      <c r="P85" s="23">
        <f>IF(81&lt;=2,'Rate Card'!$AD$120,IF(81&lt;=5,'Rate Card'!$AE$120,IF(81&lt;=10,'Rate Card'!$AF$120,IF(81&lt;=15,'Rate Card'!$AG$120,IF(81&lt;=20,'Rate Card'!$AH$120,IF(81&lt;=35,'Rate Card'!$AH$120+(81-20)*'Rate Card'!$AI$120,'Rate Card'!$AK$120+(81-35)*'Rate Card'!$AJ$120))))))</f>
        <v/>
      </c>
      <c r="Q85" s="12">
        <f>ROUND((IF(81&lt;=2,'Rate Card'!$AD$120,IF(81&lt;=5,'Rate Card'!$AE$120,IF(81&lt;=10,'Rate Card'!$AF$120,IF(81&lt;=15,'Rate Card'!$AG$120,IF(81&lt;=20,'Rate Card'!$AH$120,IF(81&lt;=35,'Rate Card'!$AH$120+(81-20)*'Rate Card'!$AI$120,'Rate Card'!$AK$120+(81-35)*'Rate Card'!$AJ$120)))))))*(1+'Rate Card'!$C$6),2)+ROUND(ROUND((IF(81&lt;=2,'Rate Card'!$AD$120,IF(81&lt;=5,'Rate Card'!$AE$120,IF(81&lt;=10,'Rate Card'!$AF$120,IF(81&lt;=15,'Rate Card'!$AG$120,IF(81&lt;=20,'Rate Card'!$AH$120,IF(81&lt;=35,'Rate Card'!$AH$120+(81-20)*'Rate Card'!$AI$120,'Rate Card'!$AK$120+(81-35)*'Rate Card'!$AJ$120)))))))*(1+'Rate Card'!$C$6),2)*(IF('Rate Card'!$G$6="YES",'Rate Card'!$E$6,0)+IF('Rate Card'!$K$6="YES",'Rate Card'!$I$6,0)),2)</f>
        <v/>
      </c>
    </row>
    <row r="86">
      <c r="A86" s="75" t="n">
        <v>82</v>
      </c>
      <c r="B86" s="10">
        <f>""</f>
        <v/>
      </c>
      <c r="C86" s="10">
        <f>""</f>
        <v/>
      </c>
      <c r="D86" s="10">
        <f>""</f>
        <v/>
      </c>
      <c r="E86" s="10">
        <f>""</f>
        <v/>
      </c>
      <c r="F86" s="23">
        <f>IF(82&lt;=2,'Rate Card'!$AD$22,IF(82&lt;=5,'Rate Card'!$AE$22,IF(82&lt;=10,'Rate Card'!$AF$22,IF(82&lt;=15,'Rate Card'!$AG$22,IF(82&lt;=20,'Rate Card'!$AH$22,IF(82&lt;=35,'Rate Card'!$AH$22+(82-20)*'Rate Card'!$AI$22,'Rate Card'!$AK$22+(82-35)*'Rate Card'!$AJ$22))))))</f>
        <v/>
      </c>
      <c r="G86" s="23">
        <f>ROUND((IF(82&lt;=2,'Rate Card'!$AD$22,IF(82&lt;=5,'Rate Card'!$AE$22,IF(82&lt;=10,'Rate Card'!$AF$22,IF(82&lt;=15,'Rate Card'!$AG$22,IF(82&lt;=20,'Rate Card'!$AH$22,IF(82&lt;=35,'Rate Card'!$AH$22+(82-20)*'Rate Card'!$AI$22,'Rate Card'!$AK$22+(82-35)*'Rate Card'!$AJ$22)))))))*(1+'Rate Card'!$C$6),2)+ROUND(ROUND((IF(82&lt;=2,'Rate Card'!$AD$22,IF(82&lt;=5,'Rate Card'!$AE$22,IF(82&lt;=10,'Rate Card'!$AF$22,IF(82&lt;=15,'Rate Card'!$AG$22,IF(82&lt;=20,'Rate Card'!$AH$22,IF(82&lt;=35,'Rate Card'!$AH$22+(82-20)*'Rate Card'!$AI$22,'Rate Card'!$AK$22+(82-35)*'Rate Card'!$AJ$22)))))))*(1+'Rate Card'!$C$6),2)*(IF('Rate Card'!$G$6="YES",'Rate Card'!$E$6,0)+IF('Rate Card'!$K$6="YES",'Rate Card'!$I$6,0)),2)</f>
        <v/>
      </c>
      <c r="H86" s="23">
        <f>IF(82&lt;=2,'Rate Card'!$AD$23,IF(82&lt;=5,'Rate Card'!$AE$23,IF(82&lt;=10,'Rate Card'!$AF$23,IF(82&lt;=15,'Rate Card'!$AG$23,IF(82&lt;=20,'Rate Card'!$AH$23,IF(82&lt;=35,'Rate Card'!$AH$23+(82-20)*'Rate Card'!$AI$23,'Rate Card'!$AK$23+(82-35)*'Rate Card'!$AJ$23))))))</f>
        <v/>
      </c>
      <c r="I86" s="23">
        <f>ROUND((IF(82&lt;=2,'Rate Card'!$AD$23,IF(82&lt;=5,'Rate Card'!$AE$23,IF(82&lt;=10,'Rate Card'!$AF$23,IF(82&lt;=15,'Rate Card'!$AG$23,IF(82&lt;=20,'Rate Card'!$AH$23,IF(82&lt;=35,'Rate Card'!$AH$23+(82-20)*'Rate Card'!$AI$23,'Rate Card'!$AK$23+(82-35)*'Rate Card'!$AJ$23)))))))*(1+'Rate Card'!$C$6),2)+ROUND(ROUND((IF(82&lt;=2,'Rate Card'!$AD$23,IF(82&lt;=5,'Rate Card'!$AE$23,IF(82&lt;=10,'Rate Card'!$AF$23,IF(82&lt;=15,'Rate Card'!$AG$23,IF(82&lt;=20,'Rate Card'!$AH$23,IF(82&lt;=35,'Rate Card'!$AH$23+(82-20)*'Rate Card'!$AI$23,'Rate Card'!$AK$23+(82-35)*'Rate Card'!$AJ$23)))))))*(1+'Rate Card'!$C$6),2)*(IF('Rate Card'!$G$6="YES",'Rate Card'!$E$6,0)+IF('Rate Card'!$K$6="YES",'Rate Card'!$I$6,0)),2)</f>
        <v/>
      </c>
      <c r="J86" s="10">
        <f>""</f>
        <v/>
      </c>
      <c r="K86" s="10">
        <f>""</f>
        <v/>
      </c>
      <c r="L86" s="10">
        <f>""</f>
        <v/>
      </c>
      <c r="M86" s="10">
        <f>""</f>
        <v/>
      </c>
      <c r="N86" s="23">
        <f>IF(82&lt;=2,'Rate Card'!$AD$119,IF(82&lt;=5,'Rate Card'!$AE$119,IF(82&lt;=10,'Rate Card'!$AF$119,IF(82&lt;=15,'Rate Card'!$AG$119,IF(82&lt;=20,'Rate Card'!$AH$119,IF(82&lt;=35,'Rate Card'!$AH$119+(82-20)*'Rate Card'!$AI$119,'Rate Card'!$AK$119+(82-35)*'Rate Card'!$AJ$119))))))</f>
        <v/>
      </c>
      <c r="O86" s="23">
        <f>ROUND((IF(82&lt;=2,'Rate Card'!$AD$119,IF(82&lt;=5,'Rate Card'!$AE$119,IF(82&lt;=10,'Rate Card'!$AF$119,IF(82&lt;=15,'Rate Card'!$AG$119,IF(82&lt;=20,'Rate Card'!$AH$119,IF(82&lt;=35,'Rate Card'!$AH$119+(82-20)*'Rate Card'!$AI$119,'Rate Card'!$AK$119+(82-35)*'Rate Card'!$AJ$119)))))))*(1+'Rate Card'!$C$6),2)+ROUND(ROUND((IF(82&lt;=2,'Rate Card'!$AD$119,IF(82&lt;=5,'Rate Card'!$AE$119,IF(82&lt;=10,'Rate Card'!$AF$119,IF(82&lt;=15,'Rate Card'!$AG$119,IF(82&lt;=20,'Rate Card'!$AH$119,IF(82&lt;=35,'Rate Card'!$AH$119+(82-20)*'Rate Card'!$AI$119,'Rate Card'!$AK$119+(82-35)*'Rate Card'!$AJ$119)))))))*(1+'Rate Card'!$C$6),2)*(IF('Rate Card'!$G$6="YES",'Rate Card'!$E$6,0)+IF('Rate Card'!$K$6="YES",'Rate Card'!$I$6,0)),2)</f>
        <v/>
      </c>
      <c r="P86" s="23">
        <f>IF(82&lt;=2,'Rate Card'!$AD$120,IF(82&lt;=5,'Rate Card'!$AE$120,IF(82&lt;=10,'Rate Card'!$AF$120,IF(82&lt;=15,'Rate Card'!$AG$120,IF(82&lt;=20,'Rate Card'!$AH$120,IF(82&lt;=35,'Rate Card'!$AH$120+(82-20)*'Rate Card'!$AI$120,'Rate Card'!$AK$120+(82-35)*'Rate Card'!$AJ$120))))))</f>
        <v/>
      </c>
      <c r="Q86" s="12">
        <f>ROUND((IF(82&lt;=2,'Rate Card'!$AD$120,IF(82&lt;=5,'Rate Card'!$AE$120,IF(82&lt;=10,'Rate Card'!$AF$120,IF(82&lt;=15,'Rate Card'!$AG$120,IF(82&lt;=20,'Rate Card'!$AH$120,IF(82&lt;=35,'Rate Card'!$AH$120+(82-20)*'Rate Card'!$AI$120,'Rate Card'!$AK$120+(82-35)*'Rate Card'!$AJ$120)))))))*(1+'Rate Card'!$C$6),2)+ROUND(ROUND((IF(82&lt;=2,'Rate Card'!$AD$120,IF(82&lt;=5,'Rate Card'!$AE$120,IF(82&lt;=10,'Rate Card'!$AF$120,IF(82&lt;=15,'Rate Card'!$AG$120,IF(82&lt;=20,'Rate Card'!$AH$120,IF(82&lt;=35,'Rate Card'!$AH$120+(82-20)*'Rate Card'!$AI$120,'Rate Card'!$AK$120+(82-35)*'Rate Card'!$AJ$120)))))))*(1+'Rate Card'!$C$6),2)*(IF('Rate Card'!$G$6="YES",'Rate Card'!$E$6,0)+IF('Rate Card'!$K$6="YES",'Rate Card'!$I$6,0)),2)</f>
        <v/>
      </c>
    </row>
    <row r="87">
      <c r="A87" s="75" t="n">
        <v>83</v>
      </c>
      <c r="B87" s="10">
        <f>""</f>
        <v/>
      </c>
      <c r="C87" s="10">
        <f>""</f>
        <v/>
      </c>
      <c r="D87" s="10">
        <f>""</f>
        <v/>
      </c>
      <c r="E87" s="10">
        <f>""</f>
        <v/>
      </c>
      <c r="F87" s="23">
        <f>IF(83&lt;=2,'Rate Card'!$AD$22,IF(83&lt;=5,'Rate Card'!$AE$22,IF(83&lt;=10,'Rate Card'!$AF$22,IF(83&lt;=15,'Rate Card'!$AG$22,IF(83&lt;=20,'Rate Card'!$AH$22,IF(83&lt;=35,'Rate Card'!$AH$22+(83-20)*'Rate Card'!$AI$22,'Rate Card'!$AK$22+(83-35)*'Rate Card'!$AJ$22))))))</f>
        <v/>
      </c>
      <c r="G87" s="23">
        <f>ROUND((IF(83&lt;=2,'Rate Card'!$AD$22,IF(83&lt;=5,'Rate Card'!$AE$22,IF(83&lt;=10,'Rate Card'!$AF$22,IF(83&lt;=15,'Rate Card'!$AG$22,IF(83&lt;=20,'Rate Card'!$AH$22,IF(83&lt;=35,'Rate Card'!$AH$22+(83-20)*'Rate Card'!$AI$22,'Rate Card'!$AK$22+(83-35)*'Rate Card'!$AJ$22)))))))*(1+'Rate Card'!$C$6),2)+ROUND(ROUND((IF(83&lt;=2,'Rate Card'!$AD$22,IF(83&lt;=5,'Rate Card'!$AE$22,IF(83&lt;=10,'Rate Card'!$AF$22,IF(83&lt;=15,'Rate Card'!$AG$22,IF(83&lt;=20,'Rate Card'!$AH$22,IF(83&lt;=35,'Rate Card'!$AH$22+(83-20)*'Rate Card'!$AI$22,'Rate Card'!$AK$22+(83-35)*'Rate Card'!$AJ$22)))))))*(1+'Rate Card'!$C$6),2)*(IF('Rate Card'!$G$6="YES",'Rate Card'!$E$6,0)+IF('Rate Card'!$K$6="YES",'Rate Card'!$I$6,0)),2)</f>
        <v/>
      </c>
      <c r="H87" s="23">
        <f>IF(83&lt;=2,'Rate Card'!$AD$23,IF(83&lt;=5,'Rate Card'!$AE$23,IF(83&lt;=10,'Rate Card'!$AF$23,IF(83&lt;=15,'Rate Card'!$AG$23,IF(83&lt;=20,'Rate Card'!$AH$23,IF(83&lt;=35,'Rate Card'!$AH$23+(83-20)*'Rate Card'!$AI$23,'Rate Card'!$AK$23+(83-35)*'Rate Card'!$AJ$23))))))</f>
        <v/>
      </c>
      <c r="I87" s="23">
        <f>ROUND((IF(83&lt;=2,'Rate Card'!$AD$23,IF(83&lt;=5,'Rate Card'!$AE$23,IF(83&lt;=10,'Rate Card'!$AF$23,IF(83&lt;=15,'Rate Card'!$AG$23,IF(83&lt;=20,'Rate Card'!$AH$23,IF(83&lt;=35,'Rate Card'!$AH$23+(83-20)*'Rate Card'!$AI$23,'Rate Card'!$AK$23+(83-35)*'Rate Card'!$AJ$23)))))))*(1+'Rate Card'!$C$6),2)+ROUND(ROUND((IF(83&lt;=2,'Rate Card'!$AD$23,IF(83&lt;=5,'Rate Card'!$AE$23,IF(83&lt;=10,'Rate Card'!$AF$23,IF(83&lt;=15,'Rate Card'!$AG$23,IF(83&lt;=20,'Rate Card'!$AH$23,IF(83&lt;=35,'Rate Card'!$AH$23+(83-20)*'Rate Card'!$AI$23,'Rate Card'!$AK$23+(83-35)*'Rate Card'!$AJ$23)))))))*(1+'Rate Card'!$C$6),2)*(IF('Rate Card'!$G$6="YES",'Rate Card'!$E$6,0)+IF('Rate Card'!$K$6="YES",'Rate Card'!$I$6,0)),2)</f>
        <v/>
      </c>
      <c r="J87" s="10">
        <f>""</f>
        <v/>
      </c>
      <c r="K87" s="10">
        <f>""</f>
        <v/>
      </c>
      <c r="L87" s="10">
        <f>""</f>
        <v/>
      </c>
      <c r="M87" s="10">
        <f>""</f>
        <v/>
      </c>
      <c r="N87" s="23">
        <f>IF(83&lt;=2,'Rate Card'!$AD$119,IF(83&lt;=5,'Rate Card'!$AE$119,IF(83&lt;=10,'Rate Card'!$AF$119,IF(83&lt;=15,'Rate Card'!$AG$119,IF(83&lt;=20,'Rate Card'!$AH$119,IF(83&lt;=35,'Rate Card'!$AH$119+(83-20)*'Rate Card'!$AI$119,'Rate Card'!$AK$119+(83-35)*'Rate Card'!$AJ$119))))))</f>
        <v/>
      </c>
      <c r="O87" s="23">
        <f>ROUND((IF(83&lt;=2,'Rate Card'!$AD$119,IF(83&lt;=5,'Rate Card'!$AE$119,IF(83&lt;=10,'Rate Card'!$AF$119,IF(83&lt;=15,'Rate Card'!$AG$119,IF(83&lt;=20,'Rate Card'!$AH$119,IF(83&lt;=35,'Rate Card'!$AH$119+(83-20)*'Rate Card'!$AI$119,'Rate Card'!$AK$119+(83-35)*'Rate Card'!$AJ$119)))))))*(1+'Rate Card'!$C$6),2)+ROUND(ROUND((IF(83&lt;=2,'Rate Card'!$AD$119,IF(83&lt;=5,'Rate Card'!$AE$119,IF(83&lt;=10,'Rate Card'!$AF$119,IF(83&lt;=15,'Rate Card'!$AG$119,IF(83&lt;=20,'Rate Card'!$AH$119,IF(83&lt;=35,'Rate Card'!$AH$119+(83-20)*'Rate Card'!$AI$119,'Rate Card'!$AK$119+(83-35)*'Rate Card'!$AJ$119)))))))*(1+'Rate Card'!$C$6),2)*(IF('Rate Card'!$G$6="YES",'Rate Card'!$E$6,0)+IF('Rate Card'!$K$6="YES",'Rate Card'!$I$6,0)),2)</f>
        <v/>
      </c>
      <c r="P87" s="23">
        <f>IF(83&lt;=2,'Rate Card'!$AD$120,IF(83&lt;=5,'Rate Card'!$AE$120,IF(83&lt;=10,'Rate Card'!$AF$120,IF(83&lt;=15,'Rate Card'!$AG$120,IF(83&lt;=20,'Rate Card'!$AH$120,IF(83&lt;=35,'Rate Card'!$AH$120+(83-20)*'Rate Card'!$AI$120,'Rate Card'!$AK$120+(83-35)*'Rate Card'!$AJ$120))))))</f>
        <v/>
      </c>
      <c r="Q87" s="12">
        <f>ROUND((IF(83&lt;=2,'Rate Card'!$AD$120,IF(83&lt;=5,'Rate Card'!$AE$120,IF(83&lt;=10,'Rate Card'!$AF$120,IF(83&lt;=15,'Rate Card'!$AG$120,IF(83&lt;=20,'Rate Card'!$AH$120,IF(83&lt;=35,'Rate Card'!$AH$120+(83-20)*'Rate Card'!$AI$120,'Rate Card'!$AK$120+(83-35)*'Rate Card'!$AJ$120)))))))*(1+'Rate Card'!$C$6),2)+ROUND(ROUND((IF(83&lt;=2,'Rate Card'!$AD$120,IF(83&lt;=5,'Rate Card'!$AE$120,IF(83&lt;=10,'Rate Card'!$AF$120,IF(83&lt;=15,'Rate Card'!$AG$120,IF(83&lt;=20,'Rate Card'!$AH$120,IF(83&lt;=35,'Rate Card'!$AH$120+(83-20)*'Rate Card'!$AI$120,'Rate Card'!$AK$120+(83-35)*'Rate Card'!$AJ$120)))))))*(1+'Rate Card'!$C$6),2)*(IF('Rate Card'!$G$6="YES",'Rate Card'!$E$6,0)+IF('Rate Card'!$K$6="YES",'Rate Card'!$I$6,0)),2)</f>
        <v/>
      </c>
    </row>
    <row r="88">
      <c r="A88" s="75" t="n">
        <v>84</v>
      </c>
      <c r="B88" s="10">
        <f>""</f>
        <v/>
      </c>
      <c r="C88" s="10">
        <f>""</f>
        <v/>
      </c>
      <c r="D88" s="10">
        <f>""</f>
        <v/>
      </c>
      <c r="E88" s="10">
        <f>""</f>
        <v/>
      </c>
      <c r="F88" s="23">
        <f>IF(84&lt;=2,'Rate Card'!$AD$22,IF(84&lt;=5,'Rate Card'!$AE$22,IF(84&lt;=10,'Rate Card'!$AF$22,IF(84&lt;=15,'Rate Card'!$AG$22,IF(84&lt;=20,'Rate Card'!$AH$22,IF(84&lt;=35,'Rate Card'!$AH$22+(84-20)*'Rate Card'!$AI$22,'Rate Card'!$AK$22+(84-35)*'Rate Card'!$AJ$22))))))</f>
        <v/>
      </c>
      <c r="G88" s="23">
        <f>ROUND((IF(84&lt;=2,'Rate Card'!$AD$22,IF(84&lt;=5,'Rate Card'!$AE$22,IF(84&lt;=10,'Rate Card'!$AF$22,IF(84&lt;=15,'Rate Card'!$AG$22,IF(84&lt;=20,'Rate Card'!$AH$22,IF(84&lt;=35,'Rate Card'!$AH$22+(84-20)*'Rate Card'!$AI$22,'Rate Card'!$AK$22+(84-35)*'Rate Card'!$AJ$22)))))))*(1+'Rate Card'!$C$6),2)+ROUND(ROUND((IF(84&lt;=2,'Rate Card'!$AD$22,IF(84&lt;=5,'Rate Card'!$AE$22,IF(84&lt;=10,'Rate Card'!$AF$22,IF(84&lt;=15,'Rate Card'!$AG$22,IF(84&lt;=20,'Rate Card'!$AH$22,IF(84&lt;=35,'Rate Card'!$AH$22+(84-20)*'Rate Card'!$AI$22,'Rate Card'!$AK$22+(84-35)*'Rate Card'!$AJ$22)))))))*(1+'Rate Card'!$C$6),2)*(IF('Rate Card'!$G$6="YES",'Rate Card'!$E$6,0)+IF('Rate Card'!$K$6="YES",'Rate Card'!$I$6,0)),2)</f>
        <v/>
      </c>
      <c r="H88" s="23">
        <f>IF(84&lt;=2,'Rate Card'!$AD$23,IF(84&lt;=5,'Rate Card'!$AE$23,IF(84&lt;=10,'Rate Card'!$AF$23,IF(84&lt;=15,'Rate Card'!$AG$23,IF(84&lt;=20,'Rate Card'!$AH$23,IF(84&lt;=35,'Rate Card'!$AH$23+(84-20)*'Rate Card'!$AI$23,'Rate Card'!$AK$23+(84-35)*'Rate Card'!$AJ$23))))))</f>
        <v/>
      </c>
      <c r="I88" s="23">
        <f>ROUND((IF(84&lt;=2,'Rate Card'!$AD$23,IF(84&lt;=5,'Rate Card'!$AE$23,IF(84&lt;=10,'Rate Card'!$AF$23,IF(84&lt;=15,'Rate Card'!$AG$23,IF(84&lt;=20,'Rate Card'!$AH$23,IF(84&lt;=35,'Rate Card'!$AH$23+(84-20)*'Rate Card'!$AI$23,'Rate Card'!$AK$23+(84-35)*'Rate Card'!$AJ$23)))))))*(1+'Rate Card'!$C$6),2)+ROUND(ROUND((IF(84&lt;=2,'Rate Card'!$AD$23,IF(84&lt;=5,'Rate Card'!$AE$23,IF(84&lt;=10,'Rate Card'!$AF$23,IF(84&lt;=15,'Rate Card'!$AG$23,IF(84&lt;=20,'Rate Card'!$AH$23,IF(84&lt;=35,'Rate Card'!$AH$23+(84-20)*'Rate Card'!$AI$23,'Rate Card'!$AK$23+(84-35)*'Rate Card'!$AJ$23)))))))*(1+'Rate Card'!$C$6),2)*(IF('Rate Card'!$G$6="YES",'Rate Card'!$E$6,0)+IF('Rate Card'!$K$6="YES",'Rate Card'!$I$6,0)),2)</f>
        <v/>
      </c>
      <c r="J88" s="10">
        <f>""</f>
        <v/>
      </c>
      <c r="K88" s="10">
        <f>""</f>
        <v/>
      </c>
      <c r="L88" s="10">
        <f>""</f>
        <v/>
      </c>
      <c r="M88" s="10">
        <f>""</f>
        <v/>
      </c>
      <c r="N88" s="23">
        <f>IF(84&lt;=2,'Rate Card'!$AD$119,IF(84&lt;=5,'Rate Card'!$AE$119,IF(84&lt;=10,'Rate Card'!$AF$119,IF(84&lt;=15,'Rate Card'!$AG$119,IF(84&lt;=20,'Rate Card'!$AH$119,IF(84&lt;=35,'Rate Card'!$AH$119+(84-20)*'Rate Card'!$AI$119,'Rate Card'!$AK$119+(84-35)*'Rate Card'!$AJ$119))))))</f>
        <v/>
      </c>
      <c r="O88" s="23">
        <f>ROUND((IF(84&lt;=2,'Rate Card'!$AD$119,IF(84&lt;=5,'Rate Card'!$AE$119,IF(84&lt;=10,'Rate Card'!$AF$119,IF(84&lt;=15,'Rate Card'!$AG$119,IF(84&lt;=20,'Rate Card'!$AH$119,IF(84&lt;=35,'Rate Card'!$AH$119+(84-20)*'Rate Card'!$AI$119,'Rate Card'!$AK$119+(84-35)*'Rate Card'!$AJ$119)))))))*(1+'Rate Card'!$C$6),2)+ROUND(ROUND((IF(84&lt;=2,'Rate Card'!$AD$119,IF(84&lt;=5,'Rate Card'!$AE$119,IF(84&lt;=10,'Rate Card'!$AF$119,IF(84&lt;=15,'Rate Card'!$AG$119,IF(84&lt;=20,'Rate Card'!$AH$119,IF(84&lt;=35,'Rate Card'!$AH$119+(84-20)*'Rate Card'!$AI$119,'Rate Card'!$AK$119+(84-35)*'Rate Card'!$AJ$119)))))))*(1+'Rate Card'!$C$6),2)*(IF('Rate Card'!$G$6="YES",'Rate Card'!$E$6,0)+IF('Rate Card'!$K$6="YES",'Rate Card'!$I$6,0)),2)</f>
        <v/>
      </c>
      <c r="P88" s="23">
        <f>IF(84&lt;=2,'Rate Card'!$AD$120,IF(84&lt;=5,'Rate Card'!$AE$120,IF(84&lt;=10,'Rate Card'!$AF$120,IF(84&lt;=15,'Rate Card'!$AG$120,IF(84&lt;=20,'Rate Card'!$AH$120,IF(84&lt;=35,'Rate Card'!$AH$120+(84-20)*'Rate Card'!$AI$120,'Rate Card'!$AK$120+(84-35)*'Rate Card'!$AJ$120))))))</f>
        <v/>
      </c>
      <c r="Q88" s="12">
        <f>ROUND((IF(84&lt;=2,'Rate Card'!$AD$120,IF(84&lt;=5,'Rate Card'!$AE$120,IF(84&lt;=10,'Rate Card'!$AF$120,IF(84&lt;=15,'Rate Card'!$AG$120,IF(84&lt;=20,'Rate Card'!$AH$120,IF(84&lt;=35,'Rate Card'!$AH$120+(84-20)*'Rate Card'!$AI$120,'Rate Card'!$AK$120+(84-35)*'Rate Card'!$AJ$120)))))))*(1+'Rate Card'!$C$6),2)+ROUND(ROUND((IF(84&lt;=2,'Rate Card'!$AD$120,IF(84&lt;=5,'Rate Card'!$AE$120,IF(84&lt;=10,'Rate Card'!$AF$120,IF(84&lt;=15,'Rate Card'!$AG$120,IF(84&lt;=20,'Rate Card'!$AH$120,IF(84&lt;=35,'Rate Card'!$AH$120+(84-20)*'Rate Card'!$AI$120,'Rate Card'!$AK$120+(84-35)*'Rate Card'!$AJ$120)))))))*(1+'Rate Card'!$C$6),2)*(IF('Rate Card'!$G$6="YES",'Rate Card'!$E$6,0)+IF('Rate Card'!$K$6="YES",'Rate Card'!$I$6,0)),2)</f>
        <v/>
      </c>
    </row>
    <row r="89">
      <c r="A89" s="75" t="n">
        <v>85</v>
      </c>
      <c r="B89" s="10">
        <f>""</f>
        <v/>
      </c>
      <c r="C89" s="10">
        <f>""</f>
        <v/>
      </c>
      <c r="D89" s="10">
        <f>""</f>
        <v/>
      </c>
      <c r="E89" s="10">
        <f>""</f>
        <v/>
      </c>
      <c r="F89" s="23">
        <f>IF(85&lt;=2,'Rate Card'!$AD$22,IF(85&lt;=5,'Rate Card'!$AE$22,IF(85&lt;=10,'Rate Card'!$AF$22,IF(85&lt;=15,'Rate Card'!$AG$22,IF(85&lt;=20,'Rate Card'!$AH$22,IF(85&lt;=35,'Rate Card'!$AH$22+(85-20)*'Rate Card'!$AI$22,'Rate Card'!$AK$22+(85-35)*'Rate Card'!$AJ$22))))))</f>
        <v/>
      </c>
      <c r="G89" s="23">
        <f>ROUND((IF(85&lt;=2,'Rate Card'!$AD$22,IF(85&lt;=5,'Rate Card'!$AE$22,IF(85&lt;=10,'Rate Card'!$AF$22,IF(85&lt;=15,'Rate Card'!$AG$22,IF(85&lt;=20,'Rate Card'!$AH$22,IF(85&lt;=35,'Rate Card'!$AH$22+(85-20)*'Rate Card'!$AI$22,'Rate Card'!$AK$22+(85-35)*'Rate Card'!$AJ$22)))))))*(1+'Rate Card'!$C$6),2)+ROUND(ROUND((IF(85&lt;=2,'Rate Card'!$AD$22,IF(85&lt;=5,'Rate Card'!$AE$22,IF(85&lt;=10,'Rate Card'!$AF$22,IF(85&lt;=15,'Rate Card'!$AG$22,IF(85&lt;=20,'Rate Card'!$AH$22,IF(85&lt;=35,'Rate Card'!$AH$22+(85-20)*'Rate Card'!$AI$22,'Rate Card'!$AK$22+(85-35)*'Rate Card'!$AJ$22)))))))*(1+'Rate Card'!$C$6),2)*(IF('Rate Card'!$G$6="YES",'Rate Card'!$E$6,0)+IF('Rate Card'!$K$6="YES",'Rate Card'!$I$6,0)),2)</f>
        <v/>
      </c>
      <c r="H89" s="23">
        <f>IF(85&lt;=2,'Rate Card'!$AD$23,IF(85&lt;=5,'Rate Card'!$AE$23,IF(85&lt;=10,'Rate Card'!$AF$23,IF(85&lt;=15,'Rate Card'!$AG$23,IF(85&lt;=20,'Rate Card'!$AH$23,IF(85&lt;=35,'Rate Card'!$AH$23+(85-20)*'Rate Card'!$AI$23,'Rate Card'!$AK$23+(85-35)*'Rate Card'!$AJ$23))))))</f>
        <v/>
      </c>
      <c r="I89" s="23">
        <f>ROUND((IF(85&lt;=2,'Rate Card'!$AD$23,IF(85&lt;=5,'Rate Card'!$AE$23,IF(85&lt;=10,'Rate Card'!$AF$23,IF(85&lt;=15,'Rate Card'!$AG$23,IF(85&lt;=20,'Rate Card'!$AH$23,IF(85&lt;=35,'Rate Card'!$AH$23+(85-20)*'Rate Card'!$AI$23,'Rate Card'!$AK$23+(85-35)*'Rate Card'!$AJ$23)))))))*(1+'Rate Card'!$C$6),2)+ROUND(ROUND((IF(85&lt;=2,'Rate Card'!$AD$23,IF(85&lt;=5,'Rate Card'!$AE$23,IF(85&lt;=10,'Rate Card'!$AF$23,IF(85&lt;=15,'Rate Card'!$AG$23,IF(85&lt;=20,'Rate Card'!$AH$23,IF(85&lt;=35,'Rate Card'!$AH$23+(85-20)*'Rate Card'!$AI$23,'Rate Card'!$AK$23+(85-35)*'Rate Card'!$AJ$23)))))))*(1+'Rate Card'!$C$6),2)*(IF('Rate Card'!$G$6="YES",'Rate Card'!$E$6,0)+IF('Rate Card'!$K$6="YES",'Rate Card'!$I$6,0)),2)</f>
        <v/>
      </c>
      <c r="J89" s="10">
        <f>""</f>
        <v/>
      </c>
      <c r="K89" s="10">
        <f>""</f>
        <v/>
      </c>
      <c r="L89" s="10">
        <f>""</f>
        <v/>
      </c>
      <c r="M89" s="10">
        <f>""</f>
        <v/>
      </c>
      <c r="N89" s="23">
        <f>IF(85&lt;=2,'Rate Card'!$AD$119,IF(85&lt;=5,'Rate Card'!$AE$119,IF(85&lt;=10,'Rate Card'!$AF$119,IF(85&lt;=15,'Rate Card'!$AG$119,IF(85&lt;=20,'Rate Card'!$AH$119,IF(85&lt;=35,'Rate Card'!$AH$119+(85-20)*'Rate Card'!$AI$119,'Rate Card'!$AK$119+(85-35)*'Rate Card'!$AJ$119))))))</f>
        <v/>
      </c>
      <c r="O89" s="23">
        <f>ROUND((IF(85&lt;=2,'Rate Card'!$AD$119,IF(85&lt;=5,'Rate Card'!$AE$119,IF(85&lt;=10,'Rate Card'!$AF$119,IF(85&lt;=15,'Rate Card'!$AG$119,IF(85&lt;=20,'Rate Card'!$AH$119,IF(85&lt;=35,'Rate Card'!$AH$119+(85-20)*'Rate Card'!$AI$119,'Rate Card'!$AK$119+(85-35)*'Rate Card'!$AJ$119)))))))*(1+'Rate Card'!$C$6),2)+ROUND(ROUND((IF(85&lt;=2,'Rate Card'!$AD$119,IF(85&lt;=5,'Rate Card'!$AE$119,IF(85&lt;=10,'Rate Card'!$AF$119,IF(85&lt;=15,'Rate Card'!$AG$119,IF(85&lt;=20,'Rate Card'!$AH$119,IF(85&lt;=35,'Rate Card'!$AH$119+(85-20)*'Rate Card'!$AI$119,'Rate Card'!$AK$119+(85-35)*'Rate Card'!$AJ$119)))))))*(1+'Rate Card'!$C$6),2)*(IF('Rate Card'!$G$6="YES",'Rate Card'!$E$6,0)+IF('Rate Card'!$K$6="YES",'Rate Card'!$I$6,0)),2)</f>
        <v/>
      </c>
      <c r="P89" s="23">
        <f>IF(85&lt;=2,'Rate Card'!$AD$120,IF(85&lt;=5,'Rate Card'!$AE$120,IF(85&lt;=10,'Rate Card'!$AF$120,IF(85&lt;=15,'Rate Card'!$AG$120,IF(85&lt;=20,'Rate Card'!$AH$120,IF(85&lt;=35,'Rate Card'!$AH$120+(85-20)*'Rate Card'!$AI$120,'Rate Card'!$AK$120+(85-35)*'Rate Card'!$AJ$120))))))</f>
        <v/>
      </c>
      <c r="Q89" s="12">
        <f>ROUND((IF(85&lt;=2,'Rate Card'!$AD$120,IF(85&lt;=5,'Rate Card'!$AE$120,IF(85&lt;=10,'Rate Card'!$AF$120,IF(85&lt;=15,'Rate Card'!$AG$120,IF(85&lt;=20,'Rate Card'!$AH$120,IF(85&lt;=35,'Rate Card'!$AH$120+(85-20)*'Rate Card'!$AI$120,'Rate Card'!$AK$120+(85-35)*'Rate Card'!$AJ$120)))))))*(1+'Rate Card'!$C$6),2)+ROUND(ROUND((IF(85&lt;=2,'Rate Card'!$AD$120,IF(85&lt;=5,'Rate Card'!$AE$120,IF(85&lt;=10,'Rate Card'!$AF$120,IF(85&lt;=15,'Rate Card'!$AG$120,IF(85&lt;=20,'Rate Card'!$AH$120,IF(85&lt;=35,'Rate Card'!$AH$120+(85-20)*'Rate Card'!$AI$120,'Rate Card'!$AK$120+(85-35)*'Rate Card'!$AJ$120)))))))*(1+'Rate Card'!$C$6),2)*(IF('Rate Card'!$G$6="YES",'Rate Card'!$E$6,0)+IF('Rate Card'!$K$6="YES",'Rate Card'!$I$6,0)),2)</f>
        <v/>
      </c>
    </row>
    <row r="90">
      <c r="A90" s="75" t="n">
        <v>86</v>
      </c>
      <c r="B90" s="10">
        <f>""</f>
        <v/>
      </c>
      <c r="C90" s="10">
        <f>""</f>
        <v/>
      </c>
      <c r="D90" s="10">
        <f>""</f>
        <v/>
      </c>
      <c r="E90" s="10">
        <f>""</f>
        <v/>
      </c>
      <c r="F90" s="23">
        <f>IF(86&lt;=2,'Rate Card'!$AD$22,IF(86&lt;=5,'Rate Card'!$AE$22,IF(86&lt;=10,'Rate Card'!$AF$22,IF(86&lt;=15,'Rate Card'!$AG$22,IF(86&lt;=20,'Rate Card'!$AH$22,IF(86&lt;=35,'Rate Card'!$AH$22+(86-20)*'Rate Card'!$AI$22,'Rate Card'!$AK$22+(86-35)*'Rate Card'!$AJ$22))))))</f>
        <v/>
      </c>
      <c r="G90" s="23">
        <f>ROUND((IF(86&lt;=2,'Rate Card'!$AD$22,IF(86&lt;=5,'Rate Card'!$AE$22,IF(86&lt;=10,'Rate Card'!$AF$22,IF(86&lt;=15,'Rate Card'!$AG$22,IF(86&lt;=20,'Rate Card'!$AH$22,IF(86&lt;=35,'Rate Card'!$AH$22+(86-20)*'Rate Card'!$AI$22,'Rate Card'!$AK$22+(86-35)*'Rate Card'!$AJ$22)))))))*(1+'Rate Card'!$C$6),2)+ROUND(ROUND((IF(86&lt;=2,'Rate Card'!$AD$22,IF(86&lt;=5,'Rate Card'!$AE$22,IF(86&lt;=10,'Rate Card'!$AF$22,IF(86&lt;=15,'Rate Card'!$AG$22,IF(86&lt;=20,'Rate Card'!$AH$22,IF(86&lt;=35,'Rate Card'!$AH$22+(86-20)*'Rate Card'!$AI$22,'Rate Card'!$AK$22+(86-35)*'Rate Card'!$AJ$22)))))))*(1+'Rate Card'!$C$6),2)*(IF('Rate Card'!$G$6="YES",'Rate Card'!$E$6,0)+IF('Rate Card'!$K$6="YES",'Rate Card'!$I$6,0)),2)</f>
        <v/>
      </c>
      <c r="H90" s="23">
        <f>IF(86&lt;=2,'Rate Card'!$AD$23,IF(86&lt;=5,'Rate Card'!$AE$23,IF(86&lt;=10,'Rate Card'!$AF$23,IF(86&lt;=15,'Rate Card'!$AG$23,IF(86&lt;=20,'Rate Card'!$AH$23,IF(86&lt;=35,'Rate Card'!$AH$23+(86-20)*'Rate Card'!$AI$23,'Rate Card'!$AK$23+(86-35)*'Rate Card'!$AJ$23))))))</f>
        <v/>
      </c>
      <c r="I90" s="23">
        <f>ROUND((IF(86&lt;=2,'Rate Card'!$AD$23,IF(86&lt;=5,'Rate Card'!$AE$23,IF(86&lt;=10,'Rate Card'!$AF$23,IF(86&lt;=15,'Rate Card'!$AG$23,IF(86&lt;=20,'Rate Card'!$AH$23,IF(86&lt;=35,'Rate Card'!$AH$23+(86-20)*'Rate Card'!$AI$23,'Rate Card'!$AK$23+(86-35)*'Rate Card'!$AJ$23)))))))*(1+'Rate Card'!$C$6),2)+ROUND(ROUND((IF(86&lt;=2,'Rate Card'!$AD$23,IF(86&lt;=5,'Rate Card'!$AE$23,IF(86&lt;=10,'Rate Card'!$AF$23,IF(86&lt;=15,'Rate Card'!$AG$23,IF(86&lt;=20,'Rate Card'!$AH$23,IF(86&lt;=35,'Rate Card'!$AH$23+(86-20)*'Rate Card'!$AI$23,'Rate Card'!$AK$23+(86-35)*'Rate Card'!$AJ$23)))))))*(1+'Rate Card'!$C$6),2)*(IF('Rate Card'!$G$6="YES",'Rate Card'!$E$6,0)+IF('Rate Card'!$K$6="YES",'Rate Card'!$I$6,0)),2)</f>
        <v/>
      </c>
      <c r="J90" s="10">
        <f>""</f>
        <v/>
      </c>
      <c r="K90" s="10">
        <f>""</f>
        <v/>
      </c>
      <c r="L90" s="10">
        <f>""</f>
        <v/>
      </c>
      <c r="M90" s="10">
        <f>""</f>
        <v/>
      </c>
      <c r="N90" s="23">
        <f>IF(86&lt;=2,'Rate Card'!$AD$119,IF(86&lt;=5,'Rate Card'!$AE$119,IF(86&lt;=10,'Rate Card'!$AF$119,IF(86&lt;=15,'Rate Card'!$AG$119,IF(86&lt;=20,'Rate Card'!$AH$119,IF(86&lt;=35,'Rate Card'!$AH$119+(86-20)*'Rate Card'!$AI$119,'Rate Card'!$AK$119+(86-35)*'Rate Card'!$AJ$119))))))</f>
        <v/>
      </c>
      <c r="O90" s="23">
        <f>ROUND((IF(86&lt;=2,'Rate Card'!$AD$119,IF(86&lt;=5,'Rate Card'!$AE$119,IF(86&lt;=10,'Rate Card'!$AF$119,IF(86&lt;=15,'Rate Card'!$AG$119,IF(86&lt;=20,'Rate Card'!$AH$119,IF(86&lt;=35,'Rate Card'!$AH$119+(86-20)*'Rate Card'!$AI$119,'Rate Card'!$AK$119+(86-35)*'Rate Card'!$AJ$119)))))))*(1+'Rate Card'!$C$6),2)+ROUND(ROUND((IF(86&lt;=2,'Rate Card'!$AD$119,IF(86&lt;=5,'Rate Card'!$AE$119,IF(86&lt;=10,'Rate Card'!$AF$119,IF(86&lt;=15,'Rate Card'!$AG$119,IF(86&lt;=20,'Rate Card'!$AH$119,IF(86&lt;=35,'Rate Card'!$AH$119+(86-20)*'Rate Card'!$AI$119,'Rate Card'!$AK$119+(86-35)*'Rate Card'!$AJ$119)))))))*(1+'Rate Card'!$C$6),2)*(IF('Rate Card'!$G$6="YES",'Rate Card'!$E$6,0)+IF('Rate Card'!$K$6="YES",'Rate Card'!$I$6,0)),2)</f>
        <v/>
      </c>
      <c r="P90" s="23">
        <f>IF(86&lt;=2,'Rate Card'!$AD$120,IF(86&lt;=5,'Rate Card'!$AE$120,IF(86&lt;=10,'Rate Card'!$AF$120,IF(86&lt;=15,'Rate Card'!$AG$120,IF(86&lt;=20,'Rate Card'!$AH$120,IF(86&lt;=35,'Rate Card'!$AH$120+(86-20)*'Rate Card'!$AI$120,'Rate Card'!$AK$120+(86-35)*'Rate Card'!$AJ$120))))))</f>
        <v/>
      </c>
      <c r="Q90" s="12">
        <f>ROUND((IF(86&lt;=2,'Rate Card'!$AD$120,IF(86&lt;=5,'Rate Card'!$AE$120,IF(86&lt;=10,'Rate Card'!$AF$120,IF(86&lt;=15,'Rate Card'!$AG$120,IF(86&lt;=20,'Rate Card'!$AH$120,IF(86&lt;=35,'Rate Card'!$AH$120+(86-20)*'Rate Card'!$AI$120,'Rate Card'!$AK$120+(86-35)*'Rate Card'!$AJ$120)))))))*(1+'Rate Card'!$C$6),2)+ROUND(ROUND((IF(86&lt;=2,'Rate Card'!$AD$120,IF(86&lt;=5,'Rate Card'!$AE$120,IF(86&lt;=10,'Rate Card'!$AF$120,IF(86&lt;=15,'Rate Card'!$AG$120,IF(86&lt;=20,'Rate Card'!$AH$120,IF(86&lt;=35,'Rate Card'!$AH$120+(86-20)*'Rate Card'!$AI$120,'Rate Card'!$AK$120+(86-35)*'Rate Card'!$AJ$120)))))))*(1+'Rate Card'!$C$6),2)*(IF('Rate Card'!$G$6="YES",'Rate Card'!$E$6,0)+IF('Rate Card'!$K$6="YES",'Rate Card'!$I$6,0)),2)</f>
        <v/>
      </c>
    </row>
    <row r="91">
      <c r="A91" s="75" t="n">
        <v>87</v>
      </c>
      <c r="B91" s="10">
        <f>""</f>
        <v/>
      </c>
      <c r="C91" s="10">
        <f>""</f>
        <v/>
      </c>
      <c r="D91" s="10">
        <f>""</f>
        <v/>
      </c>
      <c r="E91" s="10">
        <f>""</f>
        <v/>
      </c>
      <c r="F91" s="23">
        <f>IF(87&lt;=2,'Rate Card'!$AD$22,IF(87&lt;=5,'Rate Card'!$AE$22,IF(87&lt;=10,'Rate Card'!$AF$22,IF(87&lt;=15,'Rate Card'!$AG$22,IF(87&lt;=20,'Rate Card'!$AH$22,IF(87&lt;=35,'Rate Card'!$AH$22+(87-20)*'Rate Card'!$AI$22,'Rate Card'!$AK$22+(87-35)*'Rate Card'!$AJ$22))))))</f>
        <v/>
      </c>
      <c r="G91" s="23">
        <f>ROUND((IF(87&lt;=2,'Rate Card'!$AD$22,IF(87&lt;=5,'Rate Card'!$AE$22,IF(87&lt;=10,'Rate Card'!$AF$22,IF(87&lt;=15,'Rate Card'!$AG$22,IF(87&lt;=20,'Rate Card'!$AH$22,IF(87&lt;=35,'Rate Card'!$AH$22+(87-20)*'Rate Card'!$AI$22,'Rate Card'!$AK$22+(87-35)*'Rate Card'!$AJ$22)))))))*(1+'Rate Card'!$C$6),2)+ROUND(ROUND((IF(87&lt;=2,'Rate Card'!$AD$22,IF(87&lt;=5,'Rate Card'!$AE$22,IF(87&lt;=10,'Rate Card'!$AF$22,IF(87&lt;=15,'Rate Card'!$AG$22,IF(87&lt;=20,'Rate Card'!$AH$22,IF(87&lt;=35,'Rate Card'!$AH$22+(87-20)*'Rate Card'!$AI$22,'Rate Card'!$AK$22+(87-35)*'Rate Card'!$AJ$22)))))))*(1+'Rate Card'!$C$6),2)*(IF('Rate Card'!$G$6="YES",'Rate Card'!$E$6,0)+IF('Rate Card'!$K$6="YES",'Rate Card'!$I$6,0)),2)</f>
        <v/>
      </c>
      <c r="H91" s="23">
        <f>IF(87&lt;=2,'Rate Card'!$AD$23,IF(87&lt;=5,'Rate Card'!$AE$23,IF(87&lt;=10,'Rate Card'!$AF$23,IF(87&lt;=15,'Rate Card'!$AG$23,IF(87&lt;=20,'Rate Card'!$AH$23,IF(87&lt;=35,'Rate Card'!$AH$23+(87-20)*'Rate Card'!$AI$23,'Rate Card'!$AK$23+(87-35)*'Rate Card'!$AJ$23))))))</f>
        <v/>
      </c>
      <c r="I91" s="23">
        <f>ROUND((IF(87&lt;=2,'Rate Card'!$AD$23,IF(87&lt;=5,'Rate Card'!$AE$23,IF(87&lt;=10,'Rate Card'!$AF$23,IF(87&lt;=15,'Rate Card'!$AG$23,IF(87&lt;=20,'Rate Card'!$AH$23,IF(87&lt;=35,'Rate Card'!$AH$23+(87-20)*'Rate Card'!$AI$23,'Rate Card'!$AK$23+(87-35)*'Rate Card'!$AJ$23)))))))*(1+'Rate Card'!$C$6),2)+ROUND(ROUND((IF(87&lt;=2,'Rate Card'!$AD$23,IF(87&lt;=5,'Rate Card'!$AE$23,IF(87&lt;=10,'Rate Card'!$AF$23,IF(87&lt;=15,'Rate Card'!$AG$23,IF(87&lt;=20,'Rate Card'!$AH$23,IF(87&lt;=35,'Rate Card'!$AH$23+(87-20)*'Rate Card'!$AI$23,'Rate Card'!$AK$23+(87-35)*'Rate Card'!$AJ$23)))))))*(1+'Rate Card'!$C$6),2)*(IF('Rate Card'!$G$6="YES",'Rate Card'!$E$6,0)+IF('Rate Card'!$K$6="YES",'Rate Card'!$I$6,0)),2)</f>
        <v/>
      </c>
      <c r="J91" s="10">
        <f>""</f>
        <v/>
      </c>
      <c r="K91" s="10">
        <f>""</f>
        <v/>
      </c>
      <c r="L91" s="10">
        <f>""</f>
        <v/>
      </c>
      <c r="M91" s="10">
        <f>""</f>
        <v/>
      </c>
      <c r="N91" s="23">
        <f>IF(87&lt;=2,'Rate Card'!$AD$119,IF(87&lt;=5,'Rate Card'!$AE$119,IF(87&lt;=10,'Rate Card'!$AF$119,IF(87&lt;=15,'Rate Card'!$AG$119,IF(87&lt;=20,'Rate Card'!$AH$119,IF(87&lt;=35,'Rate Card'!$AH$119+(87-20)*'Rate Card'!$AI$119,'Rate Card'!$AK$119+(87-35)*'Rate Card'!$AJ$119))))))</f>
        <v/>
      </c>
      <c r="O91" s="23">
        <f>ROUND((IF(87&lt;=2,'Rate Card'!$AD$119,IF(87&lt;=5,'Rate Card'!$AE$119,IF(87&lt;=10,'Rate Card'!$AF$119,IF(87&lt;=15,'Rate Card'!$AG$119,IF(87&lt;=20,'Rate Card'!$AH$119,IF(87&lt;=35,'Rate Card'!$AH$119+(87-20)*'Rate Card'!$AI$119,'Rate Card'!$AK$119+(87-35)*'Rate Card'!$AJ$119)))))))*(1+'Rate Card'!$C$6),2)+ROUND(ROUND((IF(87&lt;=2,'Rate Card'!$AD$119,IF(87&lt;=5,'Rate Card'!$AE$119,IF(87&lt;=10,'Rate Card'!$AF$119,IF(87&lt;=15,'Rate Card'!$AG$119,IF(87&lt;=20,'Rate Card'!$AH$119,IF(87&lt;=35,'Rate Card'!$AH$119+(87-20)*'Rate Card'!$AI$119,'Rate Card'!$AK$119+(87-35)*'Rate Card'!$AJ$119)))))))*(1+'Rate Card'!$C$6),2)*(IF('Rate Card'!$G$6="YES",'Rate Card'!$E$6,0)+IF('Rate Card'!$K$6="YES",'Rate Card'!$I$6,0)),2)</f>
        <v/>
      </c>
      <c r="P91" s="23">
        <f>IF(87&lt;=2,'Rate Card'!$AD$120,IF(87&lt;=5,'Rate Card'!$AE$120,IF(87&lt;=10,'Rate Card'!$AF$120,IF(87&lt;=15,'Rate Card'!$AG$120,IF(87&lt;=20,'Rate Card'!$AH$120,IF(87&lt;=35,'Rate Card'!$AH$120+(87-20)*'Rate Card'!$AI$120,'Rate Card'!$AK$120+(87-35)*'Rate Card'!$AJ$120))))))</f>
        <v/>
      </c>
      <c r="Q91" s="12">
        <f>ROUND((IF(87&lt;=2,'Rate Card'!$AD$120,IF(87&lt;=5,'Rate Card'!$AE$120,IF(87&lt;=10,'Rate Card'!$AF$120,IF(87&lt;=15,'Rate Card'!$AG$120,IF(87&lt;=20,'Rate Card'!$AH$120,IF(87&lt;=35,'Rate Card'!$AH$120+(87-20)*'Rate Card'!$AI$120,'Rate Card'!$AK$120+(87-35)*'Rate Card'!$AJ$120)))))))*(1+'Rate Card'!$C$6),2)+ROUND(ROUND((IF(87&lt;=2,'Rate Card'!$AD$120,IF(87&lt;=5,'Rate Card'!$AE$120,IF(87&lt;=10,'Rate Card'!$AF$120,IF(87&lt;=15,'Rate Card'!$AG$120,IF(87&lt;=20,'Rate Card'!$AH$120,IF(87&lt;=35,'Rate Card'!$AH$120+(87-20)*'Rate Card'!$AI$120,'Rate Card'!$AK$120+(87-35)*'Rate Card'!$AJ$120)))))))*(1+'Rate Card'!$C$6),2)*(IF('Rate Card'!$G$6="YES",'Rate Card'!$E$6,0)+IF('Rate Card'!$K$6="YES",'Rate Card'!$I$6,0)),2)</f>
        <v/>
      </c>
    </row>
    <row r="92">
      <c r="A92" s="75" t="n">
        <v>88</v>
      </c>
      <c r="B92" s="10">
        <f>""</f>
        <v/>
      </c>
      <c r="C92" s="10">
        <f>""</f>
        <v/>
      </c>
      <c r="D92" s="10">
        <f>""</f>
        <v/>
      </c>
      <c r="E92" s="10">
        <f>""</f>
        <v/>
      </c>
      <c r="F92" s="23">
        <f>IF(88&lt;=2,'Rate Card'!$AD$22,IF(88&lt;=5,'Rate Card'!$AE$22,IF(88&lt;=10,'Rate Card'!$AF$22,IF(88&lt;=15,'Rate Card'!$AG$22,IF(88&lt;=20,'Rate Card'!$AH$22,IF(88&lt;=35,'Rate Card'!$AH$22+(88-20)*'Rate Card'!$AI$22,'Rate Card'!$AK$22+(88-35)*'Rate Card'!$AJ$22))))))</f>
        <v/>
      </c>
      <c r="G92" s="23">
        <f>ROUND((IF(88&lt;=2,'Rate Card'!$AD$22,IF(88&lt;=5,'Rate Card'!$AE$22,IF(88&lt;=10,'Rate Card'!$AF$22,IF(88&lt;=15,'Rate Card'!$AG$22,IF(88&lt;=20,'Rate Card'!$AH$22,IF(88&lt;=35,'Rate Card'!$AH$22+(88-20)*'Rate Card'!$AI$22,'Rate Card'!$AK$22+(88-35)*'Rate Card'!$AJ$22)))))))*(1+'Rate Card'!$C$6),2)+ROUND(ROUND((IF(88&lt;=2,'Rate Card'!$AD$22,IF(88&lt;=5,'Rate Card'!$AE$22,IF(88&lt;=10,'Rate Card'!$AF$22,IF(88&lt;=15,'Rate Card'!$AG$22,IF(88&lt;=20,'Rate Card'!$AH$22,IF(88&lt;=35,'Rate Card'!$AH$22+(88-20)*'Rate Card'!$AI$22,'Rate Card'!$AK$22+(88-35)*'Rate Card'!$AJ$22)))))))*(1+'Rate Card'!$C$6),2)*(IF('Rate Card'!$G$6="YES",'Rate Card'!$E$6,0)+IF('Rate Card'!$K$6="YES",'Rate Card'!$I$6,0)),2)</f>
        <v/>
      </c>
      <c r="H92" s="23">
        <f>IF(88&lt;=2,'Rate Card'!$AD$23,IF(88&lt;=5,'Rate Card'!$AE$23,IF(88&lt;=10,'Rate Card'!$AF$23,IF(88&lt;=15,'Rate Card'!$AG$23,IF(88&lt;=20,'Rate Card'!$AH$23,IF(88&lt;=35,'Rate Card'!$AH$23+(88-20)*'Rate Card'!$AI$23,'Rate Card'!$AK$23+(88-35)*'Rate Card'!$AJ$23))))))</f>
        <v/>
      </c>
      <c r="I92" s="23">
        <f>ROUND((IF(88&lt;=2,'Rate Card'!$AD$23,IF(88&lt;=5,'Rate Card'!$AE$23,IF(88&lt;=10,'Rate Card'!$AF$23,IF(88&lt;=15,'Rate Card'!$AG$23,IF(88&lt;=20,'Rate Card'!$AH$23,IF(88&lt;=35,'Rate Card'!$AH$23+(88-20)*'Rate Card'!$AI$23,'Rate Card'!$AK$23+(88-35)*'Rate Card'!$AJ$23)))))))*(1+'Rate Card'!$C$6),2)+ROUND(ROUND((IF(88&lt;=2,'Rate Card'!$AD$23,IF(88&lt;=5,'Rate Card'!$AE$23,IF(88&lt;=10,'Rate Card'!$AF$23,IF(88&lt;=15,'Rate Card'!$AG$23,IF(88&lt;=20,'Rate Card'!$AH$23,IF(88&lt;=35,'Rate Card'!$AH$23+(88-20)*'Rate Card'!$AI$23,'Rate Card'!$AK$23+(88-35)*'Rate Card'!$AJ$23)))))))*(1+'Rate Card'!$C$6),2)*(IF('Rate Card'!$G$6="YES",'Rate Card'!$E$6,0)+IF('Rate Card'!$K$6="YES",'Rate Card'!$I$6,0)),2)</f>
        <v/>
      </c>
      <c r="J92" s="10">
        <f>""</f>
        <v/>
      </c>
      <c r="K92" s="10">
        <f>""</f>
        <v/>
      </c>
      <c r="L92" s="10">
        <f>""</f>
        <v/>
      </c>
      <c r="M92" s="10">
        <f>""</f>
        <v/>
      </c>
      <c r="N92" s="23">
        <f>IF(88&lt;=2,'Rate Card'!$AD$119,IF(88&lt;=5,'Rate Card'!$AE$119,IF(88&lt;=10,'Rate Card'!$AF$119,IF(88&lt;=15,'Rate Card'!$AG$119,IF(88&lt;=20,'Rate Card'!$AH$119,IF(88&lt;=35,'Rate Card'!$AH$119+(88-20)*'Rate Card'!$AI$119,'Rate Card'!$AK$119+(88-35)*'Rate Card'!$AJ$119))))))</f>
        <v/>
      </c>
      <c r="O92" s="23">
        <f>ROUND((IF(88&lt;=2,'Rate Card'!$AD$119,IF(88&lt;=5,'Rate Card'!$AE$119,IF(88&lt;=10,'Rate Card'!$AF$119,IF(88&lt;=15,'Rate Card'!$AG$119,IF(88&lt;=20,'Rate Card'!$AH$119,IF(88&lt;=35,'Rate Card'!$AH$119+(88-20)*'Rate Card'!$AI$119,'Rate Card'!$AK$119+(88-35)*'Rate Card'!$AJ$119)))))))*(1+'Rate Card'!$C$6),2)+ROUND(ROUND((IF(88&lt;=2,'Rate Card'!$AD$119,IF(88&lt;=5,'Rate Card'!$AE$119,IF(88&lt;=10,'Rate Card'!$AF$119,IF(88&lt;=15,'Rate Card'!$AG$119,IF(88&lt;=20,'Rate Card'!$AH$119,IF(88&lt;=35,'Rate Card'!$AH$119+(88-20)*'Rate Card'!$AI$119,'Rate Card'!$AK$119+(88-35)*'Rate Card'!$AJ$119)))))))*(1+'Rate Card'!$C$6),2)*(IF('Rate Card'!$G$6="YES",'Rate Card'!$E$6,0)+IF('Rate Card'!$K$6="YES",'Rate Card'!$I$6,0)),2)</f>
        <v/>
      </c>
      <c r="P92" s="23">
        <f>IF(88&lt;=2,'Rate Card'!$AD$120,IF(88&lt;=5,'Rate Card'!$AE$120,IF(88&lt;=10,'Rate Card'!$AF$120,IF(88&lt;=15,'Rate Card'!$AG$120,IF(88&lt;=20,'Rate Card'!$AH$120,IF(88&lt;=35,'Rate Card'!$AH$120+(88-20)*'Rate Card'!$AI$120,'Rate Card'!$AK$120+(88-35)*'Rate Card'!$AJ$120))))))</f>
        <v/>
      </c>
      <c r="Q92" s="12">
        <f>ROUND((IF(88&lt;=2,'Rate Card'!$AD$120,IF(88&lt;=5,'Rate Card'!$AE$120,IF(88&lt;=10,'Rate Card'!$AF$120,IF(88&lt;=15,'Rate Card'!$AG$120,IF(88&lt;=20,'Rate Card'!$AH$120,IF(88&lt;=35,'Rate Card'!$AH$120+(88-20)*'Rate Card'!$AI$120,'Rate Card'!$AK$120+(88-35)*'Rate Card'!$AJ$120)))))))*(1+'Rate Card'!$C$6),2)+ROUND(ROUND((IF(88&lt;=2,'Rate Card'!$AD$120,IF(88&lt;=5,'Rate Card'!$AE$120,IF(88&lt;=10,'Rate Card'!$AF$120,IF(88&lt;=15,'Rate Card'!$AG$120,IF(88&lt;=20,'Rate Card'!$AH$120,IF(88&lt;=35,'Rate Card'!$AH$120+(88-20)*'Rate Card'!$AI$120,'Rate Card'!$AK$120+(88-35)*'Rate Card'!$AJ$120)))))))*(1+'Rate Card'!$C$6),2)*(IF('Rate Card'!$G$6="YES",'Rate Card'!$E$6,0)+IF('Rate Card'!$K$6="YES",'Rate Card'!$I$6,0)),2)</f>
        <v/>
      </c>
    </row>
    <row r="93">
      <c r="A93" s="75" t="n">
        <v>89</v>
      </c>
      <c r="B93" s="10">
        <f>""</f>
        <v/>
      </c>
      <c r="C93" s="10">
        <f>""</f>
        <v/>
      </c>
      <c r="D93" s="10">
        <f>""</f>
        <v/>
      </c>
      <c r="E93" s="10">
        <f>""</f>
        <v/>
      </c>
      <c r="F93" s="23">
        <f>IF(89&lt;=2,'Rate Card'!$AD$22,IF(89&lt;=5,'Rate Card'!$AE$22,IF(89&lt;=10,'Rate Card'!$AF$22,IF(89&lt;=15,'Rate Card'!$AG$22,IF(89&lt;=20,'Rate Card'!$AH$22,IF(89&lt;=35,'Rate Card'!$AH$22+(89-20)*'Rate Card'!$AI$22,'Rate Card'!$AK$22+(89-35)*'Rate Card'!$AJ$22))))))</f>
        <v/>
      </c>
      <c r="G93" s="23">
        <f>ROUND((IF(89&lt;=2,'Rate Card'!$AD$22,IF(89&lt;=5,'Rate Card'!$AE$22,IF(89&lt;=10,'Rate Card'!$AF$22,IF(89&lt;=15,'Rate Card'!$AG$22,IF(89&lt;=20,'Rate Card'!$AH$22,IF(89&lt;=35,'Rate Card'!$AH$22+(89-20)*'Rate Card'!$AI$22,'Rate Card'!$AK$22+(89-35)*'Rate Card'!$AJ$22)))))))*(1+'Rate Card'!$C$6),2)+ROUND(ROUND((IF(89&lt;=2,'Rate Card'!$AD$22,IF(89&lt;=5,'Rate Card'!$AE$22,IF(89&lt;=10,'Rate Card'!$AF$22,IF(89&lt;=15,'Rate Card'!$AG$22,IF(89&lt;=20,'Rate Card'!$AH$22,IF(89&lt;=35,'Rate Card'!$AH$22+(89-20)*'Rate Card'!$AI$22,'Rate Card'!$AK$22+(89-35)*'Rate Card'!$AJ$22)))))))*(1+'Rate Card'!$C$6),2)*(IF('Rate Card'!$G$6="YES",'Rate Card'!$E$6,0)+IF('Rate Card'!$K$6="YES",'Rate Card'!$I$6,0)),2)</f>
        <v/>
      </c>
      <c r="H93" s="23">
        <f>IF(89&lt;=2,'Rate Card'!$AD$23,IF(89&lt;=5,'Rate Card'!$AE$23,IF(89&lt;=10,'Rate Card'!$AF$23,IF(89&lt;=15,'Rate Card'!$AG$23,IF(89&lt;=20,'Rate Card'!$AH$23,IF(89&lt;=35,'Rate Card'!$AH$23+(89-20)*'Rate Card'!$AI$23,'Rate Card'!$AK$23+(89-35)*'Rate Card'!$AJ$23))))))</f>
        <v/>
      </c>
      <c r="I93" s="23">
        <f>ROUND((IF(89&lt;=2,'Rate Card'!$AD$23,IF(89&lt;=5,'Rate Card'!$AE$23,IF(89&lt;=10,'Rate Card'!$AF$23,IF(89&lt;=15,'Rate Card'!$AG$23,IF(89&lt;=20,'Rate Card'!$AH$23,IF(89&lt;=35,'Rate Card'!$AH$23+(89-20)*'Rate Card'!$AI$23,'Rate Card'!$AK$23+(89-35)*'Rate Card'!$AJ$23)))))))*(1+'Rate Card'!$C$6),2)+ROUND(ROUND((IF(89&lt;=2,'Rate Card'!$AD$23,IF(89&lt;=5,'Rate Card'!$AE$23,IF(89&lt;=10,'Rate Card'!$AF$23,IF(89&lt;=15,'Rate Card'!$AG$23,IF(89&lt;=20,'Rate Card'!$AH$23,IF(89&lt;=35,'Rate Card'!$AH$23+(89-20)*'Rate Card'!$AI$23,'Rate Card'!$AK$23+(89-35)*'Rate Card'!$AJ$23)))))))*(1+'Rate Card'!$C$6),2)*(IF('Rate Card'!$G$6="YES",'Rate Card'!$E$6,0)+IF('Rate Card'!$K$6="YES",'Rate Card'!$I$6,0)),2)</f>
        <v/>
      </c>
      <c r="J93" s="10">
        <f>""</f>
        <v/>
      </c>
      <c r="K93" s="10">
        <f>""</f>
        <v/>
      </c>
      <c r="L93" s="10">
        <f>""</f>
        <v/>
      </c>
      <c r="M93" s="10">
        <f>""</f>
        <v/>
      </c>
      <c r="N93" s="23">
        <f>IF(89&lt;=2,'Rate Card'!$AD$119,IF(89&lt;=5,'Rate Card'!$AE$119,IF(89&lt;=10,'Rate Card'!$AF$119,IF(89&lt;=15,'Rate Card'!$AG$119,IF(89&lt;=20,'Rate Card'!$AH$119,IF(89&lt;=35,'Rate Card'!$AH$119+(89-20)*'Rate Card'!$AI$119,'Rate Card'!$AK$119+(89-35)*'Rate Card'!$AJ$119))))))</f>
        <v/>
      </c>
      <c r="O93" s="23">
        <f>ROUND((IF(89&lt;=2,'Rate Card'!$AD$119,IF(89&lt;=5,'Rate Card'!$AE$119,IF(89&lt;=10,'Rate Card'!$AF$119,IF(89&lt;=15,'Rate Card'!$AG$119,IF(89&lt;=20,'Rate Card'!$AH$119,IF(89&lt;=35,'Rate Card'!$AH$119+(89-20)*'Rate Card'!$AI$119,'Rate Card'!$AK$119+(89-35)*'Rate Card'!$AJ$119)))))))*(1+'Rate Card'!$C$6),2)+ROUND(ROUND((IF(89&lt;=2,'Rate Card'!$AD$119,IF(89&lt;=5,'Rate Card'!$AE$119,IF(89&lt;=10,'Rate Card'!$AF$119,IF(89&lt;=15,'Rate Card'!$AG$119,IF(89&lt;=20,'Rate Card'!$AH$119,IF(89&lt;=35,'Rate Card'!$AH$119+(89-20)*'Rate Card'!$AI$119,'Rate Card'!$AK$119+(89-35)*'Rate Card'!$AJ$119)))))))*(1+'Rate Card'!$C$6),2)*(IF('Rate Card'!$G$6="YES",'Rate Card'!$E$6,0)+IF('Rate Card'!$K$6="YES",'Rate Card'!$I$6,0)),2)</f>
        <v/>
      </c>
      <c r="P93" s="23">
        <f>IF(89&lt;=2,'Rate Card'!$AD$120,IF(89&lt;=5,'Rate Card'!$AE$120,IF(89&lt;=10,'Rate Card'!$AF$120,IF(89&lt;=15,'Rate Card'!$AG$120,IF(89&lt;=20,'Rate Card'!$AH$120,IF(89&lt;=35,'Rate Card'!$AH$120+(89-20)*'Rate Card'!$AI$120,'Rate Card'!$AK$120+(89-35)*'Rate Card'!$AJ$120))))))</f>
        <v/>
      </c>
      <c r="Q93" s="12">
        <f>ROUND((IF(89&lt;=2,'Rate Card'!$AD$120,IF(89&lt;=5,'Rate Card'!$AE$120,IF(89&lt;=10,'Rate Card'!$AF$120,IF(89&lt;=15,'Rate Card'!$AG$120,IF(89&lt;=20,'Rate Card'!$AH$120,IF(89&lt;=35,'Rate Card'!$AH$120+(89-20)*'Rate Card'!$AI$120,'Rate Card'!$AK$120+(89-35)*'Rate Card'!$AJ$120)))))))*(1+'Rate Card'!$C$6),2)+ROUND(ROUND((IF(89&lt;=2,'Rate Card'!$AD$120,IF(89&lt;=5,'Rate Card'!$AE$120,IF(89&lt;=10,'Rate Card'!$AF$120,IF(89&lt;=15,'Rate Card'!$AG$120,IF(89&lt;=20,'Rate Card'!$AH$120,IF(89&lt;=35,'Rate Card'!$AH$120+(89-20)*'Rate Card'!$AI$120,'Rate Card'!$AK$120+(89-35)*'Rate Card'!$AJ$120)))))))*(1+'Rate Card'!$C$6),2)*(IF('Rate Card'!$G$6="YES",'Rate Card'!$E$6,0)+IF('Rate Card'!$K$6="YES",'Rate Card'!$I$6,0)),2)</f>
        <v/>
      </c>
    </row>
    <row r="94">
      <c r="A94" s="75" t="n">
        <v>90</v>
      </c>
      <c r="B94" s="10">
        <f>""</f>
        <v/>
      </c>
      <c r="C94" s="10">
        <f>""</f>
        <v/>
      </c>
      <c r="D94" s="10">
        <f>""</f>
        <v/>
      </c>
      <c r="E94" s="10">
        <f>""</f>
        <v/>
      </c>
      <c r="F94" s="23">
        <f>IF(90&lt;=2,'Rate Card'!$AD$22,IF(90&lt;=5,'Rate Card'!$AE$22,IF(90&lt;=10,'Rate Card'!$AF$22,IF(90&lt;=15,'Rate Card'!$AG$22,IF(90&lt;=20,'Rate Card'!$AH$22,IF(90&lt;=35,'Rate Card'!$AH$22+(90-20)*'Rate Card'!$AI$22,'Rate Card'!$AK$22+(90-35)*'Rate Card'!$AJ$22))))))</f>
        <v/>
      </c>
      <c r="G94" s="23">
        <f>ROUND((IF(90&lt;=2,'Rate Card'!$AD$22,IF(90&lt;=5,'Rate Card'!$AE$22,IF(90&lt;=10,'Rate Card'!$AF$22,IF(90&lt;=15,'Rate Card'!$AG$22,IF(90&lt;=20,'Rate Card'!$AH$22,IF(90&lt;=35,'Rate Card'!$AH$22+(90-20)*'Rate Card'!$AI$22,'Rate Card'!$AK$22+(90-35)*'Rate Card'!$AJ$22)))))))*(1+'Rate Card'!$C$6),2)+ROUND(ROUND((IF(90&lt;=2,'Rate Card'!$AD$22,IF(90&lt;=5,'Rate Card'!$AE$22,IF(90&lt;=10,'Rate Card'!$AF$22,IF(90&lt;=15,'Rate Card'!$AG$22,IF(90&lt;=20,'Rate Card'!$AH$22,IF(90&lt;=35,'Rate Card'!$AH$22+(90-20)*'Rate Card'!$AI$22,'Rate Card'!$AK$22+(90-35)*'Rate Card'!$AJ$22)))))))*(1+'Rate Card'!$C$6),2)*(IF('Rate Card'!$G$6="YES",'Rate Card'!$E$6,0)+IF('Rate Card'!$K$6="YES",'Rate Card'!$I$6,0)),2)</f>
        <v/>
      </c>
      <c r="H94" s="23">
        <f>IF(90&lt;=2,'Rate Card'!$AD$23,IF(90&lt;=5,'Rate Card'!$AE$23,IF(90&lt;=10,'Rate Card'!$AF$23,IF(90&lt;=15,'Rate Card'!$AG$23,IF(90&lt;=20,'Rate Card'!$AH$23,IF(90&lt;=35,'Rate Card'!$AH$23+(90-20)*'Rate Card'!$AI$23,'Rate Card'!$AK$23+(90-35)*'Rate Card'!$AJ$23))))))</f>
        <v/>
      </c>
      <c r="I94" s="23">
        <f>ROUND((IF(90&lt;=2,'Rate Card'!$AD$23,IF(90&lt;=5,'Rate Card'!$AE$23,IF(90&lt;=10,'Rate Card'!$AF$23,IF(90&lt;=15,'Rate Card'!$AG$23,IF(90&lt;=20,'Rate Card'!$AH$23,IF(90&lt;=35,'Rate Card'!$AH$23+(90-20)*'Rate Card'!$AI$23,'Rate Card'!$AK$23+(90-35)*'Rate Card'!$AJ$23)))))))*(1+'Rate Card'!$C$6),2)+ROUND(ROUND((IF(90&lt;=2,'Rate Card'!$AD$23,IF(90&lt;=5,'Rate Card'!$AE$23,IF(90&lt;=10,'Rate Card'!$AF$23,IF(90&lt;=15,'Rate Card'!$AG$23,IF(90&lt;=20,'Rate Card'!$AH$23,IF(90&lt;=35,'Rate Card'!$AH$23+(90-20)*'Rate Card'!$AI$23,'Rate Card'!$AK$23+(90-35)*'Rate Card'!$AJ$23)))))))*(1+'Rate Card'!$C$6),2)*(IF('Rate Card'!$G$6="YES",'Rate Card'!$E$6,0)+IF('Rate Card'!$K$6="YES",'Rate Card'!$I$6,0)),2)</f>
        <v/>
      </c>
      <c r="J94" s="10">
        <f>""</f>
        <v/>
      </c>
      <c r="K94" s="10">
        <f>""</f>
        <v/>
      </c>
      <c r="L94" s="10">
        <f>""</f>
        <v/>
      </c>
      <c r="M94" s="10">
        <f>""</f>
        <v/>
      </c>
      <c r="N94" s="23">
        <f>IF(90&lt;=2,'Rate Card'!$AD$119,IF(90&lt;=5,'Rate Card'!$AE$119,IF(90&lt;=10,'Rate Card'!$AF$119,IF(90&lt;=15,'Rate Card'!$AG$119,IF(90&lt;=20,'Rate Card'!$AH$119,IF(90&lt;=35,'Rate Card'!$AH$119+(90-20)*'Rate Card'!$AI$119,'Rate Card'!$AK$119+(90-35)*'Rate Card'!$AJ$119))))))</f>
        <v/>
      </c>
      <c r="O94" s="23">
        <f>ROUND((IF(90&lt;=2,'Rate Card'!$AD$119,IF(90&lt;=5,'Rate Card'!$AE$119,IF(90&lt;=10,'Rate Card'!$AF$119,IF(90&lt;=15,'Rate Card'!$AG$119,IF(90&lt;=20,'Rate Card'!$AH$119,IF(90&lt;=35,'Rate Card'!$AH$119+(90-20)*'Rate Card'!$AI$119,'Rate Card'!$AK$119+(90-35)*'Rate Card'!$AJ$119)))))))*(1+'Rate Card'!$C$6),2)+ROUND(ROUND((IF(90&lt;=2,'Rate Card'!$AD$119,IF(90&lt;=5,'Rate Card'!$AE$119,IF(90&lt;=10,'Rate Card'!$AF$119,IF(90&lt;=15,'Rate Card'!$AG$119,IF(90&lt;=20,'Rate Card'!$AH$119,IF(90&lt;=35,'Rate Card'!$AH$119+(90-20)*'Rate Card'!$AI$119,'Rate Card'!$AK$119+(90-35)*'Rate Card'!$AJ$119)))))))*(1+'Rate Card'!$C$6),2)*(IF('Rate Card'!$G$6="YES",'Rate Card'!$E$6,0)+IF('Rate Card'!$K$6="YES",'Rate Card'!$I$6,0)),2)</f>
        <v/>
      </c>
      <c r="P94" s="23">
        <f>IF(90&lt;=2,'Rate Card'!$AD$120,IF(90&lt;=5,'Rate Card'!$AE$120,IF(90&lt;=10,'Rate Card'!$AF$120,IF(90&lt;=15,'Rate Card'!$AG$120,IF(90&lt;=20,'Rate Card'!$AH$120,IF(90&lt;=35,'Rate Card'!$AH$120+(90-20)*'Rate Card'!$AI$120,'Rate Card'!$AK$120+(90-35)*'Rate Card'!$AJ$120))))))</f>
        <v/>
      </c>
      <c r="Q94" s="12">
        <f>ROUND((IF(90&lt;=2,'Rate Card'!$AD$120,IF(90&lt;=5,'Rate Card'!$AE$120,IF(90&lt;=10,'Rate Card'!$AF$120,IF(90&lt;=15,'Rate Card'!$AG$120,IF(90&lt;=20,'Rate Card'!$AH$120,IF(90&lt;=35,'Rate Card'!$AH$120+(90-20)*'Rate Card'!$AI$120,'Rate Card'!$AK$120+(90-35)*'Rate Card'!$AJ$120)))))))*(1+'Rate Card'!$C$6),2)+ROUND(ROUND((IF(90&lt;=2,'Rate Card'!$AD$120,IF(90&lt;=5,'Rate Card'!$AE$120,IF(90&lt;=10,'Rate Card'!$AF$120,IF(90&lt;=15,'Rate Card'!$AG$120,IF(90&lt;=20,'Rate Card'!$AH$120,IF(90&lt;=35,'Rate Card'!$AH$120+(90-20)*'Rate Card'!$AI$120,'Rate Card'!$AK$120+(90-35)*'Rate Card'!$AJ$120)))))))*(1+'Rate Card'!$C$6),2)*(IF('Rate Card'!$G$6="YES",'Rate Card'!$E$6,0)+IF('Rate Card'!$K$6="YES",'Rate Card'!$I$6,0)),2)</f>
        <v/>
      </c>
    </row>
    <row r="95">
      <c r="A95" s="75" t="n">
        <v>91</v>
      </c>
      <c r="B95" s="10">
        <f>""</f>
        <v/>
      </c>
      <c r="C95" s="10">
        <f>""</f>
        <v/>
      </c>
      <c r="D95" s="10">
        <f>""</f>
        <v/>
      </c>
      <c r="E95" s="10">
        <f>""</f>
        <v/>
      </c>
      <c r="F95" s="23">
        <f>IF(91&lt;=2,'Rate Card'!$AD$22,IF(91&lt;=5,'Rate Card'!$AE$22,IF(91&lt;=10,'Rate Card'!$AF$22,IF(91&lt;=15,'Rate Card'!$AG$22,IF(91&lt;=20,'Rate Card'!$AH$22,IF(91&lt;=35,'Rate Card'!$AH$22+(91-20)*'Rate Card'!$AI$22,'Rate Card'!$AK$22+(91-35)*'Rate Card'!$AJ$22))))))</f>
        <v/>
      </c>
      <c r="G95" s="23">
        <f>ROUND((IF(91&lt;=2,'Rate Card'!$AD$22,IF(91&lt;=5,'Rate Card'!$AE$22,IF(91&lt;=10,'Rate Card'!$AF$22,IF(91&lt;=15,'Rate Card'!$AG$22,IF(91&lt;=20,'Rate Card'!$AH$22,IF(91&lt;=35,'Rate Card'!$AH$22+(91-20)*'Rate Card'!$AI$22,'Rate Card'!$AK$22+(91-35)*'Rate Card'!$AJ$22)))))))*(1+'Rate Card'!$C$6),2)+ROUND(ROUND((IF(91&lt;=2,'Rate Card'!$AD$22,IF(91&lt;=5,'Rate Card'!$AE$22,IF(91&lt;=10,'Rate Card'!$AF$22,IF(91&lt;=15,'Rate Card'!$AG$22,IF(91&lt;=20,'Rate Card'!$AH$22,IF(91&lt;=35,'Rate Card'!$AH$22+(91-20)*'Rate Card'!$AI$22,'Rate Card'!$AK$22+(91-35)*'Rate Card'!$AJ$22)))))))*(1+'Rate Card'!$C$6),2)*(IF('Rate Card'!$G$6="YES",'Rate Card'!$E$6,0)+IF('Rate Card'!$K$6="YES",'Rate Card'!$I$6,0)),2)</f>
        <v/>
      </c>
      <c r="H95" s="23">
        <f>IF(91&lt;=2,'Rate Card'!$AD$23,IF(91&lt;=5,'Rate Card'!$AE$23,IF(91&lt;=10,'Rate Card'!$AF$23,IF(91&lt;=15,'Rate Card'!$AG$23,IF(91&lt;=20,'Rate Card'!$AH$23,IF(91&lt;=35,'Rate Card'!$AH$23+(91-20)*'Rate Card'!$AI$23,'Rate Card'!$AK$23+(91-35)*'Rate Card'!$AJ$23))))))</f>
        <v/>
      </c>
      <c r="I95" s="23">
        <f>ROUND((IF(91&lt;=2,'Rate Card'!$AD$23,IF(91&lt;=5,'Rate Card'!$AE$23,IF(91&lt;=10,'Rate Card'!$AF$23,IF(91&lt;=15,'Rate Card'!$AG$23,IF(91&lt;=20,'Rate Card'!$AH$23,IF(91&lt;=35,'Rate Card'!$AH$23+(91-20)*'Rate Card'!$AI$23,'Rate Card'!$AK$23+(91-35)*'Rate Card'!$AJ$23)))))))*(1+'Rate Card'!$C$6),2)+ROUND(ROUND((IF(91&lt;=2,'Rate Card'!$AD$23,IF(91&lt;=5,'Rate Card'!$AE$23,IF(91&lt;=10,'Rate Card'!$AF$23,IF(91&lt;=15,'Rate Card'!$AG$23,IF(91&lt;=20,'Rate Card'!$AH$23,IF(91&lt;=35,'Rate Card'!$AH$23+(91-20)*'Rate Card'!$AI$23,'Rate Card'!$AK$23+(91-35)*'Rate Card'!$AJ$23)))))))*(1+'Rate Card'!$C$6),2)*(IF('Rate Card'!$G$6="YES",'Rate Card'!$E$6,0)+IF('Rate Card'!$K$6="YES",'Rate Card'!$I$6,0)),2)</f>
        <v/>
      </c>
      <c r="J95" s="10">
        <f>""</f>
        <v/>
      </c>
      <c r="K95" s="10">
        <f>""</f>
        <v/>
      </c>
      <c r="L95" s="10">
        <f>""</f>
        <v/>
      </c>
      <c r="M95" s="10">
        <f>""</f>
        <v/>
      </c>
      <c r="N95" s="23">
        <f>IF(91&lt;=2,'Rate Card'!$AD$119,IF(91&lt;=5,'Rate Card'!$AE$119,IF(91&lt;=10,'Rate Card'!$AF$119,IF(91&lt;=15,'Rate Card'!$AG$119,IF(91&lt;=20,'Rate Card'!$AH$119,IF(91&lt;=35,'Rate Card'!$AH$119+(91-20)*'Rate Card'!$AI$119,'Rate Card'!$AK$119+(91-35)*'Rate Card'!$AJ$119))))))</f>
        <v/>
      </c>
      <c r="O95" s="23">
        <f>ROUND((IF(91&lt;=2,'Rate Card'!$AD$119,IF(91&lt;=5,'Rate Card'!$AE$119,IF(91&lt;=10,'Rate Card'!$AF$119,IF(91&lt;=15,'Rate Card'!$AG$119,IF(91&lt;=20,'Rate Card'!$AH$119,IF(91&lt;=35,'Rate Card'!$AH$119+(91-20)*'Rate Card'!$AI$119,'Rate Card'!$AK$119+(91-35)*'Rate Card'!$AJ$119)))))))*(1+'Rate Card'!$C$6),2)+ROUND(ROUND((IF(91&lt;=2,'Rate Card'!$AD$119,IF(91&lt;=5,'Rate Card'!$AE$119,IF(91&lt;=10,'Rate Card'!$AF$119,IF(91&lt;=15,'Rate Card'!$AG$119,IF(91&lt;=20,'Rate Card'!$AH$119,IF(91&lt;=35,'Rate Card'!$AH$119+(91-20)*'Rate Card'!$AI$119,'Rate Card'!$AK$119+(91-35)*'Rate Card'!$AJ$119)))))))*(1+'Rate Card'!$C$6),2)*(IF('Rate Card'!$G$6="YES",'Rate Card'!$E$6,0)+IF('Rate Card'!$K$6="YES",'Rate Card'!$I$6,0)),2)</f>
        <v/>
      </c>
      <c r="P95" s="23">
        <f>IF(91&lt;=2,'Rate Card'!$AD$120,IF(91&lt;=5,'Rate Card'!$AE$120,IF(91&lt;=10,'Rate Card'!$AF$120,IF(91&lt;=15,'Rate Card'!$AG$120,IF(91&lt;=20,'Rate Card'!$AH$120,IF(91&lt;=35,'Rate Card'!$AH$120+(91-20)*'Rate Card'!$AI$120,'Rate Card'!$AK$120+(91-35)*'Rate Card'!$AJ$120))))))</f>
        <v/>
      </c>
      <c r="Q95" s="12">
        <f>ROUND((IF(91&lt;=2,'Rate Card'!$AD$120,IF(91&lt;=5,'Rate Card'!$AE$120,IF(91&lt;=10,'Rate Card'!$AF$120,IF(91&lt;=15,'Rate Card'!$AG$120,IF(91&lt;=20,'Rate Card'!$AH$120,IF(91&lt;=35,'Rate Card'!$AH$120+(91-20)*'Rate Card'!$AI$120,'Rate Card'!$AK$120+(91-35)*'Rate Card'!$AJ$120)))))))*(1+'Rate Card'!$C$6),2)+ROUND(ROUND((IF(91&lt;=2,'Rate Card'!$AD$120,IF(91&lt;=5,'Rate Card'!$AE$120,IF(91&lt;=10,'Rate Card'!$AF$120,IF(91&lt;=15,'Rate Card'!$AG$120,IF(91&lt;=20,'Rate Card'!$AH$120,IF(91&lt;=35,'Rate Card'!$AH$120+(91-20)*'Rate Card'!$AI$120,'Rate Card'!$AK$120+(91-35)*'Rate Card'!$AJ$120)))))))*(1+'Rate Card'!$C$6),2)*(IF('Rate Card'!$G$6="YES",'Rate Card'!$E$6,0)+IF('Rate Card'!$K$6="YES",'Rate Card'!$I$6,0)),2)</f>
        <v/>
      </c>
    </row>
    <row r="96">
      <c r="A96" s="75" t="n">
        <v>92</v>
      </c>
      <c r="B96" s="10">
        <f>""</f>
        <v/>
      </c>
      <c r="C96" s="10">
        <f>""</f>
        <v/>
      </c>
      <c r="D96" s="10">
        <f>""</f>
        <v/>
      </c>
      <c r="E96" s="10">
        <f>""</f>
        <v/>
      </c>
      <c r="F96" s="23">
        <f>IF(92&lt;=2,'Rate Card'!$AD$22,IF(92&lt;=5,'Rate Card'!$AE$22,IF(92&lt;=10,'Rate Card'!$AF$22,IF(92&lt;=15,'Rate Card'!$AG$22,IF(92&lt;=20,'Rate Card'!$AH$22,IF(92&lt;=35,'Rate Card'!$AH$22+(92-20)*'Rate Card'!$AI$22,'Rate Card'!$AK$22+(92-35)*'Rate Card'!$AJ$22))))))</f>
        <v/>
      </c>
      <c r="G96" s="23">
        <f>ROUND((IF(92&lt;=2,'Rate Card'!$AD$22,IF(92&lt;=5,'Rate Card'!$AE$22,IF(92&lt;=10,'Rate Card'!$AF$22,IF(92&lt;=15,'Rate Card'!$AG$22,IF(92&lt;=20,'Rate Card'!$AH$22,IF(92&lt;=35,'Rate Card'!$AH$22+(92-20)*'Rate Card'!$AI$22,'Rate Card'!$AK$22+(92-35)*'Rate Card'!$AJ$22)))))))*(1+'Rate Card'!$C$6),2)+ROUND(ROUND((IF(92&lt;=2,'Rate Card'!$AD$22,IF(92&lt;=5,'Rate Card'!$AE$22,IF(92&lt;=10,'Rate Card'!$AF$22,IF(92&lt;=15,'Rate Card'!$AG$22,IF(92&lt;=20,'Rate Card'!$AH$22,IF(92&lt;=35,'Rate Card'!$AH$22+(92-20)*'Rate Card'!$AI$22,'Rate Card'!$AK$22+(92-35)*'Rate Card'!$AJ$22)))))))*(1+'Rate Card'!$C$6),2)*(IF('Rate Card'!$G$6="YES",'Rate Card'!$E$6,0)+IF('Rate Card'!$K$6="YES",'Rate Card'!$I$6,0)),2)</f>
        <v/>
      </c>
      <c r="H96" s="23">
        <f>IF(92&lt;=2,'Rate Card'!$AD$23,IF(92&lt;=5,'Rate Card'!$AE$23,IF(92&lt;=10,'Rate Card'!$AF$23,IF(92&lt;=15,'Rate Card'!$AG$23,IF(92&lt;=20,'Rate Card'!$AH$23,IF(92&lt;=35,'Rate Card'!$AH$23+(92-20)*'Rate Card'!$AI$23,'Rate Card'!$AK$23+(92-35)*'Rate Card'!$AJ$23))))))</f>
        <v/>
      </c>
      <c r="I96" s="23">
        <f>ROUND((IF(92&lt;=2,'Rate Card'!$AD$23,IF(92&lt;=5,'Rate Card'!$AE$23,IF(92&lt;=10,'Rate Card'!$AF$23,IF(92&lt;=15,'Rate Card'!$AG$23,IF(92&lt;=20,'Rate Card'!$AH$23,IF(92&lt;=35,'Rate Card'!$AH$23+(92-20)*'Rate Card'!$AI$23,'Rate Card'!$AK$23+(92-35)*'Rate Card'!$AJ$23)))))))*(1+'Rate Card'!$C$6),2)+ROUND(ROUND((IF(92&lt;=2,'Rate Card'!$AD$23,IF(92&lt;=5,'Rate Card'!$AE$23,IF(92&lt;=10,'Rate Card'!$AF$23,IF(92&lt;=15,'Rate Card'!$AG$23,IF(92&lt;=20,'Rate Card'!$AH$23,IF(92&lt;=35,'Rate Card'!$AH$23+(92-20)*'Rate Card'!$AI$23,'Rate Card'!$AK$23+(92-35)*'Rate Card'!$AJ$23)))))))*(1+'Rate Card'!$C$6),2)*(IF('Rate Card'!$G$6="YES",'Rate Card'!$E$6,0)+IF('Rate Card'!$K$6="YES",'Rate Card'!$I$6,0)),2)</f>
        <v/>
      </c>
      <c r="J96" s="10">
        <f>""</f>
        <v/>
      </c>
      <c r="K96" s="10">
        <f>""</f>
        <v/>
      </c>
      <c r="L96" s="10">
        <f>""</f>
        <v/>
      </c>
      <c r="M96" s="10">
        <f>""</f>
        <v/>
      </c>
      <c r="N96" s="23">
        <f>IF(92&lt;=2,'Rate Card'!$AD$119,IF(92&lt;=5,'Rate Card'!$AE$119,IF(92&lt;=10,'Rate Card'!$AF$119,IF(92&lt;=15,'Rate Card'!$AG$119,IF(92&lt;=20,'Rate Card'!$AH$119,IF(92&lt;=35,'Rate Card'!$AH$119+(92-20)*'Rate Card'!$AI$119,'Rate Card'!$AK$119+(92-35)*'Rate Card'!$AJ$119))))))</f>
        <v/>
      </c>
      <c r="O96" s="23">
        <f>ROUND((IF(92&lt;=2,'Rate Card'!$AD$119,IF(92&lt;=5,'Rate Card'!$AE$119,IF(92&lt;=10,'Rate Card'!$AF$119,IF(92&lt;=15,'Rate Card'!$AG$119,IF(92&lt;=20,'Rate Card'!$AH$119,IF(92&lt;=35,'Rate Card'!$AH$119+(92-20)*'Rate Card'!$AI$119,'Rate Card'!$AK$119+(92-35)*'Rate Card'!$AJ$119)))))))*(1+'Rate Card'!$C$6),2)+ROUND(ROUND((IF(92&lt;=2,'Rate Card'!$AD$119,IF(92&lt;=5,'Rate Card'!$AE$119,IF(92&lt;=10,'Rate Card'!$AF$119,IF(92&lt;=15,'Rate Card'!$AG$119,IF(92&lt;=20,'Rate Card'!$AH$119,IF(92&lt;=35,'Rate Card'!$AH$119+(92-20)*'Rate Card'!$AI$119,'Rate Card'!$AK$119+(92-35)*'Rate Card'!$AJ$119)))))))*(1+'Rate Card'!$C$6),2)*(IF('Rate Card'!$G$6="YES",'Rate Card'!$E$6,0)+IF('Rate Card'!$K$6="YES",'Rate Card'!$I$6,0)),2)</f>
        <v/>
      </c>
      <c r="P96" s="23">
        <f>IF(92&lt;=2,'Rate Card'!$AD$120,IF(92&lt;=5,'Rate Card'!$AE$120,IF(92&lt;=10,'Rate Card'!$AF$120,IF(92&lt;=15,'Rate Card'!$AG$120,IF(92&lt;=20,'Rate Card'!$AH$120,IF(92&lt;=35,'Rate Card'!$AH$120+(92-20)*'Rate Card'!$AI$120,'Rate Card'!$AK$120+(92-35)*'Rate Card'!$AJ$120))))))</f>
        <v/>
      </c>
      <c r="Q96" s="12">
        <f>ROUND((IF(92&lt;=2,'Rate Card'!$AD$120,IF(92&lt;=5,'Rate Card'!$AE$120,IF(92&lt;=10,'Rate Card'!$AF$120,IF(92&lt;=15,'Rate Card'!$AG$120,IF(92&lt;=20,'Rate Card'!$AH$120,IF(92&lt;=35,'Rate Card'!$AH$120+(92-20)*'Rate Card'!$AI$120,'Rate Card'!$AK$120+(92-35)*'Rate Card'!$AJ$120)))))))*(1+'Rate Card'!$C$6),2)+ROUND(ROUND((IF(92&lt;=2,'Rate Card'!$AD$120,IF(92&lt;=5,'Rate Card'!$AE$120,IF(92&lt;=10,'Rate Card'!$AF$120,IF(92&lt;=15,'Rate Card'!$AG$120,IF(92&lt;=20,'Rate Card'!$AH$120,IF(92&lt;=35,'Rate Card'!$AH$120+(92-20)*'Rate Card'!$AI$120,'Rate Card'!$AK$120+(92-35)*'Rate Card'!$AJ$120)))))))*(1+'Rate Card'!$C$6),2)*(IF('Rate Card'!$G$6="YES",'Rate Card'!$E$6,0)+IF('Rate Card'!$K$6="YES",'Rate Card'!$I$6,0)),2)</f>
        <v/>
      </c>
    </row>
    <row r="97">
      <c r="A97" s="75" t="n">
        <v>93</v>
      </c>
      <c r="B97" s="10">
        <f>""</f>
        <v/>
      </c>
      <c r="C97" s="10">
        <f>""</f>
        <v/>
      </c>
      <c r="D97" s="10">
        <f>""</f>
        <v/>
      </c>
      <c r="E97" s="10">
        <f>""</f>
        <v/>
      </c>
      <c r="F97" s="23">
        <f>IF(93&lt;=2,'Rate Card'!$AD$22,IF(93&lt;=5,'Rate Card'!$AE$22,IF(93&lt;=10,'Rate Card'!$AF$22,IF(93&lt;=15,'Rate Card'!$AG$22,IF(93&lt;=20,'Rate Card'!$AH$22,IF(93&lt;=35,'Rate Card'!$AH$22+(93-20)*'Rate Card'!$AI$22,'Rate Card'!$AK$22+(93-35)*'Rate Card'!$AJ$22))))))</f>
        <v/>
      </c>
      <c r="G97" s="23">
        <f>ROUND((IF(93&lt;=2,'Rate Card'!$AD$22,IF(93&lt;=5,'Rate Card'!$AE$22,IF(93&lt;=10,'Rate Card'!$AF$22,IF(93&lt;=15,'Rate Card'!$AG$22,IF(93&lt;=20,'Rate Card'!$AH$22,IF(93&lt;=35,'Rate Card'!$AH$22+(93-20)*'Rate Card'!$AI$22,'Rate Card'!$AK$22+(93-35)*'Rate Card'!$AJ$22)))))))*(1+'Rate Card'!$C$6),2)+ROUND(ROUND((IF(93&lt;=2,'Rate Card'!$AD$22,IF(93&lt;=5,'Rate Card'!$AE$22,IF(93&lt;=10,'Rate Card'!$AF$22,IF(93&lt;=15,'Rate Card'!$AG$22,IF(93&lt;=20,'Rate Card'!$AH$22,IF(93&lt;=35,'Rate Card'!$AH$22+(93-20)*'Rate Card'!$AI$22,'Rate Card'!$AK$22+(93-35)*'Rate Card'!$AJ$22)))))))*(1+'Rate Card'!$C$6),2)*(IF('Rate Card'!$G$6="YES",'Rate Card'!$E$6,0)+IF('Rate Card'!$K$6="YES",'Rate Card'!$I$6,0)),2)</f>
        <v/>
      </c>
      <c r="H97" s="23">
        <f>IF(93&lt;=2,'Rate Card'!$AD$23,IF(93&lt;=5,'Rate Card'!$AE$23,IF(93&lt;=10,'Rate Card'!$AF$23,IF(93&lt;=15,'Rate Card'!$AG$23,IF(93&lt;=20,'Rate Card'!$AH$23,IF(93&lt;=35,'Rate Card'!$AH$23+(93-20)*'Rate Card'!$AI$23,'Rate Card'!$AK$23+(93-35)*'Rate Card'!$AJ$23))))))</f>
        <v/>
      </c>
      <c r="I97" s="23">
        <f>ROUND((IF(93&lt;=2,'Rate Card'!$AD$23,IF(93&lt;=5,'Rate Card'!$AE$23,IF(93&lt;=10,'Rate Card'!$AF$23,IF(93&lt;=15,'Rate Card'!$AG$23,IF(93&lt;=20,'Rate Card'!$AH$23,IF(93&lt;=35,'Rate Card'!$AH$23+(93-20)*'Rate Card'!$AI$23,'Rate Card'!$AK$23+(93-35)*'Rate Card'!$AJ$23)))))))*(1+'Rate Card'!$C$6),2)+ROUND(ROUND((IF(93&lt;=2,'Rate Card'!$AD$23,IF(93&lt;=5,'Rate Card'!$AE$23,IF(93&lt;=10,'Rate Card'!$AF$23,IF(93&lt;=15,'Rate Card'!$AG$23,IF(93&lt;=20,'Rate Card'!$AH$23,IF(93&lt;=35,'Rate Card'!$AH$23+(93-20)*'Rate Card'!$AI$23,'Rate Card'!$AK$23+(93-35)*'Rate Card'!$AJ$23)))))))*(1+'Rate Card'!$C$6),2)*(IF('Rate Card'!$G$6="YES",'Rate Card'!$E$6,0)+IF('Rate Card'!$K$6="YES",'Rate Card'!$I$6,0)),2)</f>
        <v/>
      </c>
      <c r="J97" s="10">
        <f>""</f>
        <v/>
      </c>
      <c r="K97" s="10">
        <f>""</f>
        <v/>
      </c>
      <c r="L97" s="10">
        <f>""</f>
        <v/>
      </c>
      <c r="M97" s="10">
        <f>""</f>
        <v/>
      </c>
      <c r="N97" s="23">
        <f>IF(93&lt;=2,'Rate Card'!$AD$119,IF(93&lt;=5,'Rate Card'!$AE$119,IF(93&lt;=10,'Rate Card'!$AF$119,IF(93&lt;=15,'Rate Card'!$AG$119,IF(93&lt;=20,'Rate Card'!$AH$119,IF(93&lt;=35,'Rate Card'!$AH$119+(93-20)*'Rate Card'!$AI$119,'Rate Card'!$AK$119+(93-35)*'Rate Card'!$AJ$119))))))</f>
        <v/>
      </c>
      <c r="O97" s="23">
        <f>ROUND((IF(93&lt;=2,'Rate Card'!$AD$119,IF(93&lt;=5,'Rate Card'!$AE$119,IF(93&lt;=10,'Rate Card'!$AF$119,IF(93&lt;=15,'Rate Card'!$AG$119,IF(93&lt;=20,'Rate Card'!$AH$119,IF(93&lt;=35,'Rate Card'!$AH$119+(93-20)*'Rate Card'!$AI$119,'Rate Card'!$AK$119+(93-35)*'Rate Card'!$AJ$119)))))))*(1+'Rate Card'!$C$6),2)+ROUND(ROUND((IF(93&lt;=2,'Rate Card'!$AD$119,IF(93&lt;=5,'Rate Card'!$AE$119,IF(93&lt;=10,'Rate Card'!$AF$119,IF(93&lt;=15,'Rate Card'!$AG$119,IF(93&lt;=20,'Rate Card'!$AH$119,IF(93&lt;=35,'Rate Card'!$AH$119+(93-20)*'Rate Card'!$AI$119,'Rate Card'!$AK$119+(93-35)*'Rate Card'!$AJ$119)))))))*(1+'Rate Card'!$C$6),2)*(IF('Rate Card'!$G$6="YES",'Rate Card'!$E$6,0)+IF('Rate Card'!$K$6="YES",'Rate Card'!$I$6,0)),2)</f>
        <v/>
      </c>
      <c r="P97" s="23">
        <f>IF(93&lt;=2,'Rate Card'!$AD$120,IF(93&lt;=5,'Rate Card'!$AE$120,IF(93&lt;=10,'Rate Card'!$AF$120,IF(93&lt;=15,'Rate Card'!$AG$120,IF(93&lt;=20,'Rate Card'!$AH$120,IF(93&lt;=35,'Rate Card'!$AH$120+(93-20)*'Rate Card'!$AI$120,'Rate Card'!$AK$120+(93-35)*'Rate Card'!$AJ$120))))))</f>
        <v/>
      </c>
      <c r="Q97" s="12">
        <f>ROUND((IF(93&lt;=2,'Rate Card'!$AD$120,IF(93&lt;=5,'Rate Card'!$AE$120,IF(93&lt;=10,'Rate Card'!$AF$120,IF(93&lt;=15,'Rate Card'!$AG$120,IF(93&lt;=20,'Rate Card'!$AH$120,IF(93&lt;=35,'Rate Card'!$AH$120+(93-20)*'Rate Card'!$AI$120,'Rate Card'!$AK$120+(93-35)*'Rate Card'!$AJ$120)))))))*(1+'Rate Card'!$C$6),2)+ROUND(ROUND((IF(93&lt;=2,'Rate Card'!$AD$120,IF(93&lt;=5,'Rate Card'!$AE$120,IF(93&lt;=10,'Rate Card'!$AF$120,IF(93&lt;=15,'Rate Card'!$AG$120,IF(93&lt;=20,'Rate Card'!$AH$120,IF(93&lt;=35,'Rate Card'!$AH$120+(93-20)*'Rate Card'!$AI$120,'Rate Card'!$AK$120+(93-35)*'Rate Card'!$AJ$120)))))))*(1+'Rate Card'!$C$6),2)*(IF('Rate Card'!$G$6="YES",'Rate Card'!$E$6,0)+IF('Rate Card'!$K$6="YES",'Rate Card'!$I$6,0)),2)</f>
        <v/>
      </c>
    </row>
    <row r="98">
      <c r="A98" s="75" t="n">
        <v>94</v>
      </c>
      <c r="B98" s="10">
        <f>""</f>
        <v/>
      </c>
      <c r="C98" s="10">
        <f>""</f>
        <v/>
      </c>
      <c r="D98" s="10">
        <f>""</f>
        <v/>
      </c>
      <c r="E98" s="10">
        <f>""</f>
        <v/>
      </c>
      <c r="F98" s="23">
        <f>IF(94&lt;=2,'Rate Card'!$AD$22,IF(94&lt;=5,'Rate Card'!$AE$22,IF(94&lt;=10,'Rate Card'!$AF$22,IF(94&lt;=15,'Rate Card'!$AG$22,IF(94&lt;=20,'Rate Card'!$AH$22,IF(94&lt;=35,'Rate Card'!$AH$22+(94-20)*'Rate Card'!$AI$22,'Rate Card'!$AK$22+(94-35)*'Rate Card'!$AJ$22))))))</f>
        <v/>
      </c>
      <c r="G98" s="23">
        <f>ROUND((IF(94&lt;=2,'Rate Card'!$AD$22,IF(94&lt;=5,'Rate Card'!$AE$22,IF(94&lt;=10,'Rate Card'!$AF$22,IF(94&lt;=15,'Rate Card'!$AG$22,IF(94&lt;=20,'Rate Card'!$AH$22,IF(94&lt;=35,'Rate Card'!$AH$22+(94-20)*'Rate Card'!$AI$22,'Rate Card'!$AK$22+(94-35)*'Rate Card'!$AJ$22)))))))*(1+'Rate Card'!$C$6),2)+ROUND(ROUND((IF(94&lt;=2,'Rate Card'!$AD$22,IF(94&lt;=5,'Rate Card'!$AE$22,IF(94&lt;=10,'Rate Card'!$AF$22,IF(94&lt;=15,'Rate Card'!$AG$22,IF(94&lt;=20,'Rate Card'!$AH$22,IF(94&lt;=35,'Rate Card'!$AH$22+(94-20)*'Rate Card'!$AI$22,'Rate Card'!$AK$22+(94-35)*'Rate Card'!$AJ$22)))))))*(1+'Rate Card'!$C$6),2)*(IF('Rate Card'!$G$6="YES",'Rate Card'!$E$6,0)+IF('Rate Card'!$K$6="YES",'Rate Card'!$I$6,0)),2)</f>
        <v/>
      </c>
      <c r="H98" s="23">
        <f>IF(94&lt;=2,'Rate Card'!$AD$23,IF(94&lt;=5,'Rate Card'!$AE$23,IF(94&lt;=10,'Rate Card'!$AF$23,IF(94&lt;=15,'Rate Card'!$AG$23,IF(94&lt;=20,'Rate Card'!$AH$23,IF(94&lt;=35,'Rate Card'!$AH$23+(94-20)*'Rate Card'!$AI$23,'Rate Card'!$AK$23+(94-35)*'Rate Card'!$AJ$23))))))</f>
        <v/>
      </c>
      <c r="I98" s="23">
        <f>ROUND((IF(94&lt;=2,'Rate Card'!$AD$23,IF(94&lt;=5,'Rate Card'!$AE$23,IF(94&lt;=10,'Rate Card'!$AF$23,IF(94&lt;=15,'Rate Card'!$AG$23,IF(94&lt;=20,'Rate Card'!$AH$23,IF(94&lt;=35,'Rate Card'!$AH$23+(94-20)*'Rate Card'!$AI$23,'Rate Card'!$AK$23+(94-35)*'Rate Card'!$AJ$23)))))))*(1+'Rate Card'!$C$6),2)+ROUND(ROUND((IF(94&lt;=2,'Rate Card'!$AD$23,IF(94&lt;=5,'Rate Card'!$AE$23,IF(94&lt;=10,'Rate Card'!$AF$23,IF(94&lt;=15,'Rate Card'!$AG$23,IF(94&lt;=20,'Rate Card'!$AH$23,IF(94&lt;=35,'Rate Card'!$AH$23+(94-20)*'Rate Card'!$AI$23,'Rate Card'!$AK$23+(94-35)*'Rate Card'!$AJ$23)))))))*(1+'Rate Card'!$C$6),2)*(IF('Rate Card'!$G$6="YES",'Rate Card'!$E$6,0)+IF('Rate Card'!$K$6="YES",'Rate Card'!$I$6,0)),2)</f>
        <v/>
      </c>
      <c r="J98" s="10">
        <f>""</f>
        <v/>
      </c>
      <c r="K98" s="10">
        <f>""</f>
        <v/>
      </c>
      <c r="L98" s="10">
        <f>""</f>
        <v/>
      </c>
      <c r="M98" s="10">
        <f>""</f>
        <v/>
      </c>
      <c r="N98" s="23">
        <f>IF(94&lt;=2,'Rate Card'!$AD$119,IF(94&lt;=5,'Rate Card'!$AE$119,IF(94&lt;=10,'Rate Card'!$AF$119,IF(94&lt;=15,'Rate Card'!$AG$119,IF(94&lt;=20,'Rate Card'!$AH$119,IF(94&lt;=35,'Rate Card'!$AH$119+(94-20)*'Rate Card'!$AI$119,'Rate Card'!$AK$119+(94-35)*'Rate Card'!$AJ$119))))))</f>
        <v/>
      </c>
      <c r="O98" s="23">
        <f>ROUND((IF(94&lt;=2,'Rate Card'!$AD$119,IF(94&lt;=5,'Rate Card'!$AE$119,IF(94&lt;=10,'Rate Card'!$AF$119,IF(94&lt;=15,'Rate Card'!$AG$119,IF(94&lt;=20,'Rate Card'!$AH$119,IF(94&lt;=35,'Rate Card'!$AH$119+(94-20)*'Rate Card'!$AI$119,'Rate Card'!$AK$119+(94-35)*'Rate Card'!$AJ$119)))))))*(1+'Rate Card'!$C$6),2)+ROUND(ROUND((IF(94&lt;=2,'Rate Card'!$AD$119,IF(94&lt;=5,'Rate Card'!$AE$119,IF(94&lt;=10,'Rate Card'!$AF$119,IF(94&lt;=15,'Rate Card'!$AG$119,IF(94&lt;=20,'Rate Card'!$AH$119,IF(94&lt;=35,'Rate Card'!$AH$119+(94-20)*'Rate Card'!$AI$119,'Rate Card'!$AK$119+(94-35)*'Rate Card'!$AJ$119)))))))*(1+'Rate Card'!$C$6),2)*(IF('Rate Card'!$G$6="YES",'Rate Card'!$E$6,0)+IF('Rate Card'!$K$6="YES",'Rate Card'!$I$6,0)),2)</f>
        <v/>
      </c>
      <c r="P98" s="23">
        <f>IF(94&lt;=2,'Rate Card'!$AD$120,IF(94&lt;=5,'Rate Card'!$AE$120,IF(94&lt;=10,'Rate Card'!$AF$120,IF(94&lt;=15,'Rate Card'!$AG$120,IF(94&lt;=20,'Rate Card'!$AH$120,IF(94&lt;=35,'Rate Card'!$AH$120+(94-20)*'Rate Card'!$AI$120,'Rate Card'!$AK$120+(94-35)*'Rate Card'!$AJ$120))))))</f>
        <v/>
      </c>
      <c r="Q98" s="12">
        <f>ROUND((IF(94&lt;=2,'Rate Card'!$AD$120,IF(94&lt;=5,'Rate Card'!$AE$120,IF(94&lt;=10,'Rate Card'!$AF$120,IF(94&lt;=15,'Rate Card'!$AG$120,IF(94&lt;=20,'Rate Card'!$AH$120,IF(94&lt;=35,'Rate Card'!$AH$120+(94-20)*'Rate Card'!$AI$120,'Rate Card'!$AK$120+(94-35)*'Rate Card'!$AJ$120)))))))*(1+'Rate Card'!$C$6),2)+ROUND(ROUND((IF(94&lt;=2,'Rate Card'!$AD$120,IF(94&lt;=5,'Rate Card'!$AE$120,IF(94&lt;=10,'Rate Card'!$AF$120,IF(94&lt;=15,'Rate Card'!$AG$120,IF(94&lt;=20,'Rate Card'!$AH$120,IF(94&lt;=35,'Rate Card'!$AH$120+(94-20)*'Rate Card'!$AI$120,'Rate Card'!$AK$120+(94-35)*'Rate Card'!$AJ$120)))))))*(1+'Rate Card'!$C$6),2)*(IF('Rate Card'!$G$6="YES",'Rate Card'!$E$6,0)+IF('Rate Card'!$K$6="YES",'Rate Card'!$I$6,0)),2)</f>
        <v/>
      </c>
    </row>
    <row r="99">
      <c r="A99" s="75" t="n">
        <v>95</v>
      </c>
      <c r="B99" s="10">
        <f>""</f>
        <v/>
      </c>
      <c r="C99" s="10">
        <f>""</f>
        <v/>
      </c>
      <c r="D99" s="10">
        <f>""</f>
        <v/>
      </c>
      <c r="E99" s="10">
        <f>""</f>
        <v/>
      </c>
      <c r="F99" s="23">
        <f>IF(95&lt;=2,'Rate Card'!$AD$22,IF(95&lt;=5,'Rate Card'!$AE$22,IF(95&lt;=10,'Rate Card'!$AF$22,IF(95&lt;=15,'Rate Card'!$AG$22,IF(95&lt;=20,'Rate Card'!$AH$22,IF(95&lt;=35,'Rate Card'!$AH$22+(95-20)*'Rate Card'!$AI$22,'Rate Card'!$AK$22+(95-35)*'Rate Card'!$AJ$22))))))</f>
        <v/>
      </c>
      <c r="G99" s="23">
        <f>ROUND((IF(95&lt;=2,'Rate Card'!$AD$22,IF(95&lt;=5,'Rate Card'!$AE$22,IF(95&lt;=10,'Rate Card'!$AF$22,IF(95&lt;=15,'Rate Card'!$AG$22,IF(95&lt;=20,'Rate Card'!$AH$22,IF(95&lt;=35,'Rate Card'!$AH$22+(95-20)*'Rate Card'!$AI$22,'Rate Card'!$AK$22+(95-35)*'Rate Card'!$AJ$22)))))))*(1+'Rate Card'!$C$6),2)+ROUND(ROUND((IF(95&lt;=2,'Rate Card'!$AD$22,IF(95&lt;=5,'Rate Card'!$AE$22,IF(95&lt;=10,'Rate Card'!$AF$22,IF(95&lt;=15,'Rate Card'!$AG$22,IF(95&lt;=20,'Rate Card'!$AH$22,IF(95&lt;=35,'Rate Card'!$AH$22+(95-20)*'Rate Card'!$AI$22,'Rate Card'!$AK$22+(95-35)*'Rate Card'!$AJ$22)))))))*(1+'Rate Card'!$C$6),2)*(IF('Rate Card'!$G$6="YES",'Rate Card'!$E$6,0)+IF('Rate Card'!$K$6="YES",'Rate Card'!$I$6,0)),2)</f>
        <v/>
      </c>
      <c r="H99" s="23">
        <f>IF(95&lt;=2,'Rate Card'!$AD$23,IF(95&lt;=5,'Rate Card'!$AE$23,IF(95&lt;=10,'Rate Card'!$AF$23,IF(95&lt;=15,'Rate Card'!$AG$23,IF(95&lt;=20,'Rate Card'!$AH$23,IF(95&lt;=35,'Rate Card'!$AH$23+(95-20)*'Rate Card'!$AI$23,'Rate Card'!$AK$23+(95-35)*'Rate Card'!$AJ$23))))))</f>
        <v/>
      </c>
      <c r="I99" s="23">
        <f>ROUND((IF(95&lt;=2,'Rate Card'!$AD$23,IF(95&lt;=5,'Rate Card'!$AE$23,IF(95&lt;=10,'Rate Card'!$AF$23,IF(95&lt;=15,'Rate Card'!$AG$23,IF(95&lt;=20,'Rate Card'!$AH$23,IF(95&lt;=35,'Rate Card'!$AH$23+(95-20)*'Rate Card'!$AI$23,'Rate Card'!$AK$23+(95-35)*'Rate Card'!$AJ$23)))))))*(1+'Rate Card'!$C$6),2)+ROUND(ROUND((IF(95&lt;=2,'Rate Card'!$AD$23,IF(95&lt;=5,'Rate Card'!$AE$23,IF(95&lt;=10,'Rate Card'!$AF$23,IF(95&lt;=15,'Rate Card'!$AG$23,IF(95&lt;=20,'Rate Card'!$AH$23,IF(95&lt;=35,'Rate Card'!$AH$23+(95-20)*'Rate Card'!$AI$23,'Rate Card'!$AK$23+(95-35)*'Rate Card'!$AJ$23)))))))*(1+'Rate Card'!$C$6),2)*(IF('Rate Card'!$G$6="YES",'Rate Card'!$E$6,0)+IF('Rate Card'!$K$6="YES",'Rate Card'!$I$6,0)),2)</f>
        <v/>
      </c>
      <c r="J99" s="10">
        <f>""</f>
        <v/>
      </c>
      <c r="K99" s="10">
        <f>""</f>
        <v/>
      </c>
      <c r="L99" s="10">
        <f>""</f>
        <v/>
      </c>
      <c r="M99" s="10">
        <f>""</f>
        <v/>
      </c>
      <c r="N99" s="23">
        <f>IF(95&lt;=2,'Rate Card'!$AD$119,IF(95&lt;=5,'Rate Card'!$AE$119,IF(95&lt;=10,'Rate Card'!$AF$119,IF(95&lt;=15,'Rate Card'!$AG$119,IF(95&lt;=20,'Rate Card'!$AH$119,IF(95&lt;=35,'Rate Card'!$AH$119+(95-20)*'Rate Card'!$AI$119,'Rate Card'!$AK$119+(95-35)*'Rate Card'!$AJ$119))))))</f>
        <v/>
      </c>
      <c r="O99" s="23">
        <f>ROUND((IF(95&lt;=2,'Rate Card'!$AD$119,IF(95&lt;=5,'Rate Card'!$AE$119,IF(95&lt;=10,'Rate Card'!$AF$119,IF(95&lt;=15,'Rate Card'!$AG$119,IF(95&lt;=20,'Rate Card'!$AH$119,IF(95&lt;=35,'Rate Card'!$AH$119+(95-20)*'Rate Card'!$AI$119,'Rate Card'!$AK$119+(95-35)*'Rate Card'!$AJ$119)))))))*(1+'Rate Card'!$C$6),2)+ROUND(ROUND((IF(95&lt;=2,'Rate Card'!$AD$119,IF(95&lt;=5,'Rate Card'!$AE$119,IF(95&lt;=10,'Rate Card'!$AF$119,IF(95&lt;=15,'Rate Card'!$AG$119,IF(95&lt;=20,'Rate Card'!$AH$119,IF(95&lt;=35,'Rate Card'!$AH$119+(95-20)*'Rate Card'!$AI$119,'Rate Card'!$AK$119+(95-35)*'Rate Card'!$AJ$119)))))))*(1+'Rate Card'!$C$6),2)*(IF('Rate Card'!$G$6="YES",'Rate Card'!$E$6,0)+IF('Rate Card'!$K$6="YES",'Rate Card'!$I$6,0)),2)</f>
        <v/>
      </c>
      <c r="P99" s="23">
        <f>IF(95&lt;=2,'Rate Card'!$AD$120,IF(95&lt;=5,'Rate Card'!$AE$120,IF(95&lt;=10,'Rate Card'!$AF$120,IF(95&lt;=15,'Rate Card'!$AG$120,IF(95&lt;=20,'Rate Card'!$AH$120,IF(95&lt;=35,'Rate Card'!$AH$120+(95-20)*'Rate Card'!$AI$120,'Rate Card'!$AK$120+(95-35)*'Rate Card'!$AJ$120))))))</f>
        <v/>
      </c>
      <c r="Q99" s="12">
        <f>ROUND((IF(95&lt;=2,'Rate Card'!$AD$120,IF(95&lt;=5,'Rate Card'!$AE$120,IF(95&lt;=10,'Rate Card'!$AF$120,IF(95&lt;=15,'Rate Card'!$AG$120,IF(95&lt;=20,'Rate Card'!$AH$120,IF(95&lt;=35,'Rate Card'!$AH$120+(95-20)*'Rate Card'!$AI$120,'Rate Card'!$AK$120+(95-35)*'Rate Card'!$AJ$120)))))))*(1+'Rate Card'!$C$6),2)+ROUND(ROUND((IF(95&lt;=2,'Rate Card'!$AD$120,IF(95&lt;=5,'Rate Card'!$AE$120,IF(95&lt;=10,'Rate Card'!$AF$120,IF(95&lt;=15,'Rate Card'!$AG$120,IF(95&lt;=20,'Rate Card'!$AH$120,IF(95&lt;=35,'Rate Card'!$AH$120+(95-20)*'Rate Card'!$AI$120,'Rate Card'!$AK$120+(95-35)*'Rate Card'!$AJ$120)))))))*(1+'Rate Card'!$C$6),2)*(IF('Rate Card'!$G$6="YES",'Rate Card'!$E$6,0)+IF('Rate Card'!$K$6="YES",'Rate Card'!$I$6,0)),2)</f>
        <v/>
      </c>
    </row>
    <row r="100">
      <c r="A100" s="75" t="n">
        <v>96</v>
      </c>
      <c r="B100" s="10">
        <f>""</f>
        <v/>
      </c>
      <c r="C100" s="10">
        <f>""</f>
        <v/>
      </c>
      <c r="D100" s="10">
        <f>""</f>
        <v/>
      </c>
      <c r="E100" s="10">
        <f>""</f>
        <v/>
      </c>
      <c r="F100" s="23">
        <f>IF(96&lt;=2,'Rate Card'!$AD$22,IF(96&lt;=5,'Rate Card'!$AE$22,IF(96&lt;=10,'Rate Card'!$AF$22,IF(96&lt;=15,'Rate Card'!$AG$22,IF(96&lt;=20,'Rate Card'!$AH$22,IF(96&lt;=35,'Rate Card'!$AH$22+(96-20)*'Rate Card'!$AI$22,'Rate Card'!$AK$22+(96-35)*'Rate Card'!$AJ$22))))))</f>
        <v/>
      </c>
      <c r="G100" s="23">
        <f>ROUND((IF(96&lt;=2,'Rate Card'!$AD$22,IF(96&lt;=5,'Rate Card'!$AE$22,IF(96&lt;=10,'Rate Card'!$AF$22,IF(96&lt;=15,'Rate Card'!$AG$22,IF(96&lt;=20,'Rate Card'!$AH$22,IF(96&lt;=35,'Rate Card'!$AH$22+(96-20)*'Rate Card'!$AI$22,'Rate Card'!$AK$22+(96-35)*'Rate Card'!$AJ$22)))))))*(1+'Rate Card'!$C$6),2)+ROUND(ROUND((IF(96&lt;=2,'Rate Card'!$AD$22,IF(96&lt;=5,'Rate Card'!$AE$22,IF(96&lt;=10,'Rate Card'!$AF$22,IF(96&lt;=15,'Rate Card'!$AG$22,IF(96&lt;=20,'Rate Card'!$AH$22,IF(96&lt;=35,'Rate Card'!$AH$22+(96-20)*'Rate Card'!$AI$22,'Rate Card'!$AK$22+(96-35)*'Rate Card'!$AJ$22)))))))*(1+'Rate Card'!$C$6),2)*(IF('Rate Card'!$G$6="YES",'Rate Card'!$E$6,0)+IF('Rate Card'!$K$6="YES",'Rate Card'!$I$6,0)),2)</f>
        <v/>
      </c>
      <c r="H100" s="23">
        <f>IF(96&lt;=2,'Rate Card'!$AD$23,IF(96&lt;=5,'Rate Card'!$AE$23,IF(96&lt;=10,'Rate Card'!$AF$23,IF(96&lt;=15,'Rate Card'!$AG$23,IF(96&lt;=20,'Rate Card'!$AH$23,IF(96&lt;=35,'Rate Card'!$AH$23+(96-20)*'Rate Card'!$AI$23,'Rate Card'!$AK$23+(96-35)*'Rate Card'!$AJ$23))))))</f>
        <v/>
      </c>
      <c r="I100" s="23">
        <f>ROUND((IF(96&lt;=2,'Rate Card'!$AD$23,IF(96&lt;=5,'Rate Card'!$AE$23,IF(96&lt;=10,'Rate Card'!$AF$23,IF(96&lt;=15,'Rate Card'!$AG$23,IF(96&lt;=20,'Rate Card'!$AH$23,IF(96&lt;=35,'Rate Card'!$AH$23+(96-20)*'Rate Card'!$AI$23,'Rate Card'!$AK$23+(96-35)*'Rate Card'!$AJ$23)))))))*(1+'Rate Card'!$C$6),2)+ROUND(ROUND((IF(96&lt;=2,'Rate Card'!$AD$23,IF(96&lt;=5,'Rate Card'!$AE$23,IF(96&lt;=10,'Rate Card'!$AF$23,IF(96&lt;=15,'Rate Card'!$AG$23,IF(96&lt;=20,'Rate Card'!$AH$23,IF(96&lt;=35,'Rate Card'!$AH$23+(96-20)*'Rate Card'!$AI$23,'Rate Card'!$AK$23+(96-35)*'Rate Card'!$AJ$23)))))))*(1+'Rate Card'!$C$6),2)*(IF('Rate Card'!$G$6="YES",'Rate Card'!$E$6,0)+IF('Rate Card'!$K$6="YES",'Rate Card'!$I$6,0)),2)</f>
        <v/>
      </c>
      <c r="J100" s="10">
        <f>""</f>
        <v/>
      </c>
      <c r="K100" s="10">
        <f>""</f>
        <v/>
      </c>
      <c r="L100" s="10">
        <f>""</f>
        <v/>
      </c>
      <c r="M100" s="10">
        <f>""</f>
        <v/>
      </c>
      <c r="N100" s="23">
        <f>IF(96&lt;=2,'Rate Card'!$AD$119,IF(96&lt;=5,'Rate Card'!$AE$119,IF(96&lt;=10,'Rate Card'!$AF$119,IF(96&lt;=15,'Rate Card'!$AG$119,IF(96&lt;=20,'Rate Card'!$AH$119,IF(96&lt;=35,'Rate Card'!$AH$119+(96-20)*'Rate Card'!$AI$119,'Rate Card'!$AK$119+(96-35)*'Rate Card'!$AJ$119))))))</f>
        <v/>
      </c>
      <c r="O100" s="23">
        <f>ROUND((IF(96&lt;=2,'Rate Card'!$AD$119,IF(96&lt;=5,'Rate Card'!$AE$119,IF(96&lt;=10,'Rate Card'!$AF$119,IF(96&lt;=15,'Rate Card'!$AG$119,IF(96&lt;=20,'Rate Card'!$AH$119,IF(96&lt;=35,'Rate Card'!$AH$119+(96-20)*'Rate Card'!$AI$119,'Rate Card'!$AK$119+(96-35)*'Rate Card'!$AJ$119)))))))*(1+'Rate Card'!$C$6),2)+ROUND(ROUND((IF(96&lt;=2,'Rate Card'!$AD$119,IF(96&lt;=5,'Rate Card'!$AE$119,IF(96&lt;=10,'Rate Card'!$AF$119,IF(96&lt;=15,'Rate Card'!$AG$119,IF(96&lt;=20,'Rate Card'!$AH$119,IF(96&lt;=35,'Rate Card'!$AH$119+(96-20)*'Rate Card'!$AI$119,'Rate Card'!$AK$119+(96-35)*'Rate Card'!$AJ$119)))))))*(1+'Rate Card'!$C$6),2)*(IF('Rate Card'!$G$6="YES",'Rate Card'!$E$6,0)+IF('Rate Card'!$K$6="YES",'Rate Card'!$I$6,0)),2)</f>
        <v/>
      </c>
      <c r="P100" s="23">
        <f>IF(96&lt;=2,'Rate Card'!$AD$120,IF(96&lt;=5,'Rate Card'!$AE$120,IF(96&lt;=10,'Rate Card'!$AF$120,IF(96&lt;=15,'Rate Card'!$AG$120,IF(96&lt;=20,'Rate Card'!$AH$120,IF(96&lt;=35,'Rate Card'!$AH$120+(96-20)*'Rate Card'!$AI$120,'Rate Card'!$AK$120+(96-35)*'Rate Card'!$AJ$120))))))</f>
        <v/>
      </c>
      <c r="Q100" s="12">
        <f>ROUND((IF(96&lt;=2,'Rate Card'!$AD$120,IF(96&lt;=5,'Rate Card'!$AE$120,IF(96&lt;=10,'Rate Card'!$AF$120,IF(96&lt;=15,'Rate Card'!$AG$120,IF(96&lt;=20,'Rate Card'!$AH$120,IF(96&lt;=35,'Rate Card'!$AH$120+(96-20)*'Rate Card'!$AI$120,'Rate Card'!$AK$120+(96-35)*'Rate Card'!$AJ$120)))))))*(1+'Rate Card'!$C$6),2)+ROUND(ROUND((IF(96&lt;=2,'Rate Card'!$AD$120,IF(96&lt;=5,'Rate Card'!$AE$120,IF(96&lt;=10,'Rate Card'!$AF$120,IF(96&lt;=15,'Rate Card'!$AG$120,IF(96&lt;=20,'Rate Card'!$AH$120,IF(96&lt;=35,'Rate Card'!$AH$120+(96-20)*'Rate Card'!$AI$120,'Rate Card'!$AK$120+(96-35)*'Rate Card'!$AJ$120)))))))*(1+'Rate Card'!$C$6),2)*(IF('Rate Card'!$G$6="YES",'Rate Card'!$E$6,0)+IF('Rate Card'!$K$6="YES",'Rate Card'!$I$6,0)),2)</f>
        <v/>
      </c>
    </row>
    <row r="101">
      <c r="A101" s="75" t="n">
        <v>97</v>
      </c>
      <c r="B101" s="10">
        <f>""</f>
        <v/>
      </c>
      <c r="C101" s="10">
        <f>""</f>
        <v/>
      </c>
      <c r="D101" s="10">
        <f>""</f>
        <v/>
      </c>
      <c r="E101" s="10">
        <f>""</f>
        <v/>
      </c>
      <c r="F101" s="23">
        <f>IF(97&lt;=2,'Rate Card'!$AD$22,IF(97&lt;=5,'Rate Card'!$AE$22,IF(97&lt;=10,'Rate Card'!$AF$22,IF(97&lt;=15,'Rate Card'!$AG$22,IF(97&lt;=20,'Rate Card'!$AH$22,IF(97&lt;=35,'Rate Card'!$AH$22+(97-20)*'Rate Card'!$AI$22,'Rate Card'!$AK$22+(97-35)*'Rate Card'!$AJ$22))))))</f>
        <v/>
      </c>
      <c r="G101" s="23">
        <f>ROUND((IF(97&lt;=2,'Rate Card'!$AD$22,IF(97&lt;=5,'Rate Card'!$AE$22,IF(97&lt;=10,'Rate Card'!$AF$22,IF(97&lt;=15,'Rate Card'!$AG$22,IF(97&lt;=20,'Rate Card'!$AH$22,IF(97&lt;=35,'Rate Card'!$AH$22+(97-20)*'Rate Card'!$AI$22,'Rate Card'!$AK$22+(97-35)*'Rate Card'!$AJ$22)))))))*(1+'Rate Card'!$C$6),2)+ROUND(ROUND((IF(97&lt;=2,'Rate Card'!$AD$22,IF(97&lt;=5,'Rate Card'!$AE$22,IF(97&lt;=10,'Rate Card'!$AF$22,IF(97&lt;=15,'Rate Card'!$AG$22,IF(97&lt;=20,'Rate Card'!$AH$22,IF(97&lt;=35,'Rate Card'!$AH$22+(97-20)*'Rate Card'!$AI$22,'Rate Card'!$AK$22+(97-35)*'Rate Card'!$AJ$22)))))))*(1+'Rate Card'!$C$6),2)*(IF('Rate Card'!$G$6="YES",'Rate Card'!$E$6,0)+IF('Rate Card'!$K$6="YES",'Rate Card'!$I$6,0)),2)</f>
        <v/>
      </c>
      <c r="H101" s="23">
        <f>IF(97&lt;=2,'Rate Card'!$AD$23,IF(97&lt;=5,'Rate Card'!$AE$23,IF(97&lt;=10,'Rate Card'!$AF$23,IF(97&lt;=15,'Rate Card'!$AG$23,IF(97&lt;=20,'Rate Card'!$AH$23,IF(97&lt;=35,'Rate Card'!$AH$23+(97-20)*'Rate Card'!$AI$23,'Rate Card'!$AK$23+(97-35)*'Rate Card'!$AJ$23))))))</f>
        <v/>
      </c>
      <c r="I101" s="23">
        <f>ROUND((IF(97&lt;=2,'Rate Card'!$AD$23,IF(97&lt;=5,'Rate Card'!$AE$23,IF(97&lt;=10,'Rate Card'!$AF$23,IF(97&lt;=15,'Rate Card'!$AG$23,IF(97&lt;=20,'Rate Card'!$AH$23,IF(97&lt;=35,'Rate Card'!$AH$23+(97-20)*'Rate Card'!$AI$23,'Rate Card'!$AK$23+(97-35)*'Rate Card'!$AJ$23)))))))*(1+'Rate Card'!$C$6),2)+ROUND(ROUND((IF(97&lt;=2,'Rate Card'!$AD$23,IF(97&lt;=5,'Rate Card'!$AE$23,IF(97&lt;=10,'Rate Card'!$AF$23,IF(97&lt;=15,'Rate Card'!$AG$23,IF(97&lt;=20,'Rate Card'!$AH$23,IF(97&lt;=35,'Rate Card'!$AH$23+(97-20)*'Rate Card'!$AI$23,'Rate Card'!$AK$23+(97-35)*'Rate Card'!$AJ$23)))))))*(1+'Rate Card'!$C$6),2)*(IF('Rate Card'!$G$6="YES",'Rate Card'!$E$6,0)+IF('Rate Card'!$K$6="YES",'Rate Card'!$I$6,0)),2)</f>
        <v/>
      </c>
      <c r="J101" s="10">
        <f>""</f>
        <v/>
      </c>
      <c r="K101" s="10">
        <f>""</f>
        <v/>
      </c>
      <c r="L101" s="10">
        <f>""</f>
        <v/>
      </c>
      <c r="M101" s="10">
        <f>""</f>
        <v/>
      </c>
      <c r="N101" s="23">
        <f>IF(97&lt;=2,'Rate Card'!$AD$119,IF(97&lt;=5,'Rate Card'!$AE$119,IF(97&lt;=10,'Rate Card'!$AF$119,IF(97&lt;=15,'Rate Card'!$AG$119,IF(97&lt;=20,'Rate Card'!$AH$119,IF(97&lt;=35,'Rate Card'!$AH$119+(97-20)*'Rate Card'!$AI$119,'Rate Card'!$AK$119+(97-35)*'Rate Card'!$AJ$119))))))</f>
        <v/>
      </c>
      <c r="O101" s="23">
        <f>ROUND((IF(97&lt;=2,'Rate Card'!$AD$119,IF(97&lt;=5,'Rate Card'!$AE$119,IF(97&lt;=10,'Rate Card'!$AF$119,IF(97&lt;=15,'Rate Card'!$AG$119,IF(97&lt;=20,'Rate Card'!$AH$119,IF(97&lt;=35,'Rate Card'!$AH$119+(97-20)*'Rate Card'!$AI$119,'Rate Card'!$AK$119+(97-35)*'Rate Card'!$AJ$119)))))))*(1+'Rate Card'!$C$6),2)+ROUND(ROUND((IF(97&lt;=2,'Rate Card'!$AD$119,IF(97&lt;=5,'Rate Card'!$AE$119,IF(97&lt;=10,'Rate Card'!$AF$119,IF(97&lt;=15,'Rate Card'!$AG$119,IF(97&lt;=20,'Rate Card'!$AH$119,IF(97&lt;=35,'Rate Card'!$AH$119+(97-20)*'Rate Card'!$AI$119,'Rate Card'!$AK$119+(97-35)*'Rate Card'!$AJ$119)))))))*(1+'Rate Card'!$C$6),2)*(IF('Rate Card'!$G$6="YES",'Rate Card'!$E$6,0)+IF('Rate Card'!$K$6="YES",'Rate Card'!$I$6,0)),2)</f>
        <v/>
      </c>
      <c r="P101" s="23">
        <f>IF(97&lt;=2,'Rate Card'!$AD$120,IF(97&lt;=5,'Rate Card'!$AE$120,IF(97&lt;=10,'Rate Card'!$AF$120,IF(97&lt;=15,'Rate Card'!$AG$120,IF(97&lt;=20,'Rate Card'!$AH$120,IF(97&lt;=35,'Rate Card'!$AH$120+(97-20)*'Rate Card'!$AI$120,'Rate Card'!$AK$120+(97-35)*'Rate Card'!$AJ$120))))))</f>
        <v/>
      </c>
      <c r="Q101" s="12">
        <f>ROUND((IF(97&lt;=2,'Rate Card'!$AD$120,IF(97&lt;=5,'Rate Card'!$AE$120,IF(97&lt;=10,'Rate Card'!$AF$120,IF(97&lt;=15,'Rate Card'!$AG$120,IF(97&lt;=20,'Rate Card'!$AH$120,IF(97&lt;=35,'Rate Card'!$AH$120+(97-20)*'Rate Card'!$AI$120,'Rate Card'!$AK$120+(97-35)*'Rate Card'!$AJ$120)))))))*(1+'Rate Card'!$C$6),2)+ROUND(ROUND((IF(97&lt;=2,'Rate Card'!$AD$120,IF(97&lt;=5,'Rate Card'!$AE$120,IF(97&lt;=10,'Rate Card'!$AF$120,IF(97&lt;=15,'Rate Card'!$AG$120,IF(97&lt;=20,'Rate Card'!$AH$120,IF(97&lt;=35,'Rate Card'!$AH$120+(97-20)*'Rate Card'!$AI$120,'Rate Card'!$AK$120+(97-35)*'Rate Card'!$AJ$120)))))))*(1+'Rate Card'!$C$6),2)*(IF('Rate Card'!$G$6="YES",'Rate Card'!$E$6,0)+IF('Rate Card'!$K$6="YES",'Rate Card'!$I$6,0)),2)</f>
        <v/>
      </c>
    </row>
    <row r="102">
      <c r="A102" s="75" t="n">
        <v>98</v>
      </c>
      <c r="B102" s="10">
        <f>""</f>
        <v/>
      </c>
      <c r="C102" s="10">
        <f>""</f>
        <v/>
      </c>
      <c r="D102" s="10">
        <f>""</f>
        <v/>
      </c>
      <c r="E102" s="10">
        <f>""</f>
        <v/>
      </c>
      <c r="F102" s="23">
        <f>IF(98&lt;=2,'Rate Card'!$AD$22,IF(98&lt;=5,'Rate Card'!$AE$22,IF(98&lt;=10,'Rate Card'!$AF$22,IF(98&lt;=15,'Rate Card'!$AG$22,IF(98&lt;=20,'Rate Card'!$AH$22,IF(98&lt;=35,'Rate Card'!$AH$22+(98-20)*'Rate Card'!$AI$22,'Rate Card'!$AK$22+(98-35)*'Rate Card'!$AJ$22))))))</f>
        <v/>
      </c>
      <c r="G102" s="23">
        <f>ROUND((IF(98&lt;=2,'Rate Card'!$AD$22,IF(98&lt;=5,'Rate Card'!$AE$22,IF(98&lt;=10,'Rate Card'!$AF$22,IF(98&lt;=15,'Rate Card'!$AG$22,IF(98&lt;=20,'Rate Card'!$AH$22,IF(98&lt;=35,'Rate Card'!$AH$22+(98-20)*'Rate Card'!$AI$22,'Rate Card'!$AK$22+(98-35)*'Rate Card'!$AJ$22)))))))*(1+'Rate Card'!$C$6),2)+ROUND(ROUND((IF(98&lt;=2,'Rate Card'!$AD$22,IF(98&lt;=5,'Rate Card'!$AE$22,IF(98&lt;=10,'Rate Card'!$AF$22,IF(98&lt;=15,'Rate Card'!$AG$22,IF(98&lt;=20,'Rate Card'!$AH$22,IF(98&lt;=35,'Rate Card'!$AH$22+(98-20)*'Rate Card'!$AI$22,'Rate Card'!$AK$22+(98-35)*'Rate Card'!$AJ$22)))))))*(1+'Rate Card'!$C$6),2)*(IF('Rate Card'!$G$6="YES",'Rate Card'!$E$6,0)+IF('Rate Card'!$K$6="YES",'Rate Card'!$I$6,0)),2)</f>
        <v/>
      </c>
      <c r="H102" s="23">
        <f>IF(98&lt;=2,'Rate Card'!$AD$23,IF(98&lt;=5,'Rate Card'!$AE$23,IF(98&lt;=10,'Rate Card'!$AF$23,IF(98&lt;=15,'Rate Card'!$AG$23,IF(98&lt;=20,'Rate Card'!$AH$23,IF(98&lt;=35,'Rate Card'!$AH$23+(98-20)*'Rate Card'!$AI$23,'Rate Card'!$AK$23+(98-35)*'Rate Card'!$AJ$23))))))</f>
        <v/>
      </c>
      <c r="I102" s="23">
        <f>ROUND((IF(98&lt;=2,'Rate Card'!$AD$23,IF(98&lt;=5,'Rate Card'!$AE$23,IF(98&lt;=10,'Rate Card'!$AF$23,IF(98&lt;=15,'Rate Card'!$AG$23,IF(98&lt;=20,'Rate Card'!$AH$23,IF(98&lt;=35,'Rate Card'!$AH$23+(98-20)*'Rate Card'!$AI$23,'Rate Card'!$AK$23+(98-35)*'Rate Card'!$AJ$23)))))))*(1+'Rate Card'!$C$6),2)+ROUND(ROUND((IF(98&lt;=2,'Rate Card'!$AD$23,IF(98&lt;=5,'Rate Card'!$AE$23,IF(98&lt;=10,'Rate Card'!$AF$23,IF(98&lt;=15,'Rate Card'!$AG$23,IF(98&lt;=20,'Rate Card'!$AH$23,IF(98&lt;=35,'Rate Card'!$AH$23+(98-20)*'Rate Card'!$AI$23,'Rate Card'!$AK$23+(98-35)*'Rate Card'!$AJ$23)))))))*(1+'Rate Card'!$C$6),2)*(IF('Rate Card'!$G$6="YES",'Rate Card'!$E$6,0)+IF('Rate Card'!$K$6="YES",'Rate Card'!$I$6,0)),2)</f>
        <v/>
      </c>
      <c r="J102" s="10">
        <f>""</f>
        <v/>
      </c>
      <c r="K102" s="10">
        <f>""</f>
        <v/>
      </c>
      <c r="L102" s="10">
        <f>""</f>
        <v/>
      </c>
      <c r="M102" s="10">
        <f>""</f>
        <v/>
      </c>
      <c r="N102" s="23">
        <f>IF(98&lt;=2,'Rate Card'!$AD$119,IF(98&lt;=5,'Rate Card'!$AE$119,IF(98&lt;=10,'Rate Card'!$AF$119,IF(98&lt;=15,'Rate Card'!$AG$119,IF(98&lt;=20,'Rate Card'!$AH$119,IF(98&lt;=35,'Rate Card'!$AH$119+(98-20)*'Rate Card'!$AI$119,'Rate Card'!$AK$119+(98-35)*'Rate Card'!$AJ$119))))))</f>
        <v/>
      </c>
      <c r="O102" s="23">
        <f>ROUND((IF(98&lt;=2,'Rate Card'!$AD$119,IF(98&lt;=5,'Rate Card'!$AE$119,IF(98&lt;=10,'Rate Card'!$AF$119,IF(98&lt;=15,'Rate Card'!$AG$119,IF(98&lt;=20,'Rate Card'!$AH$119,IF(98&lt;=35,'Rate Card'!$AH$119+(98-20)*'Rate Card'!$AI$119,'Rate Card'!$AK$119+(98-35)*'Rate Card'!$AJ$119)))))))*(1+'Rate Card'!$C$6),2)+ROUND(ROUND((IF(98&lt;=2,'Rate Card'!$AD$119,IF(98&lt;=5,'Rate Card'!$AE$119,IF(98&lt;=10,'Rate Card'!$AF$119,IF(98&lt;=15,'Rate Card'!$AG$119,IF(98&lt;=20,'Rate Card'!$AH$119,IF(98&lt;=35,'Rate Card'!$AH$119+(98-20)*'Rate Card'!$AI$119,'Rate Card'!$AK$119+(98-35)*'Rate Card'!$AJ$119)))))))*(1+'Rate Card'!$C$6),2)*(IF('Rate Card'!$G$6="YES",'Rate Card'!$E$6,0)+IF('Rate Card'!$K$6="YES",'Rate Card'!$I$6,0)),2)</f>
        <v/>
      </c>
      <c r="P102" s="23">
        <f>IF(98&lt;=2,'Rate Card'!$AD$120,IF(98&lt;=5,'Rate Card'!$AE$120,IF(98&lt;=10,'Rate Card'!$AF$120,IF(98&lt;=15,'Rate Card'!$AG$120,IF(98&lt;=20,'Rate Card'!$AH$120,IF(98&lt;=35,'Rate Card'!$AH$120+(98-20)*'Rate Card'!$AI$120,'Rate Card'!$AK$120+(98-35)*'Rate Card'!$AJ$120))))))</f>
        <v/>
      </c>
      <c r="Q102" s="12">
        <f>ROUND((IF(98&lt;=2,'Rate Card'!$AD$120,IF(98&lt;=5,'Rate Card'!$AE$120,IF(98&lt;=10,'Rate Card'!$AF$120,IF(98&lt;=15,'Rate Card'!$AG$120,IF(98&lt;=20,'Rate Card'!$AH$120,IF(98&lt;=35,'Rate Card'!$AH$120+(98-20)*'Rate Card'!$AI$120,'Rate Card'!$AK$120+(98-35)*'Rate Card'!$AJ$120)))))))*(1+'Rate Card'!$C$6),2)+ROUND(ROUND((IF(98&lt;=2,'Rate Card'!$AD$120,IF(98&lt;=5,'Rate Card'!$AE$120,IF(98&lt;=10,'Rate Card'!$AF$120,IF(98&lt;=15,'Rate Card'!$AG$120,IF(98&lt;=20,'Rate Card'!$AH$120,IF(98&lt;=35,'Rate Card'!$AH$120+(98-20)*'Rate Card'!$AI$120,'Rate Card'!$AK$120+(98-35)*'Rate Card'!$AJ$120)))))))*(1+'Rate Card'!$C$6),2)*(IF('Rate Card'!$G$6="YES",'Rate Card'!$E$6,0)+IF('Rate Card'!$K$6="YES",'Rate Card'!$I$6,0)),2)</f>
        <v/>
      </c>
    </row>
    <row r="103">
      <c r="A103" s="75" t="n">
        <v>99</v>
      </c>
      <c r="B103" s="10">
        <f>""</f>
        <v/>
      </c>
      <c r="C103" s="10">
        <f>""</f>
        <v/>
      </c>
      <c r="D103" s="10">
        <f>""</f>
        <v/>
      </c>
      <c r="E103" s="10">
        <f>""</f>
        <v/>
      </c>
      <c r="F103" s="23">
        <f>IF(99&lt;=2,'Rate Card'!$AD$22,IF(99&lt;=5,'Rate Card'!$AE$22,IF(99&lt;=10,'Rate Card'!$AF$22,IF(99&lt;=15,'Rate Card'!$AG$22,IF(99&lt;=20,'Rate Card'!$AH$22,IF(99&lt;=35,'Rate Card'!$AH$22+(99-20)*'Rate Card'!$AI$22,'Rate Card'!$AK$22+(99-35)*'Rate Card'!$AJ$22))))))</f>
        <v/>
      </c>
      <c r="G103" s="23">
        <f>ROUND((IF(99&lt;=2,'Rate Card'!$AD$22,IF(99&lt;=5,'Rate Card'!$AE$22,IF(99&lt;=10,'Rate Card'!$AF$22,IF(99&lt;=15,'Rate Card'!$AG$22,IF(99&lt;=20,'Rate Card'!$AH$22,IF(99&lt;=35,'Rate Card'!$AH$22+(99-20)*'Rate Card'!$AI$22,'Rate Card'!$AK$22+(99-35)*'Rate Card'!$AJ$22)))))))*(1+'Rate Card'!$C$6),2)+ROUND(ROUND((IF(99&lt;=2,'Rate Card'!$AD$22,IF(99&lt;=5,'Rate Card'!$AE$22,IF(99&lt;=10,'Rate Card'!$AF$22,IF(99&lt;=15,'Rate Card'!$AG$22,IF(99&lt;=20,'Rate Card'!$AH$22,IF(99&lt;=35,'Rate Card'!$AH$22+(99-20)*'Rate Card'!$AI$22,'Rate Card'!$AK$22+(99-35)*'Rate Card'!$AJ$22)))))))*(1+'Rate Card'!$C$6),2)*(IF('Rate Card'!$G$6="YES",'Rate Card'!$E$6,0)+IF('Rate Card'!$K$6="YES",'Rate Card'!$I$6,0)),2)</f>
        <v/>
      </c>
      <c r="H103" s="23">
        <f>IF(99&lt;=2,'Rate Card'!$AD$23,IF(99&lt;=5,'Rate Card'!$AE$23,IF(99&lt;=10,'Rate Card'!$AF$23,IF(99&lt;=15,'Rate Card'!$AG$23,IF(99&lt;=20,'Rate Card'!$AH$23,IF(99&lt;=35,'Rate Card'!$AH$23+(99-20)*'Rate Card'!$AI$23,'Rate Card'!$AK$23+(99-35)*'Rate Card'!$AJ$23))))))</f>
        <v/>
      </c>
      <c r="I103" s="23">
        <f>ROUND((IF(99&lt;=2,'Rate Card'!$AD$23,IF(99&lt;=5,'Rate Card'!$AE$23,IF(99&lt;=10,'Rate Card'!$AF$23,IF(99&lt;=15,'Rate Card'!$AG$23,IF(99&lt;=20,'Rate Card'!$AH$23,IF(99&lt;=35,'Rate Card'!$AH$23+(99-20)*'Rate Card'!$AI$23,'Rate Card'!$AK$23+(99-35)*'Rate Card'!$AJ$23)))))))*(1+'Rate Card'!$C$6),2)+ROUND(ROUND((IF(99&lt;=2,'Rate Card'!$AD$23,IF(99&lt;=5,'Rate Card'!$AE$23,IF(99&lt;=10,'Rate Card'!$AF$23,IF(99&lt;=15,'Rate Card'!$AG$23,IF(99&lt;=20,'Rate Card'!$AH$23,IF(99&lt;=35,'Rate Card'!$AH$23+(99-20)*'Rate Card'!$AI$23,'Rate Card'!$AK$23+(99-35)*'Rate Card'!$AJ$23)))))))*(1+'Rate Card'!$C$6),2)*(IF('Rate Card'!$G$6="YES",'Rate Card'!$E$6,0)+IF('Rate Card'!$K$6="YES",'Rate Card'!$I$6,0)),2)</f>
        <v/>
      </c>
      <c r="J103" s="10">
        <f>""</f>
        <v/>
      </c>
      <c r="K103" s="10">
        <f>""</f>
        <v/>
      </c>
      <c r="L103" s="10">
        <f>""</f>
        <v/>
      </c>
      <c r="M103" s="10">
        <f>""</f>
        <v/>
      </c>
      <c r="N103" s="23">
        <f>IF(99&lt;=2,'Rate Card'!$AD$119,IF(99&lt;=5,'Rate Card'!$AE$119,IF(99&lt;=10,'Rate Card'!$AF$119,IF(99&lt;=15,'Rate Card'!$AG$119,IF(99&lt;=20,'Rate Card'!$AH$119,IF(99&lt;=35,'Rate Card'!$AH$119+(99-20)*'Rate Card'!$AI$119,'Rate Card'!$AK$119+(99-35)*'Rate Card'!$AJ$119))))))</f>
        <v/>
      </c>
      <c r="O103" s="23">
        <f>ROUND((IF(99&lt;=2,'Rate Card'!$AD$119,IF(99&lt;=5,'Rate Card'!$AE$119,IF(99&lt;=10,'Rate Card'!$AF$119,IF(99&lt;=15,'Rate Card'!$AG$119,IF(99&lt;=20,'Rate Card'!$AH$119,IF(99&lt;=35,'Rate Card'!$AH$119+(99-20)*'Rate Card'!$AI$119,'Rate Card'!$AK$119+(99-35)*'Rate Card'!$AJ$119)))))))*(1+'Rate Card'!$C$6),2)+ROUND(ROUND((IF(99&lt;=2,'Rate Card'!$AD$119,IF(99&lt;=5,'Rate Card'!$AE$119,IF(99&lt;=10,'Rate Card'!$AF$119,IF(99&lt;=15,'Rate Card'!$AG$119,IF(99&lt;=20,'Rate Card'!$AH$119,IF(99&lt;=35,'Rate Card'!$AH$119+(99-20)*'Rate Card'!$AI$119,'Rate Card'!$AK$119+(99-35)*'Rate Card'!$AJ$119)))))))*(1+'Rate Card'!$C$6),2)*(IF('Rate Card'!$G$6="YES",'Rate Card'!$E$6,0)+IF('Rate Card'!$K$6="YES",'Rate Card'!$I$6,0)),2)</f>
        <v/>
      </c>
      <c r="P103" s="23">
        <f>IF(99&lt;=2,'Rate Card'!$AD$120,IF(99&lt;=5,'Rate Card'!$AE$120,IF(99&lt;=10,'Rate Card'!$AF$120,IF(99&lt;=15,'Rate Card'!$AG$120,IF(99&lt;=20,'Rate Card'!$AH$120,IF(99&lt;=35,'Rate Card'!$AH$120+(99-20)*'Rate Card'!$AI$120,'Rate Card'!$AK$120+(99-35)*'Rate Card'!$AJ$120))))))</f>
        <v/>
      </c>
      <c r="Q103" s="12">
        <f>ROUND((IF(99&lt;=2,'Rate Card'!$AD$120,IF(99&lt;=5,'Rate Card'!$AE$120,IF(99&lt;=10,'Rate Card'!$AF$120,IF(99&lt;=15,'Rate Card'!$AG$120,IF(99&lt;=20,'Rate Card'!$AH$120,IF(99&lt;=35,'Rate Card'!$AH$120+(99-20)*'Rate Card'!$AI$120,'Rate Card'!$AK$120+(99-35)*'Rate Card'!$AJ$120)))))))*(1+'Rate Card'!$C$6),2)+ROUND(ROUND((IF(99&lt;=2,'Rate Card'!$AD$120,IF(99&lt;=5,'Rate Card'!$AE$120,IF(99&lt;=10,'Rate Card'!$AF$120,IF(99&lt;=15,'Rate Card'!$AG$120,IF(99&lt;=20,'Rate Card'!$AH$120,IF(99&lt;=35,'Rate Card'!$AH$120+(99-20)*'Rate Card'!$AI$120,'Rate Card'!$AK$120+(99-35)*'Rate Card'!$AJ$120)))))))*(1+'Rate Card'!$C$6),2)*(IF('Rate Card'!$G$6="YES",'Rate Card'!$E$6,0)+IF('Rate Card'!$K$6="YES",'Rate Card'!$I$6,0)),2)</f>
        <v/>
      </c>
    </row>
    <row r="104">
      <c r="A104" s="75" t="n">
        <v>100</v>
      </c>
      <c r="B104" s="10">
        <f>""</f>
        <v/>
      </c>
      <c r="C104" s="10">
        <f>""</f>
        <v/>
      </c>
      <c r="D104" s="10">
        <f>""</f>
        <v/>
      </c>
      <c r="E104" s="10">
        <f>""</f>
        <v/>
      </c>
      <c r="F104" s="23">
        <f>IF(100&lt;=2,'Rate Card'!$AD$22,IF(100&lt;=5,'Rate Card'!$AE$22,IF(100&lt;=10,'Rate Card'!$AF$22,IF(100&lt;=15,'Rate Card'!$AG$22,IF(100&lt;=20,'Rate Card'!$AH$22,IF(100&lt;=35,'Rate Card'!$AH$22+(100-20)*'Rate Card'!$AI$22,'Rate Card'!$AK$22+(100-35)*'Rate Card'!$AJ$22))))))</f>
        <v/>
      </c>
      <c r="G104" s="23">
        <f>ROUND((IF(100&lt;=2,'Rate Card'!$AD$22,IF(100&lt;=5,'Rate Card'!$AE$22,IF(100&lt;=10,'Rate Card'!$AF$22,IF(100&lt;=15,'Rate Card'!$AG$22,IF(100&lt;=20,'Rate Card'!$AH$22,IF(100&lt;=35,'Rate Card'!$AH$22+(100-20)*'Rate Card'!$AI$22,'Rate Card'!$AK$22+(100-35)*'Rate Card'!$AJ$22)))))))*(1+'Rate Card'!$C$6),2)+ROUND(ROUND((IF(100&lt;=2,'Rate Card'!$AD$22,IF(100&lt;=5,'Rate Card'!$AE$22,IF(100&lt;=10,'Rate Card'!$AF$22,IF(100&lt;=15,'Rate Card'!$AG$22,IF(100&lt;=20,'Rate Card'!$AH$22,IF(100&lt;=35,'Rate Card'!$AH$22+(100-20)*'Rate Card'!$AI$22,'Rate Card'!$AK$22+(100-35)*'Rate Card'!$AJ$22)))))))*(1+'Rate Card'!$C$6),2)*(IF('Rate Card'!$G$6="YES",'Rate Card'!$E$6,0)+IF('Rate Card'!$K$6="YES",'Rate Card'!$I$6,0)),2)</f>
        <v/>
      </c>
      <c r="H104" s="23">
        <f>IF(100&lt;=2,'Rate Card'!$AD$23,IF(100&lt;=5,'Rate Card'!$AE$23,IF(100&lt;=10,'Rate Card'!$AF$23,IF(100&lt;=15,'Rate Card'!$AG$23,IF(100&lt;=20,'Rate Card'!$AH$23,IF(100&lt;=35,'Rate Card'!$AH$23+(100-20)*'Rate Card'!$AI$23,'Rate Card'!$AK$23+(100-35)*'Rate Card'!$AJ$23))))))</f>
        <v/>
      </c>
      <c r="I104" s="23">
        <f>ROUND((IF(100&lt;=2,'Rate Card'!$AD$23,IF(100&lt;=5,'Rate Card'!$AE$23,IF(100&lt;=10,'Rate Card'!$AF$23,IF(100&lt;=15,'Rate Card'!$AG$23,IF(100&lt;=20,'Rate Card'!$AH$23,IF(100&lt;=35,'Rate Card'!$AH$23+(100-20)*'Rate Card'!$AI$23,'Rate Card'!$AK$23+(100-35)*'Rate Card'!$AJ$23)))))))*(1+'Rate Card'!$C$6),2)+ROUND(ROUND((IF(100&lt;=2,'Rate Card'!$AD$23,IF(100&lt;=5,'Rate Card'!$AE$23,IF(100&lt;=10,'Rate Card'!$AF$23,IF(100&lt;=15,'Rate Card'!$AG$23,IF(100&lt;=20,'Rate Card'!$AH$23,IF(100&lt;=35,'Rate Card'!$AH$23+(100-20)*'Rate Card'!$AI$23,'Rate Card'!$AK$23+(100-35)*'Rate Card'!$AJ$23)))))))*(1+'Rate Card'!$C$6),2)*(IF('Rate Card'!$G$6="YES",'Rate Card'!$E$6,0)+IF('Rate Card'!$K$6="YES",'Rate Card'!$I$6,0)),2)</f>
        <v/>
      </c>
      <c r="J104" s="10">
        <f>""</f>
        <v/>
      </c>
      <c r="K104" s="10">
        <f>""</f>
        <v/>
      </c>
      <c r="L104" s="10">
        <f>""</f>
        <v/>
      </c>
      <c r="M104" s="10">
        <f>""</f>
        <v/>
      </c>
      <c r="N104" s="23">
        <f>IF(100&lt;=2,'Rate Card'!$AD$119,IF(100&lt;=5,'Rate Card'!$AE$119,IF(100&lt;=10,'Rate Card'!$AF$119,IF(100&lt;=15,'Rate Card'!$AG$119,IF(100&lt;=20,'Rate Card'!$AH$119,IF(100&lt;=35,'Rate Card'!$AH$119+(100-20)*'Rate Card'!$AI$119,'Rate Card'!$AK$119+(100-35)*'Rate Card'!$AJ$119))))))</f>
        <v/>
      </c>
      <c r="O104" s="23">
        <f>ROUND((IF(100&lt;=2,'Rate Card'!$AD$119,IF(100&lt;=5,'Rate Card'!$AE$119,IF(100&lt;=10,'Rate Card'!$AF$119,IF(100&lt;=15,'Rate Card'!$AG$119,IF(100&lt;=20,'Rate Card'!$AH$119,IF(100&lt;=35,'Rate Card'!$AH$119+(100-20)*'Rate Card'!$AI$119,'Rate Card'!$AK$119+(100-35)*'Rate Card'!$AJ$119)))))))*(1+'Rate Card'!$C$6),2)+ROUND(ROUND((IF(100&lt;=2,'Rate Card'!$AD$119,IF(100&lt;=5,'Rate Card'!$AE$119,IF(100&lt;=10,'Rate Card'!$AF$119,IF(100&lt;=15,'Rate Card'!$AG$119,IF(100&lt;=20,'Rate Card'!$AH$119,IF(100&lt;=35,'Rate Card'!$AH$119+(100-20)*'Rate Card'!$AI$119,'Rate Card'!$AK$119+(100-35)*'Rate Card'!$AJ$119)))))))*(1+'Rate Card'!$C$6),2)*(IF('Rate Card'!$G$6="YES",'Rate Card'!$E$6,0)+IF('Rate Card'!$K$6="YES",'Rate Card'!$I$6,0)),2)</f>
        <v/>
      </c>
      <c r="P104" s="23">
        <f>IF(100&lt;=2,'Rate Card'!$AD$120,IF(100&lt;=5,'Rate Card'!$AE$120,IF(100&lt;=10,'Rate Card'!$AF$120,IF(100&lt;=15,'Rate Card'!$AG$120,IF(100&lt;=20,'Rate Card'!$AH$120,IF(100&lt;=35,'Rate Card'!$AH$120+(100-20)*'Rate Card'!$AI$120,'Rate Card'!$AK$120+(100-35)*'Rate Card'!$AJ$120))))))</f>
        <v/>
      </c>
      <c r="Q104" s="12">
        <f>ROUND((IF(100&lt;=2,'Rate Card'!$AD$120,IF(100&lt;=5,'Rate Card'!$AE$120,IF(100&lt;=10,'Rate Card'!$AF$120,IF(100&lt;=15,'Rate Card'!$AG$120,IF(100&lt;=20,'Rate Card'!$AH$120,IF(100&lt;=35,'Rate Card'!$AH$120+(100-20)*'Rate Card'!$AI$120,'Rate Card'!$AK$120+(100-35)*'Rate Card'!$AJ$120)))))))*(1+'Rate Card'!$C$6),2)+ROUND(ROUND((IF(100&lt;=2,'Rate Card'!$AD$120,IF(100&lt;=5,'Rate Card'!$AE$120,IF(100&lt;=10,'Rate Card'!$AF$120,IF(100&lt;=15,'Rate Card'!$AG$120,IF(100&lt;=20,'Rate Card'!$AH$120,IF(100&lt;=35,'Rate Card'!$AH$120+(100-20)*'Rate Card'!$AI$120,'Rate Card'!$AK$120+(100-35)*'Rate Card'!$AJ$120)))))))*(1+'Rate Card'!$C$6),2)*(IF('Rate Card'!$G$6="YES",'Rate Card'!$E$6,0)+IF('Rate Card'!$K$6="YES",'Rate Card'!$I$6,0)),2)</f>
        <v/>
      </c>
    </row>
    <row r="105">
      <c r="A105" s="75" t="n">
        <v>101</v>
      </c>
      <c r="B105" s="10">
        <f>""</f>
        <v/>
      </c>
      <c r="C105" s="10">
        <f>""</f>
        <v/>
      </c>
      <c r="D105" s="10">
        <f>""</f>
        <v/>
      </c>
      <c r="E105" s="10">
        <f>""</f>
        <v/>
      </c>
      <c r="F105" s="23">
        <f>IF(101&lt;=2,'Rate Card'!$AD$22,IF(101&lt;=5,'Rate Card'!$AE$22,IF(101&lt;=10,'Rate Card'!$AF$22,IF(101&lt;=15,'Rate Card'!$AG$22,IF(101&lt;=20,'Rate Card'!$AH$22,IF(101&lt;=35,'Rate Card'!$AH$22+(101-20)*'Rate Card'!$AI$22,'Rate Card'!$AK$22+(101-35)*'Rate Card'!$AJ$22))))))</f>
        <v/>
      </c>
      <c r="G105" s="23">
        <f>ROUND((IF(101&lt;=2,'Rate Card'!$AD$22,IF(101&lt;=5,'Rate Card'!$AE$22,IF(101&lt;=10,'Rate Card'!$AF$22,IF(101&lt;=15,'Rate Card'!$AG$22,IF(101&lt;=20,'Rate Card'!$AH$22,IF(101&lt;=35,'Rate Card'!$AH$22+(101-20)*'Rate Card'!$AI$22,'Rate Card'!$AK$22+(101-35)*'Rate Card'!$AJ$22)))))))*(1+'Rate Card'!$C$6),2)+ROUND(ROUND((IF(101&lt;=2,'Rate Card'!$AD$22,IF(101&lt;=5,'Rate Card'!$AE$22,IF(101&lt;=10,'Rate Card'!$AF$22,IF(101&lt;=15,'Rate Card'!$AG$22,IF(101&lt;=20,'Rate Card'!$AH$22,IF(101&lt;=35,'Rate Card'!$AH$22+(101-20)*'Rate Card'!$AI$22,'Rate Card'!$AK$22+(101-35)*'Rate Card'!$AJ$22)))))))*(1+'Rate Card'!$C$6),2)*(IF('Rate Card'!$G$6="YES",'Rate Card'!$E$6,0)+IF('Rate Card'!$K$6="YES",'Rate Card'!$I$6,0)),2)</f>
        <v/>
      </c>
      <c r="H105" s="23">
        <f>IF(101&lt;=2,'Rate Card'!$AD$23,IF(101&lt;=5,'Rate Card'!$AE$23,IF(101&lt;=10,'Rate Card'!$AF$23,IF(101&lt;=15,'Rate Card'!$AG$23,IF(101&lt;=20,'Rate Card'!$AH$23,IF(101&lt;=35,'Rate Card'!$AH$23+(101-20)*'Rate Card'!$AI$23,'Rate Card'!$AK$23+(101-35)*'Rate Card'!$AJ$23))))))</f>
        <v/>
      </c>
      <c r="I105" s="23">
        <f>ROUND((IF(101&lt;=2,'Rate Card'!$AD$23,IF(101&lt;=5,'Rate Card'!$AE$23,IF(101&lt;=10,'Rate Card'!$AF$23,IF(101&lt;=15,'Rate Card'!$AG$23,IF(101&lt;=20,'Rate Card'!$AH$23,IF(101&lt;=35,'Rate Card'!$AH$23+(101-20)*'Rate Card'!$AI$23,'Rate Card'!$AK$23+(101-35)*'Rate Card'!$AJ$23)))))))*(1+'Rate Card'!$C$6),2)+ROUND(ROUND((IF(101&lt;=2,'Rate Card'!$AD$23,IF(101&lt;=5,'Rate Card'!$AE$23,IF(101&lt;=10,'Rate Card'!$AF$23,IF(101&lt;=15,'Rate Card'!$AG$23,IF(101&lt;=20,'Rate Card'!$AH$23,IF(101&lt;=35,'Rate Card'!$AH$23+(101-20)*'Rate Card'!$AI$23,'Rate Card'!$AK$23+(101-35)*'Rate Card'!$AJ$23)))))))*(1+'Rate Card'!$C$6),2)*(IF('Rate Card'!$G$6="YES",'Rate Card'!$E$6,0)+IF('Rate Card'!$K$6="YES",'Rate Card'!$I$6,0)),2)</f>
        <v/>
      </c>
      <c r="J105" s="10">
        <f>""</f>
        <v/>
      </c>
      <c r="K105" s="10">
        <f>""</f>
        <v/>
      </c>
      <c r="L105" s="10">
        <f>""</f>
        <v/>
      </c>
      <c r="M105" s="10">
        <f>""</f>
        <v/>
      </c>
      <c r="N105" s="23">
        <f>IF(101&lt;=2,'Rate Card'!$AD$119,IF(101&lt;=5,'Rate Card'!$AE$119,IF(101&lt;=10,'Rate Card'!$AF$119,IF(101&lt;=15,'Rate Card'!$AG$119,IF(101&lt;=20,'Rate Card'!$AH$119,IF(101&lt;=35,'Rate Card'!$AH$119+(101-20)*'Rate Card'!$AI$119,'Rate Card'!$AK$119+(101-35)*'Rate Card'!$AJ$119))))))</f>
        <v/>
      </c>
      <c r="O105" s="23">
        <f>ROUND((IF(101&lt;=2,'Rate Card'!$AD$119,IF(101&lt;=5,'Rate Card'!$AE$119,IF(101&lt;=10,'Rate Card'!$AF$119,IF(101&lt;=15,'Rate Card'!$AG$119,IF(101&lt;=20,'Rate Card'!$AH$119,IF(101&lt;=35,'Rate Card'!$AH$119+(101-20)*'Rate Card'!$AI$119,'Rate Card'!$AK$119+(101-35)*'Rate Card'!$AJ$119)))))))*(1+'Rate Card'!$C$6),2)+ROUND(ROUND((IF(101&lt;=2,'Rate Card'!$AD$119,IF(101&lt;=5,'Rate Card'!$AE$119,IF(101&lt;=10,'Rate Card'!$AF$119,IF(101&lt;=15,'Rate Card'!$AG$119,IF(101&lt;=20,'Rate Card'!$AH$119,IF(101&lt;=35,'Rate Card'!$AH$119+(101-20)*'Rate Card'!$AI$119,'Rate Card'!$AK$119+(101-35)*'Rate Card'!$AJ$119)))))))*(1+'Rate Card'!$C$6),2)*(IF('Rate Card'!$G$6="YES",'Rate Card'!$E$6,0)+IF('Rate Card'!$K$6="YES",'Rate Card'!$I$6,0)),2)</f>
        <v/>
      </c>
      <c r="P105" s="23">
        <f>IF(101&lt;=2,'Rate Card'!$AD$120,IF(101&lt;=5,'Rate Card'!$AE$120,IF(101&lt;=10,'Rate Card'!$AF$120,IF(101&lt;=15,'Rate Card'!$AG$120,IF(101&lt;=20,'Rate Card'!$AH$120,IF(101&lt;=35,'Rate Card'!$AH$120+(101-20)*'Rate Card'!$AI$120,'Rate Card'!$AK$120+(101-35)*'Rate Card'!$AJ$120))))))</f>
        <v/>
      </c>
      <c r="Q105" s="12">
        <f>ROUND((IF(101&lt;=2,'Rate Card'!$AD$120,IF(101&lt;=5,'Rate Card'!$AE$120,IF(101&lt;=10,'Rate Card'!$AF$120,IF(101&lt;=15,'Rate Card'!$AG$120,IF(101&lt;=20,'Rate Card'!$AH$120,IF(101&lt;=35,'Rate Card'!$AH$120+(101-20)*'Rate Card'!$AI$120,'Rate Card'!$AK$120+(101-35)*'Rate Card'!$AJ$120)))))))*(1+'Rate Card'!$C$6),2)+ROUND(ROUND((IF(101&lt;=2,'Rate Card'!$AD$120,IF(101&lt;=5,'Rate Card'!$AE$120,IF(101&lt;=10,'Rate Card'!$AF$120,IF(101&lt;=15,'Rate Card'!$AG$120,IF(101&lt;=20,'Rate Card'!$AH$120,IF(101&lt;=35,'Rate Card'!$AH$120+(101-20)*'Rate Card'!$AI$120,'Rate Card'!$AK$120+(101-35)*'Rate Card'!$AJ$120)))))))*(1+'Rate Card'!$C$6),2)*(IF('Rate Card'!$G$6="YES",'Rate Card'!$E$6,0)+IF('Rate Card'!$K$6="YES",'Rate Card'!$I$6,0)),2)</f>
        <v/>
      </c>
    </row>
    <row r="106">
      <c r="A106" s="75" t="n">
        <v>102</v>
      </c>
      <c r="B106" s="10">
        <f>""</f>
        <v/>
      </c>
      <c r="C106" s="10">
        <f>""</f>
        <v/>
      </c>
      <c r="D106" s="10">
        <f>""</f>
        <v/>
      </c>
      <c r="E106" s="10">
        <f>""</f>
        <v/>
      </c>
      <c r="F106" s="23">
        <f>IF(102&lt;=2,'Rate Card'!$AD$22,IF(102&lt;=5,'Rate Card'!$AE$22,IF(102&lt;=10,'Rate Card'!$AF$22,IF(102&lt;=15,'Rate Card'!$AG$22,IF(102&lt;=20,'Rate Card'!$AH$22,IF(102&lt;=35,'Rate Card'!$AH$22+(102-20)*'Rate Card'!$AI$22,'Rate Card'!$AK$22+(102-35)*'Rate Card'!$AJ$22))))))</f>
        <v/>
      </c>
      <c r="G106" s="23">
        <f>ROUND((IF(102&lt;=2,'Rate Card'!$AD$22,IF(102&lt;=5,'Rate Card'!$AE$22,IF(102&lt;=10,'Rate Card'!$AF$22,IF(102&lt;=15,'Rate Card'!$AG$22,IF(102&lt;=20,'Rate Card'!$AH$22,IF(102&lt;=35,'Rate Card'!$AH$22+(102-20)*'Rate Card'!$AI$22,'Rate Card'!$AK$22+(102-35)*'Rate Card'!$AJ$22)))))))*(1+'Rate Card'!$C$6),2)+ROUND(ROUND((IF(102&lt;=2,'Rate Card'!$AD$22,IF(102&lt;=5,'Rate Card'!$AE$22,IF(102&lt;=10,'Rate Card'!$AF$22,IF(102&lt;=15,'Rate Card'!$AG$22,IF(102&lt;=20,'Rate Card'!$AH$22,IF(102&lt;=35,'Rate Card'!$AH$22+(102-20)*'Rate Card'!$AI$22,'Rate Card'!$AK$22+(102-35)*'Rate Card'!$AJ$22)))))))*(1+'Rate Card'!$C$6),2)*(IF('Rate Card'!$G$6="YES",'Rate Card'!$E$6,0)+IF('Rate Card'!$K$6="YES",'Rate Card'!$I$6,0)),2)</f>
        <v/>
      </c>
      <c r="H106" s="23">
        <f>IF(102&lt;=2,'Rate Card'!$AD$23,IF(102&lt;=5,'Rate Card'!$AE$23,IF(102&lt;=10,'Rate Card'!$AF$23,IF(102&lt;=15,'Rate Card'!$AG$23,IF(102&lt;=20,'Rate Card'!$AH$23,IF(102&lt;=35,'Rate Card'!$AH$23+(102-20)*'Rate Card'!$AI$23,'Rate Card'!$AK$23+(102-35)*'Rate Card'!$AJ$23))))))</f>
        <v/>
      </c>
      <c r="I106" s="23">
        <f>ROUND((IF(102&lt;=2,'Rate Card'!$AD$23,IF(102&lt;=5,'Rate Card'!$AE$23,IF(102&lt;=10,'Rate Card'!$AF$23,IF(102&lt;=15,'Rate Card'!$AG$23,IF(102&lt;=20,'Rate Card'!$AH$23,IF(102&lt;=35,'Rate Card'!$AH$23+(102-20)*'Rate Card'!$AI$23,'Rate Card'!$AK$23+(102-35)*'Rate Card'!$AJ$23)))))))*(1+'Rate Card'!$C$6),2)+ROUND(ROUND((IF(102&lt;=2,'Rate Card'!$AD$23,IF(102&lt;=5,'Rate Card'!$AE$23,IF(102&lt;=10,'Rate Card'!$AF$23,IF(102&lt;=15,'Rate Card'!$AG$23,IF(102&lt;=20,'Rate Card'!$AH$23,IF(102&lt;=35,'Rate Card'!$AH$23+(102-20)*'Rate Card'!$AI$23,'Rate Card'!$AK$23+(102-35)*'Rate Card'!$AJ$23)))))))*(1+'Rate Card'!$C$6),2)*(IF('Rate Card'!$G$6="YES",'Rate Card'!$E$6,0)+IF('Rate Card'!$K$6="YES",'Rate Card'!$I$6,0)),2)</f>
        <v/>
      </c>
      <c r="J106" s="10">
        <f>""</f>
        <v/>
      </c>
      <c r="K106" s="10">
        <f>""</f>
        <v/>
      </c>
      <c r="L106" s="10">
        <f>""</f>
        <v/>
      </c>
      <c r="M106" s="10">
        <f>""</f>
        <v/>
      </c>
      <c r="N106" s="23">
        <f>IF(102&lt;=2,'Rate Card'!$AD$119,IF(102&lt;=5,'Rate Card'!$AE$119,IF(102&lt;=10,'Rate Card'!$AF$119,IF(102&lt;=15,'Rate Card'!$AG$119,IF(102&lt;=20,'Rate Card'!$AH$119,IF(102&lt;=35,'Rate Card'!$AH$119+(102-20)*'Rate Card'!$AI$119,'Rate Card'!$AK$119+(102-35)*'Rate Card'!$AJ$119))))))</f>
        <v/>
      </c>
      <c r="O106" s="23">
        <f>ROUND((IF(102&lt;=2,'Rate Card'!$AD$119,IF(102&lt;=5,'Rate Card'!$AE$119,IF(102&lt;=10,'Rate Card'!$AF$119,IF(102&lt;=15,'Rate Card'!$AG$119,IF(102&lt;=20,'Rate Card'!$AH$119,IF(102&lt;=35,'Rate Card'!$AH$119+(102-20)*'Rate Card'!$AI$119,'Rate Card'!$AK$119+(102-35)*'Rate Card'!$AJ$119)))))))*(1+'Rate Card'!$C$6),2)+ROUND(ROUND((IF(102&lt;=2,'Rate Card'!$AD$119,IF(102&lt;=5,'Rate Card'!$AE$119,IF(102&lt;=10,'Rate Card'!$AF$119,IF(102&lt;=15,'Rate Card'!$AG$119,IF(102&lt;=20,'Rate Card'!$AH$119,IF(102&lt;=35,'Rate Card'!$AH$119+(102-20)*'Rate Card'!$AI$119,'Rate Card'!$AK$119+(102-35)*'Rate Card'!$AJ$119)))))))*(1+'Rate Card'!$C$6),2)*(IF('Rate Card'!$G$6="YES",'Rate Card'!$E$6,0)+IF('Rate Card'!$K$6="YES",'Rate Card'!$I$6,0)),2)</f>
        <v/>
      </c>
      <c r="P106" s="23">
        <f>IF(102&lt;=2,'Rate Card'!$AD$120,IF(102&lt;=5,'Rate Card'!$AE$120,IF(102&lt;=10,'Rate Card'!$AF$120,IF(102&lt;=15,'Rate Card'!$AG$120,IF(102&lt;=20,'Rate Card'!$AH$120,IF(102&lt;=35,'Rate Card'!$AH$120+(102-20)*'Rate Card'!$AI$120,'Rate Card'!$AK$120+(102-35)*'Rate Card'!$AJ$120))))))</f>
        <v/>
      </c>
      <c r="Q106" s="12">
        <f>ROUND((IF(102&lt;=2,'Rate Card'!$AD$120,IF(102&lt;=5,'Rate Card'!$AE$120,IF(102&lt;=10,'Rate Card'!$AF$120,IF(102&lt;=15,'Rate Card'!$AG$120,IF(102&lt;=20,'Rate Card'!$AH$120,IF(102&lt;=35,'Rate Card'!$AH$120+(102-20)*'Rate Card'!$AI$120,'Rate Card'!$AK$120+(102-35)*'Rate Card'!$AJ$120)))))))*(1+'Rate Card'!$C$6),2)+ROUND(ROUND((IF(102&lt;=2,'Rate Card'!$AD$120,IF(102&lt;=5,'Rate Card'!$AE$120,IF(102&lt;=10,'Rate Card'!$AF$120,IF(102&lt;=15,'Rate Card'!$AG$120,IF(102&lt;=20,'Rate Card'!$AH$120,IF(102&lt;=35,'Rate Card'!$AH$120+(102-20)*'Rate Card'!$AI$120,'Rate Card'!$AK$120+(102-35)*'Rate Card'!$AJ$120)))))))*(1+'Rate Card'!$C$6),2)*(IF('Rate Card'!$G$6="YES",'Rate Card'!$E$6,0)+IF('Rate Card'!$K$6="YES",'Rate Card'!$I$6,0)),2)</f>
        <v/>
      </c>
    </row>
    <row r="107">
      <c r="A107" s="75" t="n">
        <v>103</v>
      </c>
      <c r="B107" s="10">
        <f>""</f>
        <v/>
      </c>
      <c r="C107" s="10">
        <f>""</f>
        <v/>
      </c>
      <c r="D107" s="10">
        <f>""</f>
        <v/>
      </c>
      <c r="E107" s="10">
        <f>""</f>
        <v/>
      </c>
      <c r="F107" s="23">
        <f>IF(103&lt;=2,'Rate Card'!$AD$22,IF(103&lt;=5,'Rate Card'!$AE$22,IF(103&lt;=10,'Rate Card'!$AF$22,IF(103&lt;=15,'Rate Card'!$AG$22,IF(103&lt;=20,'Rate Card'!$AH$22,IF(103&lt;=35,'Rate Card'!$AH$22+(103-20)*'Rate Card'!$AI$22,'Rate Card'!$AK$22+(103-35)*'Rate Card'!$AJ$22))))))</f>
        <v/>
      </c>
      <c r="G107" s="23">
        <f>ROUND((IF(103&lt;=2,'Rate Card'!$AD$22,IF(103&lt;=5,'Rate Card'!$AE$22,IF(103&lt;=10,'Rate Card'!$AF$22,IF(103&lt;=15,'Rate Card'!$AG$22,IF(103&lt;=20,'Rate Card'!$AH$22,IF(103&lt;=35,'Rate Card'!$AH$22+(103-20)*'Rate Card'!$AI$22,'Rate Card'!$AK$22+(103-35)*'Rate Card'!$AJ$22)))))))*(1+'Rate Card'!$C$6),2)+ROUND(ROUND((IF(103&lt;=2,'Rate Card'!$AD$22,IF(103&lt;=5,'Rate Card'!$AE$22,IF(103&lt;=10,'Rate Card'!$AF$22,IF(103&lt;=15,'Rate Card'!$AG$22,IF(103&lt;=20,'Rate Card'!$AH$22,IF(103&lt;=35,'Rate Card'!$AH$22+(103-20)*'Rate Card'!$AI$22,'Rate Card'!$AK$22+(103-35)*'Rate Card'!$AJ$22)))))))*(1+'Rate Card'!$C$6),2)*(IF('Rate Card'!$G$6="YES",'Rate Card'!$E$6,0)+IF('Rate Card'!$K$6="YES",'Rate Card'!$I$6,0)),2)</f>
        <v/>
      </c>
      <c r="H107" s="23">
        <f>IF(103&lt;=2,'Rate Card'!$AD$23,IF(103&lt;=5,'Rate Card'!$AE$23,IF(103&lt;=10,'Rate Card'!$AF$23,IF(103&lt;=15,'Rate Card'!$AG$23,IF(103&lt;=20,'Rate Card'!$AH$23,IF(103&lt;=35,'Rate Card'!$AH$23+(103-20)*'Rate Card'!$AI$23,'Rate Card'!$AK$23+(103-35)*'Rate Card'!$AJ$23))))))</f>
        <v/>
      </c>
      <c r="I107" s="23">
        <f>ROUND((IF(103&lt;=2,'Rate Card'!$AD$23,IF(103&lt;=5,'Rate Card'!$AE$23,IF(103&lt;=10,'Rate Card'!$AF$23,IF(103&lt;=15,'Rate Card'!$AG$23,IF(103&lt;=20,'Rate Card'!$AH$23,IF(103&lt;=35,'Rate Card'!$AH$23+(103-20)*'Rate Card'!$AI$23,'Rate Card'!$AK$23+(103-35)*'Rate Card'!$AJ$23)))))))*(1+'Rate Card'!$C$6),2)+ROUND(ROUND((IF(103&lt;=2,'Rate Card'!$AD$23,IF(103&lt;=5,'Rate Card'!$AE$23,IF(103&lt;=10,'Rate Card'!$AF$23,IF(103&lt;=15,'Rate Card'!$AG$23,IF(103&lt;=20,'Rate Card'!$AH$23,IF(103&lt;=35,'Rate Card'!$AH$23+(103-20)*'Rate Card'!$AI$23,'Rate Card'!$AK$23+(103-35)*'Rate Card'!$AJ$23)))))))*(1+'Rate Card'!$C$6),2)*(IF('Rate Card'!$G$6="YES",'Rate Card'!$E$6,0)+IF('Rate Card'!$K$6="YES",'Rate Card'!$I$6,0)),2)</f>
        <v/>
      </c>
      <c r="J107" s="10">
        <f>""</f>
        <v/>
      </c>
      <c r="K107" s="10">
        <f>""</f>
        <v/>
      </c>
      <c r="L107" s="10">
        <f>""</f>
        <v/>
      </c>
      <c r="M107" s="10">
        <f>""</f>
        <v/>
      </c>
      <c r="N107" s="23">
        <f>IF(103&lt;=2,'Rate Card'!$AD$119,IF(103&lt;=5,'Rate Card'!$AE$119,IF(103&lt;=10,'Rate Card'!$AF$119,IF(103&lt;=15,'Rate Card'!$AG$119,IF(103&lt;=20,'Rate Card'!$AH$119,IF(103&lt;=35,'Rate Card'!$AH$119+(103-20)*'Rate Card'!$AI$119,'Rate Card'!$AK$119+(103-35)*'Rate Card'!$AJ$119))))))</f>
        <v/>
      </c>
      <c r="O107" s="23">
        <f>ROUND((IF(103&lt;=2,'Rate Card'!$AD$119,IF(103&lt;=5,'Rate Card'!$AE$119,IF(103&lt;=10,'Rate Card'!$AF$119,IF(103&lt;=15,'Rate Card'!$AG$119,IF(103&lt;=20,'Rate Card'!$AH$119,IF(103&lt;=35,'Rate Card'!$AH$119+(103-20)*'Rate Card'!$AI$119,'Rate Card'!$AK$119+(103-35)*'Rate Card'!$AJ$119)))))))*(1+'Rate Card'!$C$6),2)+ROUND(ROUND((IF(103&lt;=2,'Rate Card'!$AD$119,IF(103&lt;=5,'Rate Card'!$AE$119,IF(103&lt;=10,'Rate Card'!$AF$119,IF(103&lt;=15,'Rate Card'!$AG$119,IF(103&lt;=20,'Rate Card'!$AH$119,IF(103&lt;=35,'Rate Card'!$AH$119+(103-20)*'Rate Card'!$AI$119,'Rate Card'!$AK$119+(103-35)*'Rate Card'!$AJ$119)))))))*(1+'Rate Card'!$C$6),2)*(IF('Rate Card'!$G$6="YES",'Rate Card'!$E$6,0)+IF('Rate Card'!$K$6="YES",'Rate Card'!$I$6,0)),2)</f>
        <v/>
      </c>
      <c r="P107" s="23">
        <f>IF(103&lt;=2,'Rate Card'!$AD$120,IF(103&lt;=5,'Rate Card'!$AE$120,IF(103&lt;=10,'Rate Card'!$AF$120,IF(103&lt;=15,'Rate Card'!$AG$120,IF(103&lt;=20,'Rate Card'!$AH$120,IF(103&lt;=35,'Rate Card'!$AH$120+(103-20)*'Rate Card'!$AI$120,'Rate Card'!$AK$120+(103-35)*'Rate Card'!$AJ$120))))))</f>
        <v/>
      </c>
      <c r="Q107" s="12">
        <f>ROUND((IF(103&lt;=2,'Rate Card'!$AD$120,IF(103&lt;=5,'Rate Card'!$AE$120,IF(103&lt;=10,'Rate Card'!$AF$120,IF(103&lt;=15,'Rate Card'!$AG$120,IF(103&lt;=20,'Rate Card'!$AH$120,IF(103&lt;=35,'Rate Card'!$AH$120+(103-20)*'Rate Card'!$AI$120,'Rate Card'!$AK$120+(103-35)*'Rate Card'!$AJ$120)))))))*(1+'Rate Card'!$C$6),2)+ROUND(ROUND((IF(103&lt;=2,'Rate Card'!$AD$120,IF(103&lt;=5,'Rate Card'!$AE$120,IF(103&lt;=10,'Rate Card'!$AF$120,IF(103&lt;=15,'Rate Card'!$AG$120,IF(103&lt;=20,'Rate Card'!$AH$120,IF(103&lt;=35,'Rate Card'!$AH$120+(103-20)*'Rate Card'!$AI$120,'Rate Card'!$AK$120+(103-35)*'Rate Card'!$AJ$120)))))))*(1+'Rate Card'!$C$6),2)*(IF('Rate Card'!$G$6="YES",'Rate Card'!$E$6,0)+IF('Rate Card'!$K$6="YES",'Rate Card'!$I$6,0)),2)</f>
        <v/>
      </c>
    </row>
    <row r="108">
      <c r="A108" s="75" t="n">
        <v>104</v>
      </c>
      <c r="B108" s="10">
        <f>""</f>
        <v/>
      </c>
      <c r="C108" s="10">
        <f>""</f>
        <v/>
      </c>
      <c r="D108" s="10">
        <f>""</f>
        <v/>
      </c>
      <c r="E108" s="10">
        <f>""</f>
        <v/>
      </c>
      <c r="F108" s="23">
        <f>IF(104&lt;=2,'Rate Card'!$AD$22,IF(104&lt;=5,'Rate Card'!$AE$22,IF(104&lt;=10,'Rate Card'!$AF$22,IF(104&lt;=15,'Rate Card'!$AG$22,IF(104&lt;=20,'Rate Card'!$AH$22,IF(104&lt;=35,'Rate Card'!$AH$22+(104-20)*'Rate Card'!$AI$22,'Rate Card'!$AK$22+(104-35)*'Rate Card'!$AJ$22))))))</f>
        <v/>
      </c>
      <c r="G108" s="23">
        <f>ROUND((IF(104&lt;=2,'Rate Card'!$AD$22,IF(104&lt;=5,'Rate Card'!$AE$22,IF(104&lt;=10,'Rate Card'!$AF$22,IF(104&lt;=15,'Rate Card'!$AG$22,IF(104&lt;=20,'Rate Card'!$AH$22,IF(104&lt;=35,'Rate Card'!$AH$22+(104-20)*'Rate Card'!$AI$22,'Rate Card'!$AK$22+(104-35)*'Rate Card'!$AJ$22)))))))*(1+'Rate Card'!$C$6),2)+ROUND(ROUND((IF(104&lt;=2,'Rate Card'!$AD$22,IF(104&lt;=5,'Rate Card'!$AE$22,IF(104&lt;=10,'Rate Card'!$AF$22,IF(104&lt;=15,'Rate Card'!$AG$22,IF(104&lt;=20,'Rate Card'!$AH$22,IF(104&lt;=35,'Rate Card'!$AH$22+(104-20)*'Rate Card'!$AI$22,'Rate Card'!$AK$22+(104-35)*'Rate Card'!$AJ$22)))))))*(1+'Rate Card'!$C$6),2)*(IF('Rate Card'!$G$6="YES",'Rate Card'!$E$6,0)+IF('Rate Card'!$K$6="YES",'Rate Card'!$I$6,0)),2)</f>
        <v/>
      </c>
      <c r="H108" s="23">
        <f>IF(104&lt;=2,'Rate Card'!$AD$23,IF(104&lt;=5,'Rate Card'!$AE$23,IF(104&lt;=10,'Rate Card'!$AF$23,IF(104&lt;=15,'Rate Card'!$AG$23,IF(104&lt;=20,'Rate Card'!$AH$23,IF(104&lt;=35,'Rate Card'!$AH$23+(104-20)*'Rate Card'!$AI$23,'Rate Card'!$AK$23+(104-35)*'Rate Card'!$AJ$23))))))</f>
        <v/>
      </c>
      <c r="I108" s="23">
        <f>ROUND((IF(104&lt;=2,'Rate Card'!$AD$23,IF(104&lt;=5,'Rate Card'!$AE$23,IF(104&lt;=10,'Rate Card'!$AF$23,IF(104&lt;=15,'Rate Card'!$AG$23,IF(104&lt;=20,'Rate Card'!$AH$23,IF(104&lt;=35,'Rate Card'!$AH$23+(104-20)*'Rate Card'!$AI$23,'Rate Card'!$AK$23+(104-35)*'Rate Card'!$AJ$23)))))))*(1+'Rate Card'!$C$6),2)+ROUND(ROUND((IF(104&lt;=2,'Rate Card'!$AD$23,IF(104&lt;=5,'Rate Card'!$AE$23,IF(104&lt;=10,'Rate Card'!$AF$23,IF(104&lt;=15,'Rate Card'!$AG$23,IF(104&lt;=20,'Rate Card'!$AH$23,IF(104&lt;=35,'Rate Card'!$AH$23+(104-20)*'Rate Card'!$AI$23,'Rate Card'!$AK$23+(104-35)*'Rate Card'!$AJ$23)))))))*(1+'Rate Card'!$C$6),2)*(IF('Rate Card'!$G$6="YES",'Rate Card'!$E$6,0)+IF('Rate Card'!$K$6="YES",'Rate Card'!$I$6,0)),2)</f>
        <v/>
      </c>
      <c r="J108" s="10">
        <f>""</f>
        <v/>
      </c>
      <c r="K108" s="10">
        <f>""</f>
        <v/>
      </c>
      <c r="L108" s="10">
        <f>""</f>
        <v/>
      </c>
      <c r="M108" s="10">
        <f>""</f>
        <v/>
      </c>
      <c r="N108" s="23">
        <f>IF(104&lt;=2,'Rate Card'!$AD$119,IF(104&lt;=5,'Rate Card'!$AE$119,IF(104&lt;=10,'Rate Card'!$AF$119,IF(104&lt;=15,'Rate Card'!$AG$119,IF(104&lt;=20,'Rate Card'!$AH$119,IF(104&lt;=35,'Rate Card'!$AH$119+(104-20)*'Rate Card'!$AI$119,'Rate Card'!$AK$119+(104-35)*'Rate Card'!$AJ$119))))))</f>
        <v/>
      </c>
      <c r="O108" s="23">
        <f>ROUND((IF(104&lt;=2,'Rate Card'!$AD$119,IF(104&lt;=5,'Rate Card'!$AE$119,IF(104&lt;=10,'Rate Card'!$AF$119,IF(104&lt;=15,'Rate Card'!$AG$119,IF(104&lt;=20,'Rate Card'!$AH$119,IF(104&lt;=35,'Rate Card'!$AH$119+(104-20)*'Rate Card'!$AI$119,'Rate Card'!$AK$119+(104-35)*'Rate Card'!$AJ$119)))))))*(1+'Rate Card'!$C$6),2)+ROUND(ROUND((IF(104&lt;=2,'Rate Card'!$AD$119,IF(104&lt;=5,'Rate Card'!$AE$119,IF(104&lt;=10,'Rate Card'!$AF$119,IF(104&lt;=15,'Rate Card'!$AG$119,IF(104&lt;=20,'Rate Card'!$AH$119,IF(104&lt;=35,'Rate Card'!$AH$119+(104-20)*'Rate Card'!$AI$119,'Rate Card'!$AK$119+(104-35)*'Rate Card'!$AJ$119)))))))*(1+'Rate Card'!$C$6),2)*(IF('Rate Card'!$G$6="YES",'Rate Card'!$E$6,0)+IF('Rate Card'!$K$6="YES",'Rate Card'!$I$6,0)),2)</f>
        <v/>
      </c>
      <c r="P108" s="23">
        <f>IF(104&lt;=2,'Rate Card'!$AD$120,IF(104&lt;=5,'Rate Card'!$AE$120,IF(104&lt;=10,'Rate Card'!$AF$120,IF(104&lt;=15,'Rate Card'!$AG$120,IF(104&lt;=20,'Rate Card'!$AH$120,IF(104&lt;=35,'Rate Card'!$AH$120+(104-20)*'Rate Card'!$AI$120,'Rate Card'!$AK$120+(104-35)*'Rate Card'!$AJ$120))))))</f>
        <v/>
      </c>
      <c r="Q108" s="12">
        <f>ROUND((IF(104&lt;=2,'Rate Card'!$AD$120,IF(104&lt;=5,'Rate Card'!$AE$120,IF(104&lt;=10,'Rate Card'!$AF$120,IF(104&lt;=15,'Rate Card'!$AG$120,IF(104&lt;=20,'Rate Card'!$AH$120,IF(104&lt;=35,'Rate Card'!$AH$120+(104-20)*'Rate Card'!$AI$120,'Rate Card'!$AK$120+(104-35)*'Rate Card'!$AJ$120)))))))*(1+'Rate Card'!$C$6),2)+ROUND(ROUND((IF(104&lt;=2,'Rate Card'!$AD$120,IF(104&lt;=5,'Rate Card'!$AE$120,IF(104&lt;=10,'Rate Card'!$AF$120,IF(104&lt;=15,'Rate Card'!$AG$120,IF(104&lt;=20,'Rate Card'!$AH$120,IF(104&lt;=35,'Rate Card'!$AH$120+(104-20)*'Rate Card'!$AI$120,'Rate Card'!$AK$120+(104-35)*'Rate Card'!$AJ$120)))))))*(1+'Rate Card'!$C$6),2)*(IF('Rate Card'!$G$6="YES",'Rate Card'!$E$6,0)+IF('Rate Card'!$K$6="YES",'Rate Card'!$I$6,0)),2)</f>
        <v/>
      </c>
    </row>
    <row r="109">
      <c r="A109" s="75" t="n">
        <v>105</v>
      </c>
      <c r="B109" s="10">
        <f>""</f>
        <v/>
      </c>
      <c r="C109" s="10">
        <f>""</f>
        <v/>
      </c>
      <c r="D109" s="10">
        <f>""</f>
        <v/>
      </c>
      <c r="E109" s="10">
        <f>""</f>
        <v/>
      </c>
      <c r="F109" s="23">
        <f>IF(105&lt;=2,'Rate Card'!$AD$22,IF(105&lt;=5,'Rate Card'!$AE$22,IF(105&lt;=10,'Rate Card'!$AF$22,IF(105&lt;=15,'Rate Card'!$AG$22,IF(105&lt;=20,'Rate Card'!$AH$22,IF(105&lt;=35,'Rate Card'!$AH$22+(105-20)*'Rate Card'!$AI$22,'Rate Card'!$AK$22+(105-35)*'Rate Card'!$AJ$22))))))</f>
        <v/>
      </c>
      <c r="G109" s="23">
        <f>ROUND((IF(105&lt;=2,'Rate Card'!$AD$22,IF(105&lt;=5,'Rate Card'!$AE$22,IF(105&lt;=10,'Rate Card'!$AF$22,IF(105&lt;=15,'Rate Card'!$AG$22,IF(105&lt;=20,'Rate Card'!$AH$22,IF(105&lt;=35,'Rate Card'!$AH$22+(105-20)*'Rate Card'!$AI$22,'Rate Card'!$AK$22+(105-35)*'Rate Card'!$AJ$22)))))))*(1+'Rate Card'!$C$6),2)+ROUND(ROUND((IF(105&lt;=2,'Rate Card'!$AD$22,IF(105&lt;=5,'Rate Card'!$AE$22,IF(105&lt;=10,'Rate Card'!$AF$22,IF(105&lt;=15,'Rate Card'!$AG$22,IF(105&lt;=20,'Rate Card'!$AH$22,IF(105&lt;=35,'Rate Card'!$AH$22+(105-20)*'Rate Card'!$AI$22,'Rate Card'!$AK$22+(105-35)*'Rate Card'!$AJ$22)))))))*(1+'Rate Card'!$C$6),2)*(IF('Rate Card'!$G$6="YES",'Rate Card'!$E$6,0)+IF('Rate Card'!$K$6="YES",'Rate Card'!$I$6,0)),2)</f>
        <v/>
      </c>
      <c r="H109" s="23">
        <f>IF(105&lt;=2,'Rate Card'!$AD$23,IF(105&lt;=5,'Rate Card'!$AE$23,IF(105&lt;=10,'Rate Card'!$AF$23,IF(105&lt;=15,'Rate Card'!$AG$23,IF(105&lt;=20,'Rate Card'!$AH$23,IF(105&lt;=35,'Rate Card'!$AH$23+(105-20)*'Rate Card'!$AI$23,'Rate Card'!$AK$23+(105-35)*'Rate Card'!$AJ$23))))))</f>
        <v/>
      </c>
      <c r="I109" s="23">
        <f>ROUND((IF(105&lt;=2,'Rate Card'!$AD$23,IF(105&lt;=5,'Rate Card'!$AE$23,IF(105&lt;=10,'Rate Card'!$AF$23,IF(105&lt;=15,'Rate Card'!$AG$23,IF(105&lt;=20,'Rate Card'!$AH$23,IF(105&lt;=35,'Rate Card'!$AH$23+(105-20)*'Rate Card'!$AI$23,'Rate Card'!$AK$23+(105-35)*'Rate Card'!$AJ$23)))))))*(1+'Rate Card'!$C$6),2)+ROUND(ROUND((IF(105&lt;=2,'Rate Card'!$AD$23,IF(105&lt;=5,'Rate Card'!$AE$23,IF(105&lt;=10,'Rate Card'!$AF$23,IF(105&lt;=15,'Rate Card'!$AG$23,IF(105&lt;=20,'Rate Card'!$AH$23,IF(105&lt;=35,'Rate Card'!$AH$23+(105-20)*'Rate Card'!$AI$23,'Rate Card'!$AK$23+(105-35)*'Rate Card'!$AJ$23)))))))*(1+'Rate Card'!$C$6),2)*(IF('Rate Card'!$G$6="YES",'Rate Card'!$E$6,0)+IF('Rate Card'!$K$6="YES",'Rate Card'!$I$6,0)),2)</f>
        <v/>
      </c>
      <c r="J109" s="10">
        <f>""</f>
        <v/>
      </c>
      <c r="K109" s="10">
        <f>""</f>
        <v/>
      </c>
      <c r="L109" s="10">
        <f>""</f>
        <v/>
      </c>
      <c r="M109" s="10">
        <f>""</f>
        <v/>
      </c>
      <c r="N109" s="23">
        <f>IF(105&lt;=2,'Rate Card'!$AD$119,IF(105&lt;=5,'Rate Card'!$AE$119,IF(105&lt;=10,'Rate Card'!$AF$119,IF(105&lt;=15,'Rate Card'!$AG$119,IF(105&lt;=20,'Rate Card'!$AH$119,IF(105&lt;=35,'Rate Card'!$AH$119+(105-20)*'Rate Card'!$AI$119,'Rate Card'!$AK$119+(105-35)*'Rate Card'!$AJ$119))))))</f>
        <v/>
      </c>
      <c r="O109" s="23">
        <f>ROUND((IF(105&lt;=2,'Rate Card'!$AD$119,IF(105&lt;=5,'Rate Card'!$AE$119,IF(105&lt;=10,'Rate Card'!$AF$119,IF(105&lt;=15,'Rate Card'!$AG$119,IF(105&lt;=20,'Rate Card'!$AH$119,IF(105&lt;=35,'Rate Card'!$AH$119+(105-20)*'Rate Card'!$AI$119,'Rate Card'!$AK$119+(105-35)*'Rate Card'!$AJ$119)))))))*(1+'Rate Card'!$C$6),2)+ROUND(ROUND((IF(105&lt;=2,'Rate Card'!$AD$119,IF(105&lt;=5,'Rate Card'!$AE$119,IF(105&lt;=10,'Rate Card'!$AF$119,IF(105&lt;=15,'Rate Card'!$AG$119,IF(105&lt;=20,'Rate Card'!$AH$119,IF(105&lt;=35,'Rate Card'!$AH$119+(105-20)*'Rate Card'!$AI$119,'Rate Card'!$AK$119+(105-35)*'Rate Card'!$AJ$119)))))))*(1+'Rate Card'!$C$6),2)*(IF('Rate Card'!$G$6="YES",'Rate Card'!$E$6,0)+IF('Rate Card'!$K$6="YES",'Rate Card'!$I$6,0)),2)</f>
        <v/>
      </c>
      <c r="P109" s="23">
        <f>IF(105&lt;=2,'Rate Card'!$AD$120,IF(105&lt;=5,'Rate Card'!$AE$120,IF(105&lt;=10,'Rate Card'!$AF$120,IF(105&lt;=15,'Rate Card'!$AG$120,IF(105&lt;=20,'Rate Card'!$AH$120,IF(105&lt;=35,'Rate Card'!$AH$120+(105-20)*'Rate Card'!$AI$120,'Rate Card'!$AK$120+(105-35)*'Rate Card'!$AJ$120))))))</f>
        <v/>
      </c>
      <c r="Q109" s="12">
        <f>ROUND((IF(105&lt;=2,'Rate Card'!$AD$120,IF(105&lt;=5,'Rate Card'!$AE$120,IF(105&lt;=10,'Rate Card'!$AF$120,IF(105&lt;=15,'Rate Card'!$AG$120,IF(105&lt;=20,'Rate Card'!$AH$120,IF(105&lt;=35,'Rate Card'!$AH$120+(105-20)*'Rate Card'!$AI$120,'Rate Card'!$AK$120+(105-35)*'Rate Card'!$AJ$120)))))))*(1+'Rate Card'!$C$6),2)+ROUND(ROUND((IF(105&lt;=2,'Rate Card'!$AD$120,IF(105&lt;=5,'Rate Card'!$AE$120,IF(105&lt;=10,'Rate Card'!$AF$120,IF(105&lt;=15,'Rate Card'!$AG$120,IF(105&lt;=20,'Rate Card'!$AH$120,IF(105&lt;=35,'Rate Card'!$AH$120+(105-20)*'Rate Card'!$AI$120,'Rate Card'!$AK$120+(105-35)*'Rate Card'!$AJ$120)))))))*(1+'Rate Card'!$C$6),2)*(IF('Rate Card'!$G$6="YES",'Rate Card'!$E$6,0)+IF('Rate Card'!$K$6="YES",'Rate Card'!$I$6,0)),2)</f>
        <v/>
      </c>
    </row>
    <row r="110">
      <c r="A110" s="75" t="n">
        <v>106</v>
      </c>
      <c r="B110" s="10">
        <f>""</f>
        <v/>
      </c>
      <c r="C110" s="10">
        <f>""</f>
        <v/>
      </c>
      <c r="D110" s="10">
        <f>""</f>
        <v/>
      </c>
      <c r="E110" s="10">
        <f>""</f>
        <v/>
      </c>
      <c r="F110" s="23">
        <f>IF(106&lt;=2,'Rate Card'!$AD$22,IF(106&lt;=5,'Rate Card'!$AE$22,IF(106&lt;=10,'Rate Card'!$AF$22,IF(106&lt;=15,'Rate Card'!$AG$22,IF(106&lt;=20,'Rate Card'!$AH$22,IF(106&lt;=35,'Rate Card'!$AH$22+(106-20)*'Rate Card'!$AI$22,'Rate Card'!$AK$22+(106-35)*'Rate Card'!$AJ$22))))))</f>
        <v/>
      </c>
      <c r="G110" s="23">
        <f>ROUND((IF(106&lt;=2,'Rate Card'!$AD$22,IF(106&lt;=5,'Rate Card'!$AE$22,IF(106&lt;=10,'Rate Card'!$AF$22,IF(106&lt;=15,'Rate Card'!$AG$22,IF(106&lt;=20,'Rate Card'!$AH$22,IF(106&lt;=35,'Rate Card'!$AH$22+(106-20)*'Rate Card'!$AI$22,'Rate Card'!$AK$22+(106-35)*'Rate Card'!$AJ$22)))))))*(1+'Rate Card'!$C$6),2)+ROUND(ROUND((IF(106&lt;=2,'Rate Card'!$AD$22,IF(106&lt;=5,'Rate Card'!$AE$22,IF(106&lt;=10,'Rate Card'!$AF$22,IF(106&lt;=15,'Rate Card'!$AG$22,IF(106&lt;=20,'Rate Card'!$AH$22,IF(106&lt;=35,'Rate Card'!$AH$22+(106-20)*'Rate Card'!$AI$22,'Rate Card'!$AK$22+(106-35)*'Rate Card'!$AJ$22)))))))*(1+'Rate Card'!$C$6),2)*(IF('Rate Card'!$G$6="YES",'Rate Card'!$E$6,0)+IF('Rate Card'!$K$6="YES",'Rate Card'!$I$6,0)),2)</f>
        <v/>
      </c>
      <c r="H110" s="23">
        <f>IF(106&lt;=2,'Rate Card'!$AD$23,IF(106&lt;=5,'Rate Card'!$AE$23,IF(106&lt;=10,'Rate Card'!$AF$23,IF(106&lt;=15,'Rate Card'!$AG$23,IF(106&lt;=20,'Rate Card'!$AH$23,IF(106&lt;=35,'Rate Card'!$AH$23+(106-20)*'Rate Card'!$AI$23,'Rate Card'!$AK$23+(106-35)*'Rate Card'!$AJ$23))))))</f>
        <v/>
      </c>
      <c r="I110" s="23">
        <f>ROUND((IF(106&lt;=2,'Rate Card'!$AD$23,IF(106&lt;=5,'Rate Card'!$AE$23,IF(106&lt;=10,'Rate Card'!$AF$23,IF(106&lt;=15,'Rate Card'!$AG$23,IF(106&lt;=20,'Rate Card'!$AH$23,IF(106&lt;=35,'Rate Card'!$AH$23+(106-20)*'Rate Card'!$AI$23,'Rate Card'!$AK$23+(106-35)*'Rate Card'!$AJ$23)))))))*(1+'Rate Card'!$C$6),2)+ROUND(ROUND((IF(106&lt;=2,'Rate Card'!$AD$23,IF(106&lt;=5,'Rate Card'!$AE$23,IF(106&lt;=10,'Rate Card'!$AF$23,IF(106&lt;=15,'Rate Card'!$AG$23,IF(106&lt;=20,'Rate Card'!$AH$23,IF(106&lt;=35,'Rate Card'!$AH$23+(106-20)*'Rate Card'!$AI$23,'Rate Card'!$AK$23+(106-35)*'Rate Card'!$AJ$23)))))))*(1+'Rate Card'!$C$6),2)*(IF('Rate Card'!$G$6="YES",'Rate Card'!$E$6,0)+IF('Rate Card'!$K$6="YES",'Rate Card'!$I$6,0)),2)</f>
        <v/>
      </c>
      <c r="J110" s="10">
        <f>""</f>
        <v/>
      </c>
      <c r="K110" s="10">
        <f>""</f>
        <v/>
      </c>
      <c r="L110" s="10">
        <f>""</f>
        <v/>
      </c>
      <c r="M110" s="10">
        <f>""</f>
        <v/>
      </c>
      <c r="N110" s="23">
        <f>IF(106&lt;=2,'Rate Card'!$AD$119,IF(106&lt;=5,'Rate Card'!$AE$119,IF(106&lt;=10,'Rate Card'!$AF$119,IF(106&lt;=15,'Rate Card'!$AG$119,IF(106&lt;=20,'Rate Card'!$AH$119,IF(106&lt;=35,'Rate Card'!$AH$119+(106-20)*'Rate Card'!$AI$119,'Rate Card'!$AK$119+(106-35)*'Rate Card'!$AJ$119))))))</f>
        <v/>
      </c>
      <c r="O110" s="23">
        <f>ROUND((IF(106&lt;=2,'Rate Card'!$AD$119,IF(106&lt;=5,'Rate Card'!$AE$119,IF(106&lt;=10,'Rate Card'!$AF$119,IF(106&lt;=15,'Rate Card'!$AG$119,IF(106&lt;=20,'Rate Card'!$AH$119,IF(106&lt;=35,'Rate Card'!$AH$119+(106-20)*'Rate Card'!$AI$119,'Rate Card'!$AK$119+(106-35)*'Rate Card'!$AJ$119)))))))*(1+'Rate Card'!$C$6),2)+ROUND(ROUND((IF(106&lt;=2,'Rate Card'!$AD$119,IF(106&lt;=5,'Rate Card'!$AE$119,IF(106&lt;=10,'Rate Card'!$AF$119,IF(106&lt;=15,'Rate Card'!$AG$119,IF(106&lt;=20,'Rate Card'!$AH$119,IF(106&lt;=35,'Rate Card'!$AH$119+(106-20)*'Rate Card'!$AI$119,'Rate Card'!$AK$119+(106-35)*'Rate Card'!$AJ$119)))))))*(1+'Rate Card'!$C$6),2)*(IF('Rate Card'!$G$6="YES",'Rate Card'!$E$6,0)+IF('Rate Card'!$K$6="YES",'Rate Card'!$I$6,0)),2)</f>
        <v/>
      </c>
      <c r="P110" s="23">
        <f>IF(106&lt;=2,'Rate Card'!$AD$120,IF(106&lt;=5,'Rate Card'!$AE$120,IF(106&lt;=10,'Rate Card'!$AF$120,IF(106&lt;=15,'Rate Card'!$AG$120,IF(106&lt;=20,'Rate Card'!$AH$120,IF(106&lt;=35,'Rate Card'!$AH$120+(106-20)*'Rate Card'!$AI$120,'Rate Card'!$AK$120+(106-35)*'Rate Card'!$AJ$120))))))</f>
        <v/>
      </c>
      <c r="Q110" s="12">
        <f>ROUND((IF(106&lt;=2,'Rate Card'!$AD$120,IF(106&lt;=5,'Rate Card'!$AE$120,IF(106&lt;=10,'Rate Card'!$AF$120,IF(106&lt;=15,'Rate Card'!$AG$120,IF(106&lt;=20,'Rate Card'!$AH$120,IF(106&lt;=35,'Rate Card'!$AH$120+(106-20)*'Rate Card'!$AI$120,'Rate Card'!$AK$120+(106-35)*'Rate Card'!$AJ$120)))))))*(1+'Rate Card'!$C$6),2)+ROUND(ROUND((IF(106&lt;=2,'Rate Card'!$AD$120,IF(106&lt;=5,'Rate Card'!$AE$120,IF(106&lt;=10,'Rate Card'!$AF$120,IF(106&lt;=15,'Rate Card'!$AG$120,IF(106&lt;=20,'Rate Card'!$AH$120,IF(106&lt;=35,'Rate Card'!$AH$120+(106-20)*'Rate Card'!$AI$120,'Rate Card'!$AK$120+(106-35)*'Rate Card'!$AJ$120)))))))*(1+'Rate Card'!$C$6),2)*(IF('Rate Card'!$G$6="YES",'Rate Card'!$E$6,0)+IF('Rate Card'!$K$6="YES",'Rate Card'!$I$6,0)),2)</f>
        <v/>
      </c>
    </row>
    <row r="111">
      <c r="A111" s="75" t="n">
        <v>107</v>
      </c>
      <c r="B111" s="10">
        <f>""</f>
        <v/>
      </c>
      <c r="C111" s="10">
        <f>""</f>
        <v/>
      </c>
      <c r="D111" s="10">
        <f>""</f>
        <v/>
      </c>
      <c r="E111" s="10">
        <f>""</f>
        <v/>
      </c>
      <c r="F111" s="23">
        <f>IF(107&lt;=2,'Rate Card'!$AD$22,IF(107&lt;=5,'Rate Card'!$AE$22,IF(107&lt;=10,'Rate Card'!$AF$22,IF(107&lt;=15,'Rate Card'!$AG$22,IF(107&lt;=20,'Rate Card'!$AH$22,IF(107&lt;=35,'Rate Card'!$AH$22+(107-20)*'Rate Card'!$AI$22,'Rate Card'!$AK$22+(107-35)*'Rate Card'!$AJ$22))))))</f>
        <v/>
      </c>
      <c r="G111" s="23">
        <f>ROUND((IF(107&lt;=2,'Rate Card'!$AD$22,IF(107&lt;=5,'Rate Card'!$AE$22,IF(107&lt;=10,'Rate Card'!$AF$22,IF(107&lt;=15,'Rate Card'!$AG$22,IF(107&lt;=20,'Rate Card'!$AH$22,IF(107&lt;=35,'Rate Card'!$AH$22+(107-20)*'Rate Card'!$AI$22,'Rate Card'!$AK$22+(107-35)*'Rate Card'!$AJ$22)))))))*(1+'Rate Card'!$C$6),2)+ROUND(ROUND((IF(107&lt;=2,'Rate Card'!$AD$22,IF(107&lt;=5,'Rate Card'!$AE$22,IF(107&lt;=10,'Rate Card'!$AF$22,IF(107&lt;=15,'Rate Card'!$AG$22,IF(107&lt;=20,'Rate Card'!$AH$22,IF(107&lt;=35,'Rate Card'!$AH$22+(107-20)*'Rate Card'!$AI$22,'Rate Card'!$AK$22+(107-35)*'Rate Card'!$AJ$22)))))))*(1+'Rate Card'!$C$6),2)*(IF('Rate Card'!$G$6="YES",'Rate Card'!$E$6,0)+IF('Rate Card'!$K$6="YES",'Rate Card'!$I$6,0)),2)</f>
        <v/>
      </c>
      <c r="H111" s="23">
        <f>IF(107&lt;=2,'Rate Card'!$AD$23,IF(107&lt;=5,'Rate Card'!$AE$23,IF(107&lt;=10,'Rate Card'!$AF$23,IF(107&lt;=15,'Rate Card'!$AG$23,IF(107&lt;=20,'Rate Card'!$AH$23,IF(107&lt;=35,'Rate Card'!$AH$23+(107-20)*'Rate Card'!$AI$23,'Rate Card'!$AK$23+(107-35)*'Rate Card'!$AJ$23))))))</f>
        <v/>
      </c>
      <c r="I111" s="23">
        <f>ROUND((IF(107&lt;=2,'Rate Card'!$AD$23,IF(107&lt;=5,'Rate Card'!$AE$23,IF(107&lt;=10,'Rate Card'!$AF$23,IF(107&lt;=15,'Rate Card'!$AG$23,IF(107&lt;=20,'Rate Card'!$AH$23,IF(107&lt;=35,'Rate Card'!$AH$23+(107-20)*'Rate Card'!$AI$23,'Rate Card'!$AK$23+(107-35)*'Rate Card'!$AJ$23)))))))*(1+'Rate Card'!$C$6),2)+ROUND(ROUND((IF(107&lt;=2,'Rate Card'!$AD$23,IF(107&lt;=5,'Rate Card'!$AE$23,IF(107&lt;=10,'Rate Card'!$AF$23,IF(107&lt;=15,'Rate Card'!$AG$23,IF(107&lt;=20,'Rate Card'!$AH$23,IF(107&lt;=35,'Rate Card'!$AH$23+(107-20)*'Rate Card'!$AI$23,'Rate Card'!$AK$23+(107-35)*'Rate Card'!$AJ$23)))))))*(1+'Rate Card'!$C$6),2)*(IF('Rate Card'!$G$6="YES",'Rate Card'!$E$6,0)+IF('Rate Card'!$K$6="YES",'Rate Card'!$I$6,0)),2)</f>
        <v/>
      </c>
      <c r="J111" s="10">
        <f>""</f>
        <v/>
      </c>
      <c r="K111" s="10">
        <f>""</f>
        <v/>
      </c>
      <c r="L111" s="10">
        <f>""</f>
        <v/>
      </c>
      <c r="M111" s="10">
        <f>""</f>
        <v/>
      </c>
      <c r="N111" s="23">
        <f>IF(107&lt;=2,'Rate Card'!$AD$119,IF(107&lt;=5,'Rate Card'!$AE$119,IF(107&lt;=10,'Rate Card'!$AF$119,IF(107&lt;=15,'Rate Card'!$AG$119,IF(107&lt;=20,'Rate Card'!$AH$119,IF(107&lt;=35,'Rate Card'!$AH$119+(107-20)*'Rate Card'!$AI$119,'Rate Card'!$AK$119+(107-35)*'Rate Card'!$AJ$119))))))</f>
        <v/>
      </c>
      <c r="O111" s="23">
        <f>ROUND((IF(107&lt;=2,'Rate Card'!$AD$119,IF(107&lt;=5,'Rate Card'!$AE$119,IF(107&lt;=10,'Rate Card'!$AF$119,IF(107&lt;=15,'Rate Card'!$AG$119,IF(107&lt;=20,'Rate Card'!$AH$119,IF(107&lt;=35,'Rate Card'!$AH$119+(107-20)*'Rate Card'!$AI$119,'Rate Card'!$AK$119+(107-35)*'Rate Card'!$AJ$119)))))))*(1+'Rate Card'!$C$6),2)+ROUND(ROUND((IF(107&lt;=2,'Rate Card'!$AD$119,IF(107&lt;=5,'Rate Card'!$AE$119,IF(107&lt;=10,'Rate Card'!$AF$119,IF(107&lt;=15,'Rate Card'!$AG$119,IF(107&lt;=20,'Rate Card'!$AH$119,IF(107&lt;=35,'Rate Card'!$AH$119+(107-20)*'Rate Card'!$AI$119,'Rate Card'!$AK$119+(107-35)*'Rate Card'!$AJ$119)))))))*(1+'Rate Card'!$C$6),2)*(IF('Rate Card'!$G$6="YES",'Rate Card'!$E$6,0)+IF('Rate Card'!$K$6="YES",'Rate Card'!$I$6,0)),2)</f>
        <v/>
      </c>
      <c r="P111" s="23">
        <f>IF(107&lt;=2,'Rate Card'!$AD$120,IF(107&lt;=5,'Rate Card'!$AE$120,IF(107&lt;=10,'Rate Card'!$AF$120,IF(107&lt;=15,'Rate Card'!$AG$120,IF(107&lt;=20,'Rate Card'!$AH$120,IF(107&lt;=35,'Rate Card'!$AH$120+(107-20)*'Rate Card'!$AI$120,'Rate Card'!$AK$120+(107-35)*'Rate Card'!$AJ$120))))))</f>
        <v/>
      </c>
      <c r="Q111" s="12">
        <f>ROUND((IF(107&lt;=2,'Rate Card'!$AD$120,IF(107&lt;=5,'Rate Card'!$AE$120,IF(107&lt;=10,'Rate Card'!$AF$120,IF(107&lt;=15,'Rate Card'!$AG$120,IF(107&lt;=20,'Rate Card'!$AH$120,IF(107&lt;=35,'Rate Card'!$AH$120+(107-20)*'Rate Card'!$AI$120,'Rate Card'!$AK$120+(107-35)*'Rate Card'!$AJ$120)))))))*(1+'Rate Card'!$C$6),2)+ROUND(ROUND((IF(107&lt;=2,'Rate Card'!$AD$120,IF(107&lt;=5,'Rate Card'!$AE$120,IF(107&lt;=10,'Rate Card'!$AF$120,IF(107&lt;=15,'Rate Card'!$AG$120,IF(107&lt;=20,'Rate Card'!$AH$120,IF(107&lt;=35,'Rate Card'!$AH$120+(107-20)*'Rate Card'!$AI$120,'Rate Card'!$AK$120+(107-35)*'Rate Card'!$AJ$120)))))))*(1+'Rate Card'!$C$6),2)*(IF('Rate Card'!$G$6="YES",'Rate Card'!$E$6,0)+IF('Rate Card'!$K$6="YES",'Rate Card'!$I$6,0)),2)</f>
        <v/>
      </c>
    </row>
    <row r="112">
      <c r="A112" s="75" t="n">
        <v>108</v>
      </c>
      <c r="B112" s="10">
        <f>""</f>
        <v/>
      </c>
      <c r="C112" s="10">
        <f>""</f>
        <v/>
      </c>
      <c r="D112" s="10">
        <f>""</f>
        <v/>
      </c>
      <c r="E112" s="10">
        <f>""</f>
        <v/>
      </c>
      <c r="F112" s="23">
        <f>IF(108&lt;=2,'Rate Card'!$AD$22,IF(108&lt;=5,'Rate Card'!$AE$22,IF(108&lt;=10,'Rate Card'!$AF$22,IF(108&lt;=15,'Rate Card'!$AG$22,IF(108&lt;=20,'Rate Card'!$AH$22,IF(108&lt;=35,'Rate Card'!$AH$22+(108-20)*'Rate Card'!$AI$22,'Rate Card'!$AK$22+(108-35)*'Rate Card'!$AJ$22))))))</f>
        <v/>
      </c>
      <c r="G112" s="23">
        <f>ROUND((IF(108&lt;=2,'Rate Card'!$AD$22,IF(108&lt;=5,'Rate Card'!$AE$22,IF(108&lt;=10,'Rate Card'!$AF$22,IF(108&lt;=15,'Rate Card'!$AG$22,IF(108&lt;=20,'Rate Card'!$AH$22,IF(108&lt;=35,'Rate Card'!$AH$22+(108-20)*'Rate Card'!$AI$22,'Rate Card'!$AK$22+(108-35)*'Rate Card'!$AJ$22)))))))*(1+'Rate Card'!$C$6),2)+ROUND(ROUND((IF(108&lt;=2,'Rate Card'!$AD$22,IF(108&lt;=5,'Rate Card'!$AE$22,IF(108&lt;=10,'Rate Card'!$AF$22,IF(108&lt;=15,'Rate Card'!$AG$22,IF(108&lt;=20,'Rate Card'!$AH$22,IF(108&lt;=35,'Rate Card'!$AH$22+(108-20)*'Rate Card'!$AI$22,'Rate Card'!$AK$22+(108-35)*'Rate Card'!$AJ$22)))))))*(1+'Rate Card'!$C$6),2)*(IF('Rate Card'!$G$6="YES",'Rate Card'!$E$6,0)+IF('Rate Card'!$K$6="YES",'Rate Card'!$I$6,0)),2)</f>
        <v/>
      </c>
      <c r="H112" s="23">
        <f>IF(108&lt;=2,'Rate Card'!$AD$23,IF(108&lt;=5,'Rate Card'!$AE$23,IF(108&lt;=10,'Rate Card'!$AF$23,IF(108&lt;=15,'Rate Card'!$AG$23,IF(108&lt;=20,'Rate Card'!$AH$23,IF(108&lt;=35,'Rate Card'!$AH$23+(108-20)*'Rate Card'!$AI$23,'Rate Card'!$AK$23+(108-35)*'Rate Card'!$AJ$23))))))</f>
        <v/>
      </c>
      <c r="I112" s="23">
        <f>ROUND((IF(108&lt;=2,'Rate Card'!$AD$23,IF(108&lt;=5,'Rate Card'!$AE$23,IF(108&lt;=10,'Rate Card'!$AF$23,IF(108&lt;=15,'Rate Card'!$AG$23,IF(108&lt;=20,'Rate Card'!$AH$23,IF(108&lt;=35,'Rate Card'!$AH$23+(108-20)*'Rate Card'!$AI$23,'Rate Card'!$AK$23+(108-35)*'Rate Card'!$AJ$23)))))))*(1+'Rate Card'!$C$6),2)+ROUND(ROUND((IF(108&lt;=2,'Rate Card'!$AD$23,IF(108&lt;=5,'Rate Card'!$AE$23,IF(108&lt;=10,'Rate Card'!$AF$23,IF(108&lt;=15,'Rate Card'!$AG$23,IF(108&lt;=20,'Rate Card'!$AH$23,IF(108&lt;=35,'Rate Card'!$AH$23+(108-20)*'Rate Card'!$AI$23,'Rate Card'!$AK$23+(108-35)*'Rate Card'!$AJ$23)))))))*(1+'Rate Card'!$C$6),2)*(IF('Rate Card'!$G$6="YES",'Rate Card'!$E$6,0)+IF('Rate Card'!$K$6="YES",'Rate Card'!$I$6,0)),2)</f>
        <v/>
      </c>
      <c r="J112" s="10">
        <f>""</f>
        <v/>
      </c>
      <c r="K112" s="10">
        <f>""</f>
        <v/>
      </c>
      <c r="L112" s="10">
        <f>""</f>
        <v/>
      </c>
      <c r="M112" s="10">
        <f>""</f>
        <v/>
      </c>
      <c r="N112" s="23">
        <f>IF(108&lt;=2,'Rate Card'!$AD$119,IF(108&lt;=5,'Rate Card'!$AE$119,IF(108&lt;=10,'Rate Card'!$AF$119,IF(108&lt;=15,'Rate Card'!$AG$119,IF(108&lt;=20,'Rate Card'!$AH$119,IF(108&lt;=35,'Rate Card'!$AH$119+(108-20)*'Rate Card'!$AI$119,'Rate Card'!$AK$119+(108-35)*'Rate Card'!$AJ$119))))))</f>
        <v/>
      </c>
      <c r="O112" s="23">
        <f>ROUND((IF(108&lt;=2,'Rate Card'!$AD$119,IF(108&lt;=5,'Rate Card'!$AE$119,IF(108&lt;=10,'Rate Card'!$AF$119,IF(108&lt;=15,'Rate Card'!$AG$119,IF(108&lt;=20,'Rate Card'!$AH$119,IF(108&lt;=35,'Rate Card'!$AH$119+(108-20)*'Rate Card'!$AI$119,'Rate Card'!$AK$119+(108-35)*'Rate Card'!$AJ$119)))))))*(1+'Rate Card'!$C$6),2)+ROUND(ROUND((IF(108&lt;=2,'Rate Card'!$AD$119,IF(108&lt;=5,'Rate Card'!$AE$119,IF(108&lt;=10,'Rate Card'!$AF$119,IF(108&lt;=15,'Rate Card'!$AG$119,IF(108&lt;=20,'Rate Card'!$AH$119,IF(108&lt;=35,'Rate Card'!$AH$119+(108-20)*'Rate Card'!$AI$119,'Rate Card'!$AK$119+(108-35)*'Rate Card'!$AJ$119)))))))*(1+'Rate Card'!$C$6),2)*(IF('Rate Card'!$G$6="YES",'Rate Card'!$E$6,0)+IF('Rate Card'!$K$6="YES",'Rate Card'!$I$6,0)),2)</f>
        <v/>
      </c>
      <c r="P112" s="23">
        <f>IF(108&lt;=2,'Rate Card'!$AD$120,IF(108&lt;=5,'Rate Card'!$AE$120,IF(108&lt;=10,'Rate Card'!$AF$120,IF(108&lt;=15,'Rate Card'!$AG$120,IF(108&lt;=20,'Rate Card'!$AH$120,IF(108&lt;=35,'Rate Card'!$AH$120+(108-20)*'Rate Card'!$AI$120,'Rate Card'!$AK$120+(108-35)*'Rate Card'!$AJ$120))))))</f>
        <v/>
      </c>
      <c r="Q112" s="12">
        <f>ROUND((IF(108&lt;=2,'Rate Card'!$AD$120,IF(108&lt;=5,'Rate Card'!$AE$120,IF(108&lt;=10,'Rate Card'!$AF$120,IF(108&lt;=15,'Rate Card'!$AG$120,IF(108&lt;=20,'Rate Card'!$AH$120,IF(108&lt;=35,'Rate Card'!$AH$120+(108-20)*'Rate Card'!$AI$120,'Rate Card'!$AK$120+(108-35)*'Rate Card'!$AJ$120)))))))*(1+'Rate Card'!$C$6),2)+ROUND(ROUND((IF(108&lt;=2,'Rate Card'!$AD$120,IF(108&lt;=5,'Rate Card'!$AE$120,IF(108&lt;=10,'Rate Card'!$AF$120,IF(108&lt;=15,'Rate Card'!$AG$120,IF(108&lt;=20,'Rate Card'!$AH$120,IF(108&lt;=35,'Rate Card'!$AH$120+(108-20)*'Rate Card'!$AI$120,'Rate Card'!$AK$120+(108-35)*'Rate Card'!$AJ$120)))))))*(1+'Rate Card'!$C$6),2)*(IF('Rate Card'!$G$6="YES",'Rate Card'!$E$6,0)+IF('Rate Card'!$K$6="YES",'Rate Card'!$I$6,0)),2)</f>
        <v/>
      </c>
    </row>
    <row r="113">
      <c r="A113" s="75" t="n">
        <v>109</v>
      </c>
      <c r="B113" s="10">
        <f>""</f>
        <v/>
      </c>
      <c r="C113" s="10">
        <f>""</f>
        <v/>
      </c>
      <c r="D113" s="10">
        <f>""</f>
        <v/>
      </c>
      <c r="E113" s="10">
        <f>""</f>
        <v/>
      </c>
      <c r="F113" s="23">
        <f>IF(109&lt;=2,'Rate Card'!$AD$22,IF(109&lt;=5,'Rate Card'!$AE$22,IF(109&lt;=10,'Rate Card'!$AF$22,IF(109&lt;=15,'Rate Card'!$AG$22,IF(109&lt;=20,'Rate Card'!$AH$22,IF(109&lt;=35,'Rate Card'!$AH$22+(109-20)*'Rate Card'!$AI$22,'Rate Card'!$AK$22+(109-35)*'Rate Card'!$AJ$22))))))</f>
        <v/>
      </c>
      <c r="G113" s="23">
        <f>ROUND((IF(109&lt;=2,'Rate Card'!$AD$22,IF(109&lt;=5,'Rate Card'!$AE$22,IF(109&lt;=10,'Rate Card'!$AF$22,IF(109&lt;=15,'Rate Card'!$AG$22,IF(109&lt;=20,'Rate Card'!$AH$22,IF(109&lt;=35,'Rate Card'!$AH$22+(109-20)*'Rate Card'!$AI$22,'Rate Card'!$AK$22+(109-35)*'Rate Card'!$AJ$22)))))))*(1+'Rate Card'!$C$6),2)+ROUND(ROUND((IF(109&lt;=2,'Rate Card'!$AD$22,IF(109&lt;=5,'Rate Card'!$AE$22,IF(109&lt;=10,'Rate Card'!$AF$22,IF(109&lt;=15,'Rate Card'!$AG$22,IF(109&lt;=20,'Rate Card'!$AH$22,IF(109&lt;=35,'Rate Card'!$AH$22+(109-20)*'Rate Card'!$AI$22,'Rate Card'!$AK$22+(109-35)*'Rate Card'!$AJ$22)))))))*(1+'Rate Card'!$C$6),2)*(IF('Rate Card'!$G$6="YES",'Rate Card'!$E$6,0)+IF('Rate Card'!$K$6="YES",'Rate Card'!$I$6,0)),2)</f>
        <v/>
      </c>
      <c r="H113" s="23">
        <f>IF(109&lt;=2,'Rate Card'!$AD$23,IF(109&lt;=5,'Rate Card'!$AE$23,IF(109&lt;=10,'Rate Card'!$AF$23,IF(109&lt;=15,'Rate Card'!$AG$23,IF(109&lt;=20,'Rate Card'!$AH$23,IF(109&lt;=35,'Rate Card'!$AH$23+(109-20)*'Rate Card'!$AI$23,'Rate Card'!$AK$23+(109-35)*'Rate Card'!$AJ$23))))))</f>
        <v/>
      </c>
      <c r="I113" s="23">
        <f>ROUND((IF(109&lt;=2,'Rate Card'!$AD$23,IF(109&lt;=5,'Rate Card'!$AE$23,IF(109&lt;=10,'Rate Card'!$AF$23,IF(109&lt;=15,'Rate Card'!$AG$23,IF(109&lt;=20,'Rate Card'!$AH$23,IF(109&lt;=35,'Rate Card'!$AH$23+(109-20)*'Rate Card'!$AI$23,'Rate Card'!$AK$23+(109-35)*'Rate Card'!$AJ$23)))))))*(1+'Rate Card'!$C$6),2)+ROUND(ROUND((IF(109&lt;=2,'Rate Card'!$AD$23,IF(109&lt;=5,'Rate Card'!$AE$23,IF(109&lt;=10,'Rate Card'!$AF$23,IF(109&lt;=15,'Rate Card'!$AG$23,IF(109&lt;=20,'Rate Card'!$AH$23,IF(109&lt;=35,'Rate Card'!$AH$23+(109-20)*'Rate Card'!$AI$23,'Rate Card'!$AK$23+(109-35)*'Rate Card'!$AJ$23)))))))*(1+'Rate Card'!$C$6),2)*(IF('Rate Card'!$G$6="YES",'Rate Card'!$E$6,0)+IF('Rate Card'!$K$6="YES",'Rate Card'!$I$6,0)),2)</f>
        <v/>
      </c>
      <c r="J113" s="10">
        <f>""</f>
        <v/>
      </c>
      <c r="K113" s="10">
        <f>""</f>
        <v/>
      </c>
      <c r="L113" s="10">
        <f>""</f>
        <v/>
      </c>
      <c r="M113" s="10">
        <f>""</f>
        <v/>
      </c>
      <c r="N113" s="23">
        <f>IF(109&lt;=2,'Rate Card'!$AD$119,IF(109&lt;=5,'Rate Card'!$AE$119,IF(109&lt;=10,'Rate Card'!$AF$119,IF(109&lt;=15,'Rate Card'!$AG$119,IF(109&lt;=20,'Rate Card'!$AH$119,IF(109&lt;=35,'Rate Card'!$AH$119+(109-20)*'Rate Card'!$AI$119,'Rate Card'!$AK$119+(109-35)*'Rate Card'!$AJ$119))))))</f>
        <v/>
      </c>
      <c r="O113" s="23">
        <f>ROUND((IF(109&lt;=2,'Rate Card'!$AD$119,IF(109&lt;=5,'Rate Card'!$AE$119,IF(109&lt;=10,'Rate Card'!$AF$119,IF(109&lt;=15,'Rate Card'!$AG$119,IF(109&lt;=20,'Rate Card'!$AH$119,IF(109&lt;=35,'Rate Card'!$AH$119+(109-20)*'Rate Card'!$AI$119,'Rate Card'!$AK$119+(109-35)*'Rate Card'!$AJ$119)))))))*(1+'Rate Card'!$C$6),2)+ROUND(ROUND((IF(109&lt;=2,'Rate Card'!$AD$119,IF(109&lt;=5,'Rate Card'!$AE$119,IF(109&lt;=10,'Rate Card'!$AF$119,IF(109&lt;=15,'Rate Card'!$AG$119,IF(109&lt;=20,'Rate Card'!$AH$119,IF(109&lt;=35,'Rate Card'!$AH$119+(109-20)*'Rate Card'!$AI$119,'Rate Card'!$AK$119+(109-35)*'Rate Card'!$AJ$119)))))))*(1+'Rate Card'!$C$6),2)*(IF('Rate Card'!$G$6="YES",'Rate Card'!$E$6,0)+IF('Rate Card'!$K$6="YES",'Rate Card'!$I$6,0)),2)</f>
        <v/>
      </c>
      <c r="P113" s="23">
        <f>IF(109&lt;=2,'Rate Card'!$AD$120,IF(109&lt;=5,'Rate Card'!$AE$120,IF(109&lt;=10,'Rate Card'!$AF$120,IF(109&lt;=15,'Rate Card'!$AG$120,IF(109&lt;=20,'Rate Card'!$AH$120,IF(109&lt;=35,'Rate Card'!$AH$120+(109-20)*'Rate Card'!$AI$120,'Rate Card'!$AK$120+(109-35)*'Rate Card'!$AJ$120))))))</f>
        <v/>
      </c>
      <c r="Q113" s="12">
        <f>ROUND((IF(109&lt;=2,'Rate Card'!$AD$120,IF(109&lt;=5,'Rate Card'!$AE$120,IF(109&lt;=10,'Rate Card'!$AF$120,IF(109&lt;=15,'Rate Card'!$AG$120,IF(109&lt;=20,'Rate Card'!$AH$120,IF(109&lt;=35,'Rate Card'!$AH$120+(109-20)*'Rate Card'!$AI$120,'Rate Card'!$AK$120+(109-35)*'Rate Card'!$AJ$120)))))))*(1+'Rate Card'!$C$6),2)+ROUND(ROUND((IF(109&lt;=2,'Rate Card'!$AD$120,IF(109&lt;=5,'Rate Card'!$AE$120,IF(109&lt;=10,'Rate Card'!$AF$120,IF(109&lt;=15,'Rate Card'!$AG$120,IF(109&lt;=20,'Rate Card'!$AH$120,IF(109&lt;=35,'Rate Card'!$AH$120+(109-20)*'Rate Card'!$AI$120,'Rate Card'!$AK$120+(109-35)*'Rate Card'!$AJ$120)))))))*(1+'Rate Card'!$C$6),2)*(IF('Rate Card'!$G$6="YES",'Rate Card'!$E$6,0)+IF('Rate Card'!$K$6="YES",'Rate Card'!$I$6,0)),2)</f>
        <v/>
      </c>
    </row>
    <row r="114">
      <c r="A114" s="75" t="n">
        <v>110</v>
      </c>
      <c r="B114" s="10">
        <f>""</f>
        <v/>
      </c>
      <c r="C114" s="10">
        <f>""</f>
        <v/>
      </c>
      <c r="D114" s="10">
        <f>""</f>
        <v/>
      </c>
      <c r="E114" s="10">
        <f>""</f>
        <v/>
      </c>
      <c r="F114" s="23">
        <f>IF(110&lt;=2,'Rate Card'!$AD$22,IF(110&lt;=5,'Rate Card'!$AE$22,IF(110&lt;=10,'Rate Card'!$AF$22,IF(110&lt;=15,'Rate Card'!$AG$22,IF(110&lt;=20,'Rate Card'!$AH$22,IF(110&lt;=35,'Rate Card'!$AH$22+(110-20)*'Rate Card'!$AI$22,'Rate Card'!$AK$22+(110-35)*'Rate Card'!$AJ$22))))))</f>
        <v/>
      </c>
      <c r="G114" s="23">
        <f>ROUND((IF(110&lt;=2,'Rate Card'!$AD$22,IF(110&lt;=5,'Rate Card'!$AE$22,IF(110&lt;=10,'Rate Card'!$AF$22,IF(110&lt;=15,'Rate Card'!$AG$22,IF(110&lt;=20,'Rate Card'!$AH$22,IF(110&lt;=35,'Rate Card'!$AH$22+(110-20)*'Rate Card'!$AI$22,'Rate Card'!$AK$22+(110-35)*'Rate Card'!$AJ$22)))))))*(1+'Rate Card'!$C$6),2)+ROUND(ROUND((IF(110&lt;=2,'Rate Card'!$AD$22,IF(110&lt;=5,'Rate Card'!$AE$22,IF(110&lt;=10,'Rate Card'!$AF$22,IF(110&lt;=15,'Rate Card'!$AG$22,IF(110&lt;=20,'Rate Card'!$AH$22,IF(110&lt;=35,'Rate Card'!$AH$22+(110-20)*'Rate Card'!$AI$22,'Rate Card'!$AK$22+(110-35)*'Rate Card'!$AJ$22)))))))*(1+'Rate Card'!$C$6),2)*(IF('Rate Card'!$G$6="YES",'Rate Card'!$E$6,0)+IF('Rate Card'!$K$6="YES",'Rate Card'!$I$6,0)),2)</f>
        <v/>
      </c>
      <c r="H114" s="23">
        <f>IF(110&lt;=2,'Rate Card'!$AD$23,IF(110&lt;=5,'Rate Card'!$AE$23,IF(110&lt;=10,'Rate Card'!$AF$23,IF(110&lt;=15,'Rate Card'!$AG$23,IF(110&lt;=20,'Rate Card'!$AH$23,IF(110&lt;=35,'Rate Card'!$AH$23+(110-20)*'Rate Card'!$AI$23,'Rate Card'!$AK$23+(110-35)*'Rate Card'!$AJ$23))))))</f>
        <v/>
      </c>
      <c r="I114" s="23">
        <f>ROUND((IF(110&lt;=2,'Rate Card'!$AD$23,IF(110&lt;=5,'Rate Card'!$AE$23,IF(110&lt;=10,'Rate Card'!$AF$23,IF(110&lt;=15,'Rate Card'!$AG$23,IF(110&lt;=20,'Rate Card'!$AH$23,IF(110&lt;=35,'Rate Card'!$AH$23+(110-20)*'Rate Card'!$AI$23,'Rate Card'!$AK$23+(110-35)*'Rate Card'!$AJ$23)))))))*(1+'Rate Card'!$C$6),2)+ROUND(ROUND((IF(110&lt;=2,'Rate Card'!$AD$23,IF(110&lt;=5,'Rate Card'!$AE$23,IF(110&lt;=10,'Rate Card'!$AF$23,IF(110&lt;=15,'Rate Card'!$AG$23,IF(110&lt;=20,'Rate Card'!$AH$23,IF(110&lt;=35,'Rate Card'!$AH$23+(110-20)*'Rate Card'!$AI$23,'Rate Card'!$AK$23+(110-35)*'Rate Card'!$AJ$23)))))))*(1+'Rate Card'!$C$6),2)*(IF('Rate Card'!$G$6="YES",'Rate Card'!$E$6,0)+IF('Rate Card'!$K$6="YES",'Rate Card'!$I$6,0)),2)</f>
        <v/>
      </c>
      <c r="J114" s="10">
        <f>""</f>
        <v/>
      </c>
      <c r="K114" s="10">
        <f>""</f>
        <v/>
      </c>
      <c r="L114" s="10">
        <f>""</f>
        <v/>
      </c>
      <c r="M114" s="10">
        <f>""</f>
        <v/>
      </c>
      <c r="N114" s="23">
        <f>IF(110&lt;=2,'Rate Card'!$AD$119,IF(110&lt;=5,'Rate Card'!$AE$119,IF(110&lt;=10,'Rate Card'!$AF$119,IF(110&lt;=15,'Rate Card'!$AG$119,IF(110&lt;=20,'Rate Card'!$AH$119,IF(110&lt;=35,'Rate Card'!$AH$119+(110-20)*'Rate Card'!$AI$119,'Rate Card'!$AK$119+(110-35)*'Rate Card'!$AJ$119))))))</f>
        <v/>
      </c>
      <c r="O114" s="23">
        <f>ROUND((IF(110&lt;=2,'Rate Card'!$AD$119,IF(110&lt;=5,'Rate Card'!$AE$119,IF(110&lt;=10,'Rate Card'!$AF$119,IF(110&lt;=15,'Rate Card'!$AG$119,IF(110&lt;=20,'Rate Card'!$AH$119,IF(110&lt;=35,'Rate Card'!$AH$119+(110-20)*'Rate Card'!$AI$119,'Rate Card'!$AK$119+(110-35)*'Rate Card'!$AJ$119)))))))*(1+'Rate Card'!$C$6),2)+ROUND(ROUND((IF(110&lt;=2,'Rate Card'!$AD$119,IF(110&lt;=5,'Rate Card'!$AE$119,IF(110&lt;=10,'Rate Card'!$AF$119,IF(110&lt;=15,'Rate Card'!$AG$119,IF(110&lt;=20,'Rate Card'!$AH$119,IF(110&lt;=35,'Rate Card'!$AH$119+(110-20)*'Rate Card'!$AI$119,'Rate Card'!$AK$119+(110-35)*'Rate Card'!$AJ$119)))))))*(1+'Rate Card'!$C$6),2)*(IF('Rate Card'!$G$6="YES",'Rate Card'!$E$6,0)+IF('Rate Card'!$K$6="YES",'Rate Card'!$I$6,0)),2)</f>
        <v/>
      </c>
      <c r="P114" s="23">
        <f>IF(110&lt;=2,'Rate Card'!$AD$120,IF(110&lt;=5,'Rate Card'!$AE$120,IF(110&lt;=10,'Rate Card'!$AF$120,IF(110&lt;=15,'Rate Card'!$AG$120,IF(110&lt;=20,'Rate Card'!$AH$120,IF(110&lt;=35,'Rate Card'!$AH$120+(110-20)*'Rate Card'!$AI$120,'Rate Card'!$AK$120+(110-35)*'Rate Card'!$AJ$120))))))</f>
        <v/>
      </c>
      <c r="Q114" s="12">
        <f>ROUND((IF(110&lt;=2,'Rate Card'!$AD$120,IF(110&lt;=5,'Rate Card'!$AE$120,IF(110&lt;=10,'Rate Card'!$AF$120,IF(110&lt;=15,'Rate Card'!$AG$120,IF(110&lt;=20,'Rate Card'!$AH$120,IF(110&lt;=35,'Rate Card'!$AH$120+(110-20)*'Rate Card'!$AI$120,'Rate Card'!$AK$120+(110-35)*'Rate Card'!$AJ$120)))))))*(1+'Rate Card'!$C$6),2)+ROUND(ROUND((IF(110&lt;=2,'Rate Card'!$AD$120,IF(110&lt;=5,'Rate Card'!$AE$120,IF(110&lt;=10,'Rate Card'!$AF$120,IF(110&lt;=15,'Rate Card'!$AG$120,IF(110&lt;=20,'Rate Card'!$AH$120,IF(110&lt;=35,'Rate Card'!$AH$120+(110-20)*'Rate Card'!$AI$120,'Rate Card'!$AK$120+(110-35)*'Rate Card'!$AJ$120)))))))*(1+'Rate Card'!$C$6),2)*(IF('Rate Card'!$G$6="YES",'Rate Card'!$E$6,0)+IF('Rate Card'!$K$6="YES",'Rate Card'!$I$6,0)),2)</f>
        <v/>
      </c>
    </row>
    <row r="115">
      <c r="A115" s="75" t="n">
        <v>111</v>
      </c>
      <c r="B115" s="10">
        <f>""</f>
        <v/>
      </c>
      <c r="C115" s="10">
        <f>""</f>
        <v/>
      </c>
      <c r="D115" s="10">
        <f>""</f>
        <v/>
      </c>
      <c r="E115" s="10">
        <f>""</f>
        <v/>
      </c>
      <c r="F115" s="23">
        <f>IF(111&lt;=2,'Rate Card'!$AD$22,IF(111&lt;=5,'Rate Card'!$AE$22,IF(111&lt;=10,'Rate Card'!$AF$22,IF(111&lt;=15,'Rate Card'!$AG$22,IF(111&lt;=20,'Rate Card'!$AH$22,IF(111&lt;=35,'Rate Card'!$AH$22+(111-20)*'Rate Card'!$AI$22,'Rate Card'!$AK$22+(111-35)*'Rate Card'!$AJ$22))))))</f>
        <v/>
      </c>
      <c r="G115" s="23">
        <f>ROUND((IF(111&lt;=2,'Rate Card'!$AD$22,IF(111&lt;=5,'Rate Card'!$AE$22,IF(111&lt;=10,'Rate Card'!$AF$22,IF(111&lt;=15,'Rate Card'!$AG$22,IF(111&lt;=20,'Rate Card'!$AH$22,IF(111&lt;=35,'Rate Card'!$AH$22+(111-20)*'Rate Card'!$AI$22,'Rate Card'!$AK$22+(111-35)*'Rate Card'!$AJ$22)))))))*(1+'Rate Card'!$C$6),2)+ROUND(ROUND((IF(111&lt;=2,'Rate Card'!$AD$22,IF(111&lt;=5,'Rate Card'!$AE$22,IF(111&lt;=10,'Rate Card'!$AF$22,IF(111&lt;=15,'Rate Card'!$AG$22,IF(111&lt;=20,'Rate Card'!$AH$22,IF(111&lt;=35,'Rate Card'!$AH$22+(111-20)*'Rate Card'!$AI$22,'Rate Card'!$AK$22+(111-35)*'Rate Card'!$AJ$22)))))))*(1+'Rate Card'!$C$6),2)*(IF('Rate Card'!$G$6="YES",'Rate Card'!$E$6,0)+IF('Rate Card'!$K$6="YES",'Rate Card'!$I$6,0)),2)</f>
        <v/>
      </c>
      <c r="H115" s="23">
        <f>IF(111&lt;=2,'Rate Card'!$AD$23,IF(111&lt;=5,'Rate Card'!$AE$23,IF(111&lt;=10,'Rate Card'!$AF$23,IF(111&lt;=15,'Rate Card'!$AG$23,IF(111&lt;=20,'Rate Card'!$AH$23,IF(111&lt;=35,'Rate Card'!$AH$23+(111-20)*'Rate Card'!$AI$23,'Rate Card'!$AK$23+(111-35)*'Rate Card'!$AJ$23))))))</f>
        <v/>
      </c>
      <c r="I115" s="23">
        <f>ROUND((IF(111&lt;=2,'Rate Card'!$AD$23,IF(111&lt;=5,'Rate Card'!$AE$23,IF(111&lt;=10,'Rate Card'!$AF$23,IF(111&lt;=15,'Rate Card'!$AG$23,IF(111&lt;=20,'Rate Card'!$AH$23,IF(111&lt;=35,'Rate Card'!$AH$23+(111-20)*'Rate Card'!$AI$23,'Rate Card'!$AK$23+(111-35)*'Rate Card'!$AJ$23)))))))*(1+'Rate Card'!$C$6),2)+ROUND(ROUND((IF(111&lt;=2,'Rate Card'!$AD$23,IF(111&lt;=5,'Rate Card'!$AE$23,IF(111&lt;=10,'Rate Card'!$AF$23,IF(111&lt;=15,'Rate Card'!$AG$23,IF(111&lt;=20,'Rate Card'!$AH$23,IF(111&lt;=35,'Rate Card'!$AH$23+(111-20)*'Rate Card'!$AI$23,'Rate Card'!$AK$23+(111-35)*'Rate Card'!$AJ$23)))))))*(1+'Rate Card'!$C$6),2)*(IF('Rate Card'!$G$6="YES",'Rate Card'!$E$6,0)+IF('Rate Card'!$K$6="YES",'Rate Card'!$I$6,0)),2)</f>
        <v/>
      </c>
      <c r="J115" s="10">
        <f>""</f>
        <v/>
      </c>
      <c r="K115" s="10">
        <f>""</f>
        <v/>
      </c>
      <c r="L115" s="10">
        <f>""</f>
        <v/>
      </c>
      <c r="M115" s="10">
        <f>""</f>
        <v/>
      </c>
      <c r="N115" s="23">
        <f>IF(111&lt;=2,'Rate Card'!$AD$119,IF(111&lt;=5,'Rate Card'!$AE$119,IF(111&lt;=10,'Rate Card'!$AF$119,IF(111&lt;=15,'Rate Card'!$AG$119,IF(111&lt;=20,'Rate Card'!$AH$119,IF(111&lt;=35,'Rate Card'!$AH$119+(111-20)*'Rate Card'!$AI$119,'Rate Card'!$AK$119+(111-35)*'Rate Card'!$AJ$119))))))</f>
        <v/>
      </c>
      <c r="O115" s="23">
        <f>ROUND((IF(111&lt;=2,'Rate Card'!$AD$119,IF(111&lt;=5,'Rate Card'!$AE$119,IF(111&lt;=10,'Rate Card'!$AF$119,IF(111&lt;=15,'Rate Card'!$AG$119,IF(111&lt;=20,'Rate Card'!$AH$119,IF(111&lt;=35,'Rate Card'!$AH$119+(111-20)*'Rate Card'!$AI$119,'Rate Card'!$AK$119+(111-35)*'Rate Card'!$AJ$119)))))))*(1+'Rate Card'!$C$6),2)+ROUND(ROUND((IF(111&lt;=2,'Rate Card'!$AD$119,IF(111&lt;=5,'Rate Card'!$AE$119,IF(111&lt;=10,'Rate Card'!$AF$119,IF(111&lt;=15,'Rate Card'!$AG$119,IF(111&lt;=20,'Rate Card'!$AH$119,IF(111&lt;=35,'Rate Card'!$AH$119+(111-20)*'Rate Card'!$AI$119,'Rate Card'!$AK$119+(111-35)*'Rate Card'!$AJ$119)))))))*(1+'Rate Card'!$C$6),2)*(IF('Rate Card'!$G$6="YES",'Rate Card'!$E$6,0)+IF('Rate Card'!$K$6="YES",'Rate Card'!$I$6,0)),2)</f>
        <v/>
      </c>
      <c r="P115" s="23">
        <f>IF(111&lt;=2,'Rate Card'!$AD$120,IF(111&lt;=5,'Rate Card'!$AE$120,IF(111&lt;=10,'Rate Card'!$AF$120,IF(111&lt;=15,'Rate Card'!$AG$120,IF(111&lt;=20,'Rate Card'!$AH$120,IF(111&lt;=35,'Rate Card'!$AH$120+(111-20)*'Rate Card'!$AI$120,'Rate Card'!$AK$120+(111-35)*'Rate Card'!$AJ$120))))))</f>
        <v/>
      </c>
      <c r="Q115" s="12">
        <f>ROUND((IF(111&lt;=2,'Rate Card'!$AD$120,IF(111&lt;=5,'Rate Card'!$AE$120,IF(111&lt;=10,'Rate Card'!$AF$120,IF(111&lt;=15,'Rate Card'!$AG$120,IF(111&lt;=20,'Rate Card'!$AH$120,IF(111&lt;=35,'Rate Card'!$AH$120+(111-20)*'Rate Card'!$AI$120,'Rate Card'!$AK$120+(111-35)*'Rate Card'!$AJ$120)))))))*(1+'Rate Card'!$C$6),2)+ROUND(ROUND((IF(111&lt;=2,'Rate Card'!$AD$120,IF(111&lt;=5,'Rate Card'!$AE$120,IF(111&lt;=10,'Rate Card'!$AF$120,IF(111&lt;=15,'Rate Card'!$AG$120,IF(111&lt;=20,'Rate Card'!$AH$120,IF(111&lt;=35,'Rate Card'!$AH$120+(111-20)*'Rate Card'!$AI$120,'Rate Card'!$AK$120+(111-35)*'Rate Card'!$AJ$120)))))))*(1+'Rate Card'!$C$6),2)*(IF('Rate Card'!$G$6="YES",'Rate Card'!$E$6,0)+IF('Rate Card'!$K$6="YES",'Rate Card'!$I$6,0)),2)</f>
        <v/>
      </c>
    </row>
    <row r="116">
      <c r="A116" s="75" t="n">
        <v>112</v>
      </c>
      <c r="B116" s="10">
        <f>""</f>
        <v/>
      </c>
      <c r="C116" s="10">
        <f>""</f>
        <v/>
      </c>
      <c r="D116" s="10">
        <f>""</f>
        <v/>
      </c>
      <c r="E116" s="10">
        <f>""</f>
        <v/>
      </c>
      <c r="F116" s="23">
        <f>IF(112&lt;=2,'Rate Card'!$AD$22,IF(112&lt;=5,'Rate Card'!$AE$22,IF(112&lt;=10,'Rate Card'!$AF$22,IF(112&lt;=15,'Rate Card'!$AG$22,IF(112&lt;=20,'Rate Card'!$AH$22,IF(112&lt;=35,'Rate Card'!$AH$22+(112-20)*'Rate Card'!$AI$22,'Rate Card'!$AK$22+(112-35)*'Rate Card'!$AJ$22))))))</f>
        <v/>
      </c>
      <c r="G116" s="23">
        <f>ROUND((IF(112&lt;=2,'Rate Card'!$AD$22,IF(112&lt;=5,'Rate Card'!$AE$22,IF(112&lt;=10,'Rate Card'!$AF$22,IF(112&lt;=15,'Rate Card'!$AG$22,IF(112&lt;=20,'Rate Card'!$AH$22,IF(112&lt;=35,'Rate Card'!$AH$22+(112-20)*'Rate Card'!$AI$22,'Rate Card'!$AK$22+(112-35)*'Rate Card'!$AJ$22)))))))*(1+'Rate Card'!$C$6),2)+ROUND(ROUND((IF(112&lt;=2,'Rate Card'!$AD$22,IF(112&lt;=5,'Rate Card'!$AE$22,IF(112&lt;=10,'Rate Card'!$AF$22,IF(112&lt;=15,'Rate Card'!$AG$22,IF(112&lt;=20,'Rate Card'!$AH$22,IF(112&lt;=35,'Rate Card'!$AH$22+(112-20)*'Rate Card'!$AI$22,'Rate Card'!$AK$22+(112-35)*'Rate Card'!$AJ$22)))))))*(1+'Rate Card'!$C$6),2)*(IF('Rate Card'!$G$6="YES",'Rate Card'!$E$6,0)+IF('Rate Card'!$K$6="YES",'Rate Card'!$I$6,0)),2)</f>
        <v/>
      </c>
      <c r="H116" s="23">
        <f>IF(112&lt;=2,'Rate Card'!$AD$23,IF(112&lt;=5,'Rate Card'!$AE$23,IF(112&lt;=10,'Rate Card'!$AF$23,IF(112&lt;=15,'Rate Card'!$AG$23,IF(112&lt;=20,'Rate Card'!$AH$23,IF(112&lt;=35,'Rate Card'!$AH$23+(112-20)*'Rate Card'!$AI$23,'Rate Card'!$AK$23+(112-35)*'Rate Card'!$AJ$23))))))</f>
        <v/>
      </c>
      <c r="I116" s="23">
        <f>ROUND((IF(112&lt;=2,'Rate Card'!$AD$23,IF(112&lt;=5,'Rate Card'!$AE$23,IF(112&lt;=10,'Rate Card'!$AF$23,IF(112&lt;=15,'Rate Card'!$AG$23,IF(112&lt;=20,'Rate Card'!$AH$23,IF(112&lt;=35,'Rate Card'!$AH$23+(112-20)*'Rate Card'!$AI$23,'Rate Card'!$AK$23+(112-35)*'Rate Card'!$AJ$23)))))))*(1+'Rate Card'!$C$6),2)+ROUND(ROUND((IF(112&lt;=2,'Rate Card'!$AD$23,IF(112&lt;=5,'Rate Card'!$AE$23,IF(112&lt;=10,'Rate Card'!$AF$23,IF(112&lt;=15,'Rate Card'!$AG$23,IF(112&lt;=20,'Rate Card'!$AH$23,IF(112&lt;=35,'Rate Card'!$AH$23+(112-20)*'Rate Card'!$AI$23,'Rate Card'!$AK$23+(112-35)*'Rate Card'!$AJ$23)))))))*(1+'Rate Card'!$C$6),2)*(IF('Rate Card'!$G$6="YES",'Rate Card'!$E$6,0)+IF('Rate Card'!$K$6="YES",'Rate Card'!$I$6,0)),2)</f>
        <v/>
      </c>
      <c r="J116" s="10">
        <f>""</f>
        <v/>
      </c>
      <c r="K116" s="10">
        <f>""</f>
        <v/>
      </c>
      <c r="L116" s="10">
        <f>""</f>
        <v/>
      </c>
      <c r="M116" s="10">
        <f>""</f>
        <v/>
      </c>
      <c r="N116" s="23">
        <f>IF(112&lt;=2,'Rate Card'!$AD$119,IF(112&lt;=5,'Rate Card'!$AE$119,IF(112&lt;=10,'Rate Card'!$AF$119,IF(112&lt;=15,'Rate Card'!$AG$119,IF(112&lt;=20,'Rate Card'!$AH$119,IF(112&lt;=35,'Rate Card'!$AH$119+(112-20)*'Rate Card'!$AI$119,'Rate Card'!$AK$119+(112-35)*'Rate Card'!$AJ$119))))))</f>
        <v/>
      </c>
      <c r="O116" s="23">
        <f>ROUND((IF(112&lt;=2,'Rate Card'!$AD$119,IF(112&lt;=5,'Rate Card'!$AE$119,IF(112&lt;=10,'Rate Card'!$AF$119,IF(112&lt;=15,'Rate Card'!$AG$119,IF(112&lt;=20,'Rate Card'!$AH$119,IF(112&lt;=35,'Rate Card'!$AH$119+(112-20)*'Rate Card'!$AI$119,'Rate Card'!$AK$119+(112-35)*'Rate Card'!$AJ$119)))))))*(1+'Rate Card'!$C$6),2)+ROUND(ROUND((IF(112&lt;=2,'Rate Card'!$AD$119,IF(112&lt;=5,'Rate Card'!$AE$119,IF(112&lt;=10,'Rate Card'!$AF$119,IF(112&lt;=15,'Rate Card'!$AG$119,IF(112&lt;=20,'Rate Card'!$AH$119,IF(112&lt;=35,'Rate Card'!$AH$119+(112-20)*'Rate Card'!$AI$119,'Rate Card'!$AK$119+(112-35)*'Rate Card'!$AJ$119)))))))*(1+'Rate Card'!$C$6),2)*(IF('Rate Card'!$G$6="YES",'Rate Card'!$E$6,0)+IF('Rate Card'!$K$6="YES",'Rate Card'!$I$6,0)),2)</f>
        <v/>
      </c>
      <c r="P116" s="23">
        <f>IF(112&lt;=2,'Rate Card'!$AD$120,IF(112&lt;=5,'Rate Card'!$AE$120,IF(112&lt;=10,'Rate Card'!$AF$120,IF(112&lt;=15,'Rate Card'!$AG$120,IF(112&lt;=20,'Rate Card'!$AH$120,IF(112&lt;=35,'Rate Card'!$AH$120+(112-20)*'Rate Card'!$AI$120,'Rate Card'!$AK$120+(112-35)*'Rate Card'!$AJ$120))))))</f>
        <v/>
      </c>
      <c r="Q116" s="12">
        <f>ROUND((IF(112&lt;=2,'Rate Card'!$AD$120,IF(112&lt;=5,'Rate Card'!$AE$120,IF(112&lt;=10,'Rate Card'!$AF$120,IF(112&lt;=15,'Rate Card'!$AG$120,IF(112&lt;=20,'Rate Card'!$AH$120,IF(112&lt;=35,'Rate Card'!$AH$120+(112-20)*'Rate Card'!$AI$120,'Rate Card'!$AK$120+(112-35)*'Rate Card'!$AJ$120)))))))*(1+'Rate Card'!$C$6),2)+ROUND(ROUND((IF(112&lt;=2,'Rate Card'!$AD$120,IF(112&lt;=5,'Rate Card'!$AE$120,IF(112&lt;=10,'Rate Card'!$AF$120,IF(112&lt;=15,'Rate Card'!$AG$120,IF(112&lt;=20,'Rate Card'!$AH$120,IF(112&lt;=35,'Rate Card'!$AH$120+(112-20)*'Rate Card'!$AI$120,'Rate Card'!$AK$120+(112-35)*'Rate Card'!$AJ$120)))))))*(1+'Rate Card'!$C$6),2)*(IF('Rate Card'!$G$6="YES",'Rate Card'!$E$6,0)+IF('Rate Card'!$K$6="YES",'Rate Card'!$I$6,0)),2)</f>
        <v/>
      </c>
    </row>
    <row r="117">
      <c r="A117" s="75" t="n">
        <v>113</v>
      </c>
      <c r="B117" s="10">
        <f>""</f>
        <v/>
      </c>
      <c r="C117" s="10">
        <f>""</f>
        <v/>
      </c>
      <c r="D117" s="10">
        <f>""</f>
        <v/>
      </c>
      <c r="E117" s="10">
        <f>""</f>
        <v/>
      </c>
      <c r="F117" s="23">
        <f>IF(113&lt;=2,'Rate Card'!$AD$22,IF(113&lt;=5,'Rate Card'!$AE$22,IF(113&lt;=10,'Rate Card'!$AF$22,IF(113&lt;=15,'Rate Card'!$AG$22,IF(113&lt;=20,'Rate Card'!$AH$22,IF(113&lt;=35,'Rate Card'!$AH$22+(113-20)*'Rate Card'!$AI$22,'Rate Card'!$AK$22+(113-35)*'Rate Card'!$AJ$22))))))</f>
        <v/>
      </c>
      <c r="G117" s="23">
        <f>ROUND((IF(113&lt;=2,'Rate Card'!$AD$22,IF(113&lt;=5,'Rate Card'!$AE$22,IF(113&lt;=10,'Rate Card'!$AF$22,IF(113&lt;=15,'Rate Card'!$AG$22,IF(113&lt;=20,'Rate Card'!$AH$22,IF(113&lt;=35,'Rate Card'!$AH$22+(113-20)*'Rate Card'!$AI$22,'Rate Card'!$AK$22+(113-35)*'Rate Card'!$AJ$22)))))))*(1+'Rate Card'!$C$6),2)+ROUND(ROUND((IF(113&lt;=2,'Rate Card'!$AD$22,IF(113&lt;=5,'Rate Card'!$AE$22,IF(113&lt;=10,'Rate Card'!$AF$22,IF(113&lt;=15,'Rate Card'!$AG$22,IF(113&lt;=20,'Rate Card'!$AH$22,IF(113&lt;=35,'Rate Card'!$AH$22+(113-20)*'Rate Card'!$AI$22,'Rate Card'!$AK$22+(113-35)*'Rate Card'!$AJ$22)))))))*(1+'Rate Card'!$C$6),2)*(IF('Rate Card'!$G$6="YES",'Rate Card'!$E$6,0)+IF('Rate Card'!$K$6="YES",'Rate Card'!$I$6,0)),2)</f>
        <v/>
      </c>
      <c r="H117" s="23">
        <f>IF(113&lt;=2,'Rate Card'!$AD$23,IF(113&lt;=5,'Rate Card'!$AE$23,IF(113&lt;=10,'Rate Card'!$AF$23,IF(113&lt;=15,'Rate Card'!$AG$23,IF(113&lt;=20,'Rate Card'!$AH$23,IF(113&lt;=35,'Rate Card'!$AH$23+(113-20)*'Rate Card'!$AI$23,'Rate Card'!$AK$23+(113-35)*'Rate Card'!$AJ$23))))))</f>
        <v/>
      </c>
      <c r="I117" s="23">
        <f>ROUND((IF(113&lt;=2,'Rate Card'!$AD$23,IF(113&lt;=5,'Rate Card'!$AE$23,IF(113&lt;=10,'Rate Card'!$AF$23,IF(113&lt;=15,'Rate Card'!$AG$23,IF(113&lt;=20,'Rate Card'!$AH$23,IF(113&lt;=35,'Rate Card'!$AH$23+(113-20)*'Rate Card'!$AI$23,'Rate Card'!$AK$23+(113-35)*'Rate Card'!$AJ$23)))))))*(1+'Rate Card'!$C$6),2)+ROUND(ROUND((IF(113&lt;=2,'Rate Card'!$AD$23,IF(113&lt;=5,'Rate Card'!$AE$23,IF(113&lt;=10,'Rate Card'!$AF$23,IF(113&lt;=15,'Rate Card'!$AG$23,IF(113&lt;=20,'Rate Card'!$AH$23,IF(113&lt;=35,'Rate Card'!$AH$23+(113-20)*'Rate Card'!$AI$23,'Rate Card'!$AK$23+(113-35)*'Rate Card'!$AJ$23)))))))*(1+'Rate Card'!$C$6),2)*(IF('Rate Card'!$G$6="YES",'Rate Card'!$E$6,0)+IF('Rate Card'!$K$6="YES",'Rate Card'!$I$6,0)),2)</f>
        <v/>
      </c>
      <c r="J117" s="10">
        <f>""</f>
        <v/>
      </c>
      <c r="K117" s="10">
        <f>""</f>
        <v/>
      </c>
      <c r="L117" s="10">
        <f>""</f>
        <v/>
      </c>
      <c r="M117" s="10">
        <f>""</f>
        <v/>
      </c>
      <c r="N117" s="23">
        <f>IF(113&lt;=2,'Rate Card'!$AD$119,IF(113&lt;=5,'Rate Card'!$AE$119,IF(113&lt;=10,'Rate Card'!$AF$119,IF(113&lt;=15,'Rate Card'!$AG$119,IF(113&lt;=20,'Rate Card'!$AH$119,IF(113&lt;=35,'Rate Card'!$AH$119+(113-20)*'Rate Card'!$AI$119,'Rate Card'!$AK$119+(113-35)*'Rate Card'!$AJ$119))))))</f>
        <v/>
      </c>
      <c r="O117" s="23">
        <f>ROUND((IF(113&lt;=2,'Rate Card'!$AD$119,IF(113&lt;=5,'Rate Card'!$AE$119,IF(113&lt;=10,'Rate Card'!$AF$119,IF(113&lt;=15,'Rate Card'!$AG$119,IF(113&lt;=20,'Rate Card'!$AH$119,IF(113&lt;=35,'Rate Card'!$AH$119+(113-20)*'Rate Card'!$AI$119,'Rate Card'!$AK$119+(113-35)*'Rate Card'!$AJ$119)))))))*(1+'Rate Card'!$C$6),2)+ROUND(ROUND((IF(113&lt;=2,'Rate Card'!$AD$119,IF(113&lt;=5,'Rate Card'!$AE$119,IF(113&lt;=10,'Rate Card'!$AF$119,IF(113&lt;=15,'Rate Card'!$AG$119,IF(113&lt;=20,'Rate Card'!$AH$119,IF(113&lt;=35,'Rate Card'!$AH$119+(113-20)*'Rate Card'!$AI$119,'Rate Card'!$AK$119+(113-35)*'Rate Card'!$AJ$119)))))))*(1+'Rate Card'!$C$6),2)*(IF('Rate Card'!$G$6="YES",'Rate Card'!$E$6,0)+IF('Rate Card'!$K$6="YES",'Rate Card'!$I$6,0)),2)</f>
        <v/>
      </c>
      <c r="P117" s="23">
        <f>IF(113&lt;=2,'Rate Card'!$AD$120,IF(113&lt;=5,'Rate Card'!$AE$120,IF(113&lt;=10,'Rate Card'!$AF$120,IF(113&lt;=15,'Rate Card'!$AG$120,IF(113&lt;=20,'Rate Card'!$AH$120,IF(113&lt;=35,'Rate Card'!$AH$120+(113-20)*'Rate Card'!$AI$120,'Rate Card'!$AK$120+(113-35)*'Rate Card'!$AJ$120))))))</f>
        <v/>
      </c>
      <c r="Q117" s="12">
        <f>ROUND((IF(113&lt;=2,'Rate Card'!$AD$120,IF(113&lt;=5,'Rate Card'!$AE$120,IF(113&lt;=10,'Rate Card'!$AF$120,IF(113&lt;=15,'Rate Card'!$AG$120,IF(113&lt;=20,'Rate Card'!$AH$120,IF(113&lt;=35,'Rate Card'!$AH$120+(113-20)*'Rate Card'!$AI$120,'Rate Card'!$AK$120+(113-35)*'Rate Card'!$AJ$120)))))))*(1+'Rate Card'!$C$6),2)+ROUND(ROUND((IF(113&lt;=2,'Rate Card'!$AD$120,IF(113&lt;=5,'Rate Card'!$AE$120,IF(113&lt;=10,'Rate Card'!$AF$120,IF(113&lt;=15,'Rate Card'!$AG$120,IF(113&lt;=20,'Rate Card'!$AH$120,IF(113&lt;=35,'Rate Card'!$AH$120+(113-20)*'Rate Card'!$AI$120,'Rate Card'!$AK$120+(113-35)*'Rate Card'!$AJ$120)))))))*(1+'Rate Card'!$C$6),2)*(IF('Rate Card'!$G$6="YES",'Rate Card'!$E$6,0)+IF('Rate Card'!$K$6="YES",'Rate Card'!$I$6,0)),2)</f>
        <v/>
      </c>
    </row>
    <row r="118">
      <c r="A118" s="75" t="n">
        <v>114</v>
      </c>
      <c r="B118" s="10">
        <f>""</f>
        <v/>
      </c>
      <c r="C118" s="10">
        <f>""</f>
        <v/>
      </c>
      <c r="D118" s="10">
        <f>""</f>
        <v/>
      </c>
      <c r="E118" s="10">
        <f>""</f>
        <v/>
      </c>
      <c r="F118" s="23">
        <f>IF(114&lt;=2,'Rate Card'!$AD$22,IF(114&lt;=5,'Rate Card'!$AE$22,IF(114&lt;=10,'Rate Card'!$AF$22,IF(114&lt;=15,'Rate Card'!$AG$22,IF(114&lt;=20,'Rate Card'!$AH$22,IF(114&lt;=35,'Rate Card'!$AH$22+(114-20)*'Rate Card'!$AI$22,'Rate Card'!$AK$22+(114-35)*'Rate Card'!$AJ$22))))))</f>
        <v/>
      </c>
      <c r="G118" s="23">
        <f>ROUND((IF(114&lt;=2,'Rate Card'!$AD$22,IF(114&lt;=5,'Rate Card'!$AE$22,IF(114&lt;=10,'Rate Card'!$AF$22,IF(114&lt;=15,'Rate Card'!$AG$22,IF(114&lt;=20,'Rate Card'!$AH$22,IF(114&lt;=35,'Rate Card'!$AH$22+(114-20)*'Rate Card'!$AI$22,'Rate Card'!$AK$22+(114-35)*'Rate Card'!$AJ$22)))))))*(1+'Rate Card'!$C$6),2)+ROUND(ROUND((IF(114&lt;=2,'Rate Card'!$AD$22,IF(114&lt;=5,'Rate Card'!$AE$22,IF(114&lt;=10,'Rate Card'!$AF$22,IF(114&lt;=15,'Rate Card'!$AG$22,IF(114&lt;=20,'Rate Card'!$AH$22,IF(114&lt;=35,'Rate Card'!$AH$22+(114-20)*'Rate Card'!$AI$22,'Rate Card'!$AK$22+(114-35)*'Rate Card'!$AJ$22)))))))*(1+'Rate Card'!$C$6),2)*(IF('Rate Card'!$G$6="YES",'Rate Card'!$E$6,0)+IF('Rate Card'!$K$6="YES",'Rate Card'!$I$6,0)),2)</f>
        <v/>
      </c>
      <c r="H118" s="23">
        <f>IF(114&lt;=2,'Rate Card'!$AD$23,IF(114&lt;=5,'Rate Card'!$AE$23,IF(114&lt;=10,'Rate Card'!$AF$23,IF(114&lt;=15,'Rate Card'!$AG$23,IF(114&lt;=20,'Rate Card'!$AH$23,IF(114&lt;=35,'Rate Card'!$AH$23+(114-20)*'Rate Card'!$AI$23,'Rate Card'!$AK$23+(114-35)*'Rate Card'!$AJ$23))))))</f>
        <v/>
      </c>
      <c r="I118" s="23">
        <f>ROUND((IF(114&lt;=2,'Rate Card'!$AD$23,IF(114&lt;=5,'Rate Card'!$AE$23,IF(114&lt;=10,'Rate Card'!$AF$23,IF(114&lt;=15,'Rate Card'!$AG$23,IF(114&lt;=20,'Rate Card'!$AH$23,IF(114&lt;=35,'Rate Card'!$AH$23+(114-20)*'Rate Card'!$AI$23,'Rate Card'!$AK$23+(114-35)*'Rate Card'!$AJ$23)))))))*(1+'Rate Card'!$C$6),2)+ROUND(ROUND((IF(114&lt;=2,'Rate Card'!$AD$23,IF(114&lt;=5,'Rate Card'!$AE$23,IF(114&lt;=10,'Rate Card'!$AF$23,IF(114&lt;=15,'Rate Card'!$AG$23,IF(114&lt;=20,'Rate Card'!$AH$23,IF(114&lt;=35,'Rate Card'!$AH$23+(114-20)*'Rate Card'!$AI$23,'Rate Card'!$AK$23+(114-35)*'Rate Card'!$AJ$23)))))))*(1+'Rate Card'!$C$6),2)*(IF('Rate Card'!$G$6="YES",'Rate Card'!$E$6,0)+IF('Rate Card'!$K$6="YES",'Rate Card'!$I$6,0)),2)</f>
        <v/>
      </c>
      <c r="J118" s="10">
        <f>""</f>
        <v/>
      </c>
      <c r="K118" s="10">
        <f>""</f>
        <v/>
      </c>
      <c r="L118" s="10">
        <f>""</f>
        <v/>
      </c>
      <c r="M118" s="10">
        <f>""</f>
        <v/>
      </c>
      <c r="N118" s="23">
        <f>IF(114&lt;=2,'Rate Card'!$AD$119,IF(114&lt;=5,'Rate Card'!$AE$119,IF(114&lt;=10,'Rate Card'!$AF$119,IF(114&lt;=15,'Rate Card'!$AG$119,IF(114&lt;=20,'Rate Card'!$AH$119,IF(114&lt;=35,'Rate Card'!$AH$119+(114-20)*'Rate Card'!$AI$119,'Rate Card'!$AK$119+(114-35)*'Rate Card'!$AJ$119))))))</f>
        <v/>
      </c>
      <c r="O118" s="23">
        <f>ROUND((IF(114&lt;=2,'Rate Card'!$AD$119,IF(114&lt;=5,'Rate Card'!$AE$119,IF(114&lt;=10,'Rate Card'!$AF$119,IF(114&lt;=15,'Rate Card'!$AG$119,IF(114&lt;=20,'Rate Card'!$AH$119,IF(114&lt;=35,'Rate Card'!$AH$119+(114-20)*'Rate Card'!$AI$119,'Rate Card'!$AK$119+(114-35)*'Rate Card'!$AJ$119)))))))*(1+'Rate Card'!$C$6),2)+ROUND(ROUND((IF(114&lt;=2,'Rate Card'!$AD$119,IF(114&lt;=5,'Rate Card'!$AE$119,IF(114&lt;=10,'Rate Card'!$AF$119,IF(114&lt;=15,'Rate Card'!$AG$119,IF(114&lt;=20,'Rate Card'!$AH$119,IF(114&lt;=35,'Rate Card'!$AH$119+(114-20)*'Rate Card'!$AI$119,'Rate Card'!$AK$119+(114-35)*'Rate Card'!$AJ$119)))))))*(1+'Rate Card'!$C$6),2)*(IF('Rate Card'!$G$6="YES",'Rate Card'!$E$6,0)+IF('Rate Card'!$K$6="YES",'Rate Card'!$I$6,0)),2)</f>
        <v/>
      </c>
      <c r="P118" s="23">
        <f>IF(114&lt;=2,'Rate Card'!$AD$120,IF(114&lt;=5,'Rate Card'!$AE$120,IF(114&lt;=10,'Rate Card'!$AF$120,IF(114&lt;=15,'Rate Card'!$AG$120,IF(114&lt;=20,'Rate Card'!$AH$120,IF(114&lt;=35,'Rate Card'!$AH$120+(114-20)*'Rate Card'!$AI$120,'Rate Card'!$AK$120+(114-35)*'Rate Card'!$AJ$120))))))</f>
        <v/>
      </c>
      <c r="Q118" s="12">
        <f>ROUND((IF(114&lt;=2,'Rate Card'!$AD$120,IF(114&lt;=5,'Rate Card'!$AE$120,IF(114&lt;=10,'Rate Card'!$AF$120,IF(114&lt;=15,'Rate Card'!$AG$120,IF(114&lt;=20,'Rate Card'!$AH$120,IF(114&lt;=35,'Rate Card'!$AH$120+(114-20)*'Rate Card'!$AI$120,'Rate Card'!$AK$120+(114-35)*'Rate Card'!$AJ$120)))))))*(1+'Rate Card'!$C$6),2)+ROUND(ROUND((IF(114&lt;=2,'Rate Card'!$AD$120,IF(114&lt;=5,'Rate Card'!$AE$120,IF(114&lt;=10,'Rate Card'!$AF$120,IF(114&lt;=15,'Rate Card'!$AG$120,IF(114&lt;=20,'Rate Card'!$AH$120,IF(114&lt;=35,'Rate Card'!$AH$120+(114-20)*'Rate Card'!$AI$120,'Rate Card'!$AK$120+(114-35)*'Rate Card'!$AJ$120)))))))*(1+'Rate Card'!$C$6),2)*(IF('Rate Card'!$G$6="YES",'Rate Card'!$E$6,0)+IF('Rate Card'!$K$6="YES",'Rate Card'!$I$6,0)),2)</f>
        <v/>
      </c>
    </row>
    <row r="119">
      <c r="A119" s="75" t="n">
        <v>115</v>
      </c>
      <c r="B119" s="10">
        <f>""</f>
        <v/>
      </c>
      <c r="C119" s="10">
        <f>""</f>
        <v/>
      </c>
      <c r="D119" s="10">
        <f>""</f>
        <v/>
      </c>
      <c r="E119" s="10">
        <f>""</f>
        <v/>
      </c>
      <c r="F119" s="23">
        <f>IF(115&lt;=2,'Rate Card'!$AD$22,IF(115&lt;=5,'Rate Card'!$AE$22,IF(115&lt;=10,'Rate Card'!$AF$22,IF(115&lt;=15,'Rate Card'!$AG$22,IF(115&lt;=20,'Rate Card'!$AH$22,IF(115&lt;=35,'Rate Card'!$AH$22+(115-20)*'Rate Card'!$AI$22,'Rate Card'!$AK$22+(115-35)*'Rate Card'!$AJ$22))))))</f>
        <v/>
      </c>
      <c r="G119" s="23">
        <f>ROUND((IF(115&lt;=2,'Rate Card'!$AD$22,IF(115&lt;=5,'Rate Card'!$AE$22,IF(115&lt;=10,'Rate Card'!$AF$22,IF(115&lt;=15,'Rate Card'!$AG$22,IF(115&lt;=20,'Rate Card'!$AH$22,IF(115&lt;=35,'Rate Card'!$AH$22+(115-20)*'Rate Card'!$AI$22,'Rate Card'!$AK$22+(115-35)*'Rate Card'!$AJ$22)))))))*(1+'Rate Card'!$C$6),2)+ROUND(ROUND((IF(115&lt;=2,'Rate Card'!$AD$22,IF(115&lt;=5,'Rate Card'!$AE$22,IF(115&lt;=10,'Rate Card'!$AF$22,IF(115&lt;=15,'Rate Card'!$AG$22,IF(115&lt;=20,'Rate Card'!$AH$22,IF(115&lt;=35,'Rate Card'!$AH$22+(115-20)*'Rate Card'!$AI$22,'Rate Card'!$AK$22+(115-35)*'Rate Card'!$AJ$22)))))))*(1+'Rate Card'!$C$6),2)*(IF('Rate Card'!$G$6="YES",'Rate Card'!$E$6,0)+IF('Rate Card'!$K$6="YES",'Rate Card'!$I$6,0)),2)</f>
        <v/>
      </c>
      <c r="H119" s="23">
        <f>IF(115&lt;=2,'Rate Card'!$AD$23,IF(115&lt;=5,'Rate Card'!$AE$23,IF(115&lt;=10,'Rate Card'!$AF$23,IF(115&lt;=15,'Rate Card'!$AG$23,IF(115&lt;=20,'Rate Card'!$AH$23,IF(115&lt;=35,'Rate Card'!$AH$23+(115-20)*'Rate Card'!$AI$23,'Rate Card'!$AK$23+(115-35)*'Rate Card'!$AJ$23))))))</f>
        <v/>
      </c>
      <c r="I119" s="23">
        <f>ROUND((IF(115&lt;=2,'Rate Card'!$AD$23,IF(115&lt;=5,'Rate Card'!$AE$23,IF(115&lt;=10,'Rate Card'!$AF$23,IF(115&lt;=15,'Rate Card'!$AG$23,IF(115&lt;=20,'Rate Card'!$AH$23,IF(115&lt;=35,'Rate Card'!$AH$23+(115-20)*'Rate Card'!$AI$23,'Rate Card'!$AK$23+(115-35)*'Rate Card'!$AJ$23)))))))*(1+'Rate Card'!$C$6),2)+ROUND(ROUND((IF(115&lt;=2,'Rate Card'!$AD$23,IF(115&lt;=5,'Rate Card'!$AE$23,IF(115&lt;=10,'Rate Card'!$AF$23,IF(115&lt;=15,'Rate Card'!$AG$23,IF(115&lt;=20,'Rate Card'!$AH$23,IF(115&lt;=35,'Rate Card'!$AH$23+(115-20)*'Rate Card'!$AI$23,'Rate Card'!$AK$23+(115-35)*'Rate Card'!$AJ$23)))))))*(1+'Rate Card'!$C$6),2)*(IF('Rate Card'!$G$6="YES",'Rate Card'!$E$6,0)+IF('Rate Card'!$K$6="YES",'Rate Card'!$I$6,0)),2)</f>
        <v/>
      </c>
      <c r="J119" s="10">
        <f>""</f>
        <v/>
      </c>
      <c r="K119" s="10">
        <f>""</f>
        <v/>
      </c>
      <c r="L119" s="10">
        <f>""</f>
        <v/>
      </c>
      <c r="M119" s="10">
        <f>""</f>
        <v/>
      </c>
      <c r="N119" s="23">
        <f>IF(115&lt;=2,'Rate Card'!$AD$119,IF(115&lt;=5,'Rate Card'!$AE$119,IF(115&lt;=10,'Rate Card'!$AF$119,IF(115&lt;=15,'Rate Card'!$AG$119,IF(115&lt;=20,'Rate Card'!$AH$119,IF(115&lt;=35,'Rate Card'!$AH$119+(115-20)*'Rate Card'!$AI$119,'Rate Card'!$AK$119+(115-35)*'Rate Card'!$AJ$119))))))</f>
        <v/>
      </c>
      <c r="O119" s="23">
        <f>ROUND((IF(115&lt;=2,'Rate Card'!$AD$119,IF(115&lt;=5,'Rate Card'!$AE$119,IF(115&lt;=10,'Rate Card'!$AF$119,IF(115&lt;=15,'Rate Card'!$AG$119,IF(115&lt;=20,'Rate Card'!$AH$119,IF(115&lt;=35,'Rate Card'!$AH$119+(115-20)*'Rate Card'!$AI$119,'Rate Card'!$AK$119+(115-35)*'Rate Card'!$AJ$119)))))))*(1+'Rate Card'!$C$6),2)+ROUND(ROUND((IF(115&lt;=2,'Rate Card'!$AD$119,IF(115&lt;=5,'Rate Card'!$AE$119,IF(115&lt;=10,'Rate Card'!$AF$119,IF(115&lt;=15,'Rate Card'!$AG$119,IF(115&lt;=20,'Rate Card'!$AH$119,IF(115&lt;=35,'Rate Card'!$AH$119+(115-20)*'Rate Card'!$AI$119,'Rate Card'!$AK$119+(115-35)*'Rate Card'!$AJ$119)))))))*(1+'Rate Card'!$C$6),2)*(IF('Rate Card'!$G$6="YES",'Rate Card'!$E$6,0)+IF('Rate Card'!$K$6="YES",'Rate Card'!$I$6,0)),2)</f>
        <v/>
      </c>
      <c r="P119" s="23">
        <f>IF(115&lt;=2,'Rate Card'!$AD$120,IF(115&lt;=5,'Rate Card'!$AE$120,IF(115&lt;=10,'Rate Card'!$AF$120,IF(115&lt;=15,'Rate Card'!$AG$120,IF(115&lt;=20,'Rate Card'!$AH$120,IF(115&lt;=35,'Rate Card'!$AH$120+(115-20)*'Rate Card'!$AI$120,'Rate Card'!$AK$120+(115-35)*'Rate Card'!$AJ$120))))))</f>
        <v/>
      </c>
      <c r="Q119" s="12">
        <f>ROUND((IF(115&lt;=2,'Rate Card'!$AD$120,IF(115&lt;=5,'Rate Card'!$AE$120,IF(115&lt;=10,'Rate Card'!$AF$120,IF(115&lt;=15,'Rate Card'!$AG$120,IF(115&lt;=20,'Rate Card'!$AH$120,IF(115&lt;=35,'Rate Card'!$AH$120+(115-20)*'Rate Card'!$AI$120,'Rate Card'!$AK$120+(115-35)*'Rate Card'!$AJ$120)))))))*(1+'Rate Card'!$C$6),2)+ROUND(ROUND((IF(115&lt;=2,'Rate Card'!$AD$120,IF(115&lt;=5,'Rate Card'!$AE$120,IF(115&lt;=10,'Rate Card'!$AF$120,IF(115&lt;=15,'Rate Card'!$AG$120,IF(115&lt;=20,'Rate Card'!$AH$120,IF(115&lt;=35,'Rate Card'!$AH$120+(115-20)*'Rate Card'!$AI$120,'Rate Card'!$AK$120+(115-35)*'Rate Card'!$AJ$120)))))))*(1+'Rate Card'!$C$6),2)*(IF('Rate Card'!$G$6="YES",'Rate Card'!$E$6,0)+IF('Rate Card'!$K$6="YES",'Rate Card'!$I$6,0)),2)</f>
        <v/>
      </c>
    </row>
    <row r="120">
      <c r="A120" s="75" t="n">
        <v>116</v>
      </c>
      <c r="B120" s="10">
        <f>""</f>
        <v/>
      </c>
      <c r="C120" s="10">
        <f>""</f>
        <v/>
      </c>
      <c r="D120" s="10">
        <f>""</f>
        <v/>
      </c>
      <c r="E120" s="10">
        <f>""</f>
        <v/>
      </c>
      <c r="F120" s="23">
        <f>IF(116&lt;=2,'Rate Card'!$AD$22,IF(116&lt;=5,'Rate Card'!$AE$22,IF(116&lt;=10,'Rate Card'!$AF$22,IF(116&lt;=15,'Rate Card'!$AG$22,IF(116&lt;=20,'Rate Card'!$AH$22,IF(116&lt;=35,'Rate Card'!$AH$22+(116-20)*'Rate Card'!$AI$22,'Rate Card'!$AK$22+(116-35)*'Rate Card'!$AJ$22))))))</f>
        <v/>
      </c>
      <c r="G120" s="23">
        <f>ROUND((IF(116&lt;=2,'Rate Card'!$AD$22,IF(116&lt;=5,'Rate Card'!$AE$22,IF(116&lt;=10,'Rate Card'!$AF$22,IF(116&lt;=15,'Rate Card'!$AG$22,IF(116&lt;=20,'Rate Card'!$AH$22,IF(116&lt;=35,'Rate Card'!$AH$22+(116-20)*'Rate Card'!$AI$22,'Rate Card'!$AK$22+(116-35)*'Rate Card'!$AJ$22)))))))*(1+'Rate Card'!$C$6),2)+ROUND(ROUND((IF(116&lt;=2,'Rate Card'!$AD$22,IF(116&lt;=5,'Rate Card'!$AE$22,IF(116&lt;=10,'Rate Card'!$AF$22,IF(116&lt;=15,'Rate Card'!$AG$22,IF(116&lt;=20,'Rate Card'!$AH$22,IF(116&lt;=35,'Rate Card'!$AH$22+(116-20)*'Rate Card'!$AI$22,'Rate Card'!$AK$22+(116-35)*'Rate Card'!$AJ$22)))))))*(1+'Rate Card'!$C$6),2)*(IF('Rate Card'!$G$6="YES",'Rate Card'!$E$6,0)+IF('Rate Card'!$K$6="YES",'Rate Card'!$I$6,0)),2)</f>
        <v/>
      </c>
      <c r="H120" s="23">
        <f>IF(116&lt;=2,'Rate Card'!$AD$23,IF(116&lt;=5,'Rate Card'!$AE$23,IF(116&lt;=10,'Rate Card'!$AF$23,IF(116&lt;=15,'Rate Card'!$AG$23,IF(116&lt;=20,'Rate Card'!$AH$23,IF(116&lt;=35,'Rate Card'!$AH$23+(116-20)*'Rate Card'!$AI$23,'Rate Card'!$AK$23+(116-35)*'Rate Card'!$AJ$23))))))</f>
        <v/>
      </c>
      <c r="I120" s="23">
        <f>ROUND((IF(116&lt;=2,'Rate Card'!$AD$23,IF(116&lt;=5,'Rate Card'!$AE$23,IF(116&lt;=10,'Rate Card'!$AF$23,IF(116&lt;=15,'Rate Card'!$AG$23,IF(116&lt;=20,'Rate Card'!$AH$23,IF(116&lt;=35,'Rate Card'!$AH$23+(116-20)*'Rate Card'!$AI$23,'Rate Card'!$AK$23+(116-35)*'Rate Card'!$AJ$23)))))))*(1+'Rate Card'!$C$6),2)+ROUND(ROUND((IF(116&lt;=2,'Rate Card'!$AD$23,IF(116&lt;=5,'Rate Card'!$AE$23,IF(116&lt;=10,'Rate Card'!$AF$23,IF(116&lt;=15,'Rate Card'!$AG$23,IF(116&lt;=20,'Rate Card'!$AH$23,IF(116&lt;=35,'Rate Card'!$AH$23+(116-20)*'Rate Card'!$AI$23,'Rate Card'!$AK$23+(116-35)*'Rate Card'!$AJ$23)))))))*(1+'Rate Card'!$C$6),2)*(IF('Rate Card'!$G$6="YES",'Rate Card'!$E$6,0)+IF('Rate Card'!$K$6="YES",'Rate Card'!$I$6,0)),2)</f>
        <v/>
      </c>
      <c r="J120" s="10">
        <f>""</f>
        <v/>
      </c>
      <c r="K120" s="10">
        <f>""</f>
        <v/>
      </c>
      <c r="L120" s="10">
        <f>""</f>
        <v/>
      </c>
      <c r="M120" s="10">
        <f>""</f>
        <v/>
      </c>
      <c r="N120" s="23">
        <f>IF(116&lt;=2,'Rate Card'!$AD$119,IF(116&lt;=5,'Rate Card'!$AE$119,IF(116&lt;=10,'Rate Card'!$AF$119,IF(116&lt;=15,'Rate Card'!$AG$119,IF(116&lt;=20,'Rate Card'!$AH$119,IF(116&lt;=35,'Rate Card'!$AH$119+(116-20)*'Rate Card'!$AI$119,'Rate Card'!$AK$119+(116-35)*'Rate Card'!$AJ$119))))))</f>
        <v/>
      </c>
      <c r="O120" s="23">
        <f>ROUND((IF(116&lt;=2,'Rate Card'!$AD$119,IF(116&lt;=5,'Rate Card'!$AE$119,IF(116&lt;=10,'Rate Card'!$AF$119,IF(116&lt;=15,'Rate Card'!$AG$119,IF(116&lt;=20,'Rate Card'!$AH$119,IF(116&lt;=35,'Rate Card'!$AH$119+(116-20)*'Rate Card'!$AI$119,'Rate Card'!$AK$119+(116-35)*'Rate Card'!$AJ$119)))))))*(1+'Rate Card'!$C$6),2)+ROUND(ROUND((IF(116&lt;=2,'Rate Card'!$AD$119,IF(116&lt;=5,'Rate Card'!$AE$119,IF(116&lt;=10,'Rate Card'!$AF$119,IF(116&lt;=15,'Rate Card'!$AG$119,IF(116&lt;=20,'Rate Card'!$AH$119,IF(116&lt;=35,'Rate Card'!$AH$119+(116-20)*'Rate Card'!$AI$119,'Rate Card'!$AK$119+(116-35)*'Rate Card'!$AJ$119)))))))*(1+'Rate Card'!$C$6),2)*(IF('Rate Card'!$G$6="YES",'Rate Card'!$E$6,0)+IF('Rate Card'!$K$6="YES",'Rate Card'!$I$6,0)),2)</f>
        <v/>
      </c>
      <c r="P120" s="23">
        <f>IF(116&lt;=2,'Rate Card'!$AD$120,IF(116&lt;=5,'Rate Card'!$AE$120,IF(116&lt;=10,'Rate Card'!$AF$120,IF(116&lt;=15,'Rate Card'!$AG$120,IF(116&lt;=20,'Rate Card'!$AH$120,IF(116&lt;=35,'Rate Card'!$AH$120+(116-20)*'Rate Card'!$AI$120,'Rate Card'!$AK$120+(116-35)*'Rate Card'!$AJ$120))))))</f>
        <v/>
      </c>
      <c r="Q120" s="12">
        <f>ROUND((IF(116&lt;=2,'Rate Card'!$AD$120,IF(116&lt;=5,'Rate Card'!$AE$120,IF(116&lt;=10,'Rate Card'!$AF$120,IF(116&lt;=15,'Rate Card'!$AG$120,IF(116&lt;=20,'Rate Card'!$AH$120,IF(116&lt;=35,'Rate Card'!$AH$120+(116-20)*'Rate Card'!$AI$120,'Rate Card'!$AK$120+(116-35)*'Rate Card'!$AJ$120)))))))*(1+'Rate Card'!$C$6),2)+ROUND(ROUND((IF(116&lt;=2,'Rate Card'!$AD$120,IF(116&lt;=5,'Rate Card'!$AE$120,IF(116&lt;=10,'Rate Card'!$AF$120,IF(116&lt;=15,'Rate Card'!$AG$120,IF(116&lt;=20,'Rate Card'!$AH$120,IF(116&lt;=35,'Rate Card'!$AH$120+(116-20)*'Rate Card'!$AI$120,'Rate Card'!$AK$120+(116-35)*'Rate Card'!$AJ$120)))))))*(1+'Rate Card'!$C$6),2)*(IF('Rate Card'!$G$6="YES",'Rate Card'!$E$6,0)+IF('Rate Card'!$K$6="YES",'Rate Card'!$I$6,0)),2)</f>
        <v/>
      </c>
    </row>
    <row r="121">
      <c r="A121" s="75" t="n">
        <v>117</v>
      </c>
      <c r="B121" s="10">
        <f>""</f>
        <v/>
      </c>
      <c r="C121" s="10">
        <f>""</f>
        <v/>
      </c>
      <c r="D121" s="10">
        <f>""</f>
        <v/>
      </c>
      <c r="E121" s="10">
        <f>""</f>
        <v/>
      </c>
      <c r="F121" s="23">
        <f>IF(117&lt;=2,'Rate Card'!$AD$22,IF(117&lt;=5,'Rate Card'!$AE$22,IF(117&lt;=10,'Rate Card'!$AF$22,IF(117&lt;=15,'Rate Card'!$AG$22,IF(117&lt;=20,'Rate Card'!$AH$22,IF(117&lt;=35,'Rate Card'!$AH$22+(117-20)*'Rate Card'!$AI$22,'Rate Card'!$AK$22+(117-35)*'Rate Card'!$AJ$22))))))</f>
        <v/>
      </c>
      <c r="G121" s="23">
        <f>ROUND((IF(117&lt;=2,'Rate Card'!$AD$22,IF(117&lt;=5,'Rate Card'!$AE$22,IF(117&lt;=10,'Rate Card'!$AF$22,IF(117&lt;=15,'Rate Card'!$AG$22,IF(117&lt;=20,'Rate Card'!$AH$22,IF(117&lt;=35,'Rate Card'!$AH$22+(117-20)*'Rate Card'!$AI$22,'Rate Card'!$AK$22+(117-35)*'Rate Card'!$AJ$22)))))))*(1+'Rate Card'!$C$6),2)+ROUND(ROUND((IF(117&lt;=2,'Rate Card'!$AD$22,IF(117&lt;=5,'Rate Card'!$AE$22,IF(117&lt;=10,'Rate Card'!$AF$22,IF(117&lt;=15,'Rate Card'!$AG$22,IF(117&lt;=20,'Rate Card'!$AH$22,IF(117&lt;=35,'Rate Card'!$AH$22+(117-20)*'Rate Card'!$AI$22,'Rate Card'!$AK$22+(117-35)*'Rate Card'!$AJ$22)))))))*(1+'Rate Card'!$C$6),2)*(IF('Rate Card'!$G$6="YES",'Rate Card'!$E$6,0)+IF('Rate Card'!$K$6="YES",'Rate Card'!$I$6,0)),2)</f>
        <v/>
      </c>
      <c r="H121" s="23">
        <f>IF(117&lt;=2,'Rate Card'!$AD$23,IF(117&lt;=5,'Rate Card'!$AE$23,IF(117&lt;=10,'Rate Card'!$AF$23,IF(117&lt;=15,'Rate Card'!$AG$23,IF(117&lt;=20,'Rate Card'!$AH$23,IF(117&lt;=35,'Rate Card'!$AH$23+(117-20)*'Rate Card'!$AI$23,'Rate Card'!$AK$23+(117-35)*'Rate Card'!$AJ$23))))))</f>
        <v/>
      </c>
      <c r="I121" s="23">
        <f>ROUND((IF(117&lt;=2,'Rate Card'!$AD$23,IF(117&lt;=5,'Rate Card'!$AE$23,IF(117&lt;=10,'Rate Card'!$AF$23,IF(117&lt;=15,'Rate Card'!$AG$23,IF(117&lt;=20,'Rate Card'!$AH$23,IF(117&lt;=35,'Rate Card'!$AH$23+(117-20)*'Rate Card'!$AI$23,'Rate Card'!$AK$23+(117-35)*'Rate Card'!$AJ$23)))))))*(1+'Rate Card'!$C$6),2)+ROUND(ROUND((IF(117&lt;=2,'Rate Card'!$AD$23,IF(117&lt;=5,'Rate Card'!$AE$23,IF(117&lt;=10,'Rate Card'!$AF$23,IF(117&lt;=15,'Rate Card'!$AG$23,IF(117&lt;=20,'Rate Card'!$AH$23,IF(117&lt;=35,'Rate Card'!$AH$23+(117-20)*'Rate Card'!$AI$23,'Rate Card'!$AK$23+(117-35)*'Rate Card'!$AJ$23)))))))*(1+'Rate Card'!$C$6),2)*(IF('Rate Card'!$G$6="YES",'Rate Card'!$E$6,0)+IF('Rate Card'!$K$6="YES",'Rate Card'!$I$6,0)),2)</f>
        <v/>
      </c>
      <c r="J121" s="10">
        <f>""</f>
        <v/>
      </c>
      <c r="K121" s="10">
        <f>""</f>
        <v/>
      </c>
      <c r="L121" s="10">
        <f>""</f>
        <v/>
      </c>
      <c r="M121" s="10">
        <f>""</f>
        <v/>
      </c>
      <c r="N121" s="23">
        <f>IF(117&lt;=2,'Rate Card'!$AD$119,IF(117&lt;=5,'Rate Card'!$AE$119,IF(117&lt;=10,'Rate Card'!$AF$119,IF(117&lt;=15,'Rate Card'!$AG$119,IF(117&lt;=20,'Rate Card'!$AH$119,IF(117&lt;=35,'Rate Card'!$AH$119+(117-20)*'Rate Card'!$AI$119,'Rate Card'!$AK$119+(117-35)*'Rate Card'!$AJ$119))))))</f>
        <v/>
      </c>
      <c r="O121" s="23">
        <f>ROUND((IF(117&lt;=2,'Rate Card'!$AD$119,IF(117&lt;=5,'Rate Card'!$AE$119,IF(117&lt;=10,'Rate Card'!$AF$119,IF(117&lt;=15,'Rate Card'!$AG$119,IF(117&lt;=20,'Rate Card'!$AH$119,IF(117&lt;=35,'Rate Card'!$AH$119+(117-20)*'Rate Card'!$AI$119,'Rate Card'!$AK$119+(117-35)*'Rate Card'!$AJ$119)))))))*(1+'Rate Card'!$C$6),2)+ROUND(ROUND((IF(117&lt;=2,'Rate Card'!$AD$119,IF(117&lt;=5,'Rate Card'!$AE$119,IF(117&lt;=10,'Rate Card'!$AF$119,IF(117&lt;=15,'Rate Card'!$AG$119,IF(117&lt;=20,'Rate Card'!$AH$119,IF(117&lt;=35,'Rate Card'!$AH$119+(117-20)*'Rate Card'!$AI$119,'Rate Card'!$AK$119+(117-35)*'Rate Card'!$AJ$119)))))))*(1+'Rate Card'!$C$6),2)*(IF('Rate Card'!$G$6="YES",'Rate Card'!$E$6,0)+IF('Rate Card'!$K$6="YES",'Rate Card'!$I$6,0)),2)</f>
        <v/>
      </c>
      <c r="P121" s="23">
        <f>IF(117&lt;=2,'Rate Card'!$AD$120,IF(117&lt;=5,'Rate Card'!$AE$120,IF(117&lt;=10,'Rate Card'!$AF$120,IF(117&lt;=15,'Rate Card'!$AG$120,IF(117&lt;=20,'Rate Card'!$AH$120,IF(117&lt;=35,'Rate Card'!$AH$120+(117-20)*'Rate Card'!$AI$120,'Rate Card'!$AK$120+(117-35)*'Rate Card'!$AJ$120))))))</f>
        <v/>
      </c>
      <c r="Q121" s="12">
        <f>ROUND((IF(117&lt;=2,'Rate Card'!$AD$120,IF(117&lt;=5,'Rate Card'!$AE$120,IF(117&lt;=10,'Rate Card'!$AF$120,IF(117&lt;=15,'Rate Card'!$AG$120,IF(117&lt;=20,'Rate Card'!$AH$120,IF(117&lt;=35,'Rate Card'!$AH$120+(117-20)*'Rate Card'!$AI$120,'Rate Card'!$AK$120+(117-35)*'Rate Card'!$AJ$120)))))))*(1+'Rate Card'!$C$6),2)+ROUND(ROUND((IF(117&lt;=2,'Rate Card'!$AD$120,IF(117&lt;=5,'Rate Card'!$AE$120,IF(117&lt;=10,'Rate Card'!$AF$120,IF(117&lt;=15,'Rate Card'!$AG$120,IF(117&lt;=20,'Rate Card'!$AH$120,IF(117&lt;=35,'Rate Card'!$AH$120+(117-20)*'Rate Card'!$AI$120,'Rate Card'!$AK$120+(117-35)*'Rate Card'!$AJ$120)))))))*(1+'Rate Card'!$C$6),2)*(IF('Rate Card'!$G$6="YES",'Rate Card'!$E$6,0)+IF('Rate Card'!$K$6="YES",'Rate Card'!$I$6,0)),2)</f>
        <v/>
      </c>
    </row>
    <row r="122">
      <c r="A122" s="75" t="n">
        <v>118</v>
      </c>
      <c r="B122" s="10">
        <f>""</f>
        <v/>
      </c>
      <c r="C122" s="10">
        <f>""</f>
        <v/>
      </c>
      <c r="D122" s="10">
        <f>""</f>
        <v/>
      </c>
      <c r="E122" s="10">
        <f>""</f>
        <v/>
      </c>
      <c r="F122" s="23">
        <f>IF(118&lt;=2,'Rate Card'!$AD$22,IF(118&lt;=5,'Rate Card'!$AE$22,IF(118&lt;=10,'Rate Card'!$AF$22,IF(118&lt;=15,'Rate Card'!$AG$22,IF(118&lt;=20,'Rate Card'!$AH$22,IF(118&lt;=35,'Rate Card'!$AH$22+(118-20)*'Rate Card'!$AI$22,'Rate Card'!$AK$22+(118-35)*'Rate Card'!$AJ$22))))))</f>
        <v/>
      </c>
      <c r="G122" s="23">
        <f>ROUND((IF(118&lt;=2,'Rate Card'!$AD$22,IF(118&lt;=5,'Rate Card'!$AE$22,IF(118&lt;=10,'Rate Card'!$AF$22,IF(118&lt;=15,'Rate Card'!$AG$22,IF(118&lt;=20,'Rate Card'!$AH$22,IF(118&lt;=35,'Rate Card'!$AH$22+(118-20)*'Rate Card'!$AI$22,'Rate Card'!$AK$22+(118-35)*'Rate Card'!$AJ$22)))))))*(1+'Rate Card'!$C$6),2)+ROUND(ROUND((IF(118&lt;=2,'Rate Card'!$AD$22,IF(118&lt;=5,'Rate Card'!$AE$22,IF(118&lt;=10,'Rate Card'!$AF$22,IF(118&lt;=15,'Rate Card'!$AG$22,IF(118&lt;=20,'Rate Card'!$AH$22,IF(118&lt;=35,'Rate Card'!$AH$22+(118-20)*'Rate Card'!$AI$22,'Rate Card'!$AK$22+(118-35)*'Rate Card'!$AJ$22)))))))*(1+'Rate Card'!$C$6),2)*(IF('Rate Card'!$G$6="YES",'Rate Card'!$E$6,0)+IF('Rate Card'!$K$6="YES",'Rate Card'!$I$6,0)),2)</f>
        <v/>
      </c>
      <c r="H122" s="23">
        <f>IF(118&lt;=2,'Rate Card'!$AD$23,IF(118&lt;=5,'Rate Card'!$AE$23,IF(118&lt;=10,'Rate Card'!$AF$23,IF(118&lt;=15,'Rate Card'!$AG$23,IF(118&lt;=20,'Rate Card'!$AH$23,IF(118&lt;=35,'Rate Card'!$AH$23+(118-20)*'Rate Card'!$AI$23,'Rate Card'!$AK$23+(118-35)*'Rate Card'!$AJ$23))))))</f>
        <v/>
      </c>
      <c r="I122" s="23">
        <f>ROUND((IF(118&lt;=2,'Rate Card'!$AD$23,IF(118&lt;=5,'Rate Card'!$AE$23,IF(118&lt;=10,'Rate Card'!$AF$23,IF(118&lt;=15,'Rate Card'!$AG$23,IF(118&lt;=20,'Rate Card'!$AH$23,IF(118&lt;=35,'Rate Card'!$AH$23+(118-20)*'Rate Card'!$AI$23,'Rate Card'!$AK$23+(118-35)*'Rate Card'!$AJ$23)))))))*(1+'Rate Card'!$C$6),2)+ROUND(ROUND((IF(118&lt;=2,'Rate Card'!$AD$23,IF(118&lt;=5,'Rate Card'!$AE$23,IF(118&lt;=10,'Rate Card'!$AF$23,IF(118&lt;=15,'Rate Card'!$AG$23,IF(118&lt;=20,'Rate Card'!$AH$23,IF(118&lt;=35,'Rate Card'!$AH$23+(118-20)*'Rate Card'!$AI$23,'Rate Card'!$AK$23+(118-35)*'Rate Card'!$AJ$23)))))))*(1+'Rate Card'!$C$6),2)*(IF('Rate Card'!$G$6="YES",'Rate Card'!$E$6,0)+IF('Rate Card'!$K$6="YES",'Rate Card'!$I$6,0)),2)</f>
        <v/>
      </c>
      <c r="J122" s="10">
        <f>""</f>
        <v/>
      </c>
      <c r="K122" s="10">
        <f>""</f>
        <v/>
      </c>
      <c r="L122" s="10">
        <f>""</f>
        <v/>
      </c>
      <c r="M122" s="10">
        <f>""</f>
        <v/>
      </c>
      <c r="N122" s="23">
        <f>IF(118&lt;=2,'Rate Card'!$AD$119,IF(118&lt;=5,'Rate Card'!$AE$119,IF(118&lt;=10,'Rate Card'!$AF$119,IF(118&lt;=15,'Rate Card'!$AG$119,IF(118&lt;=20,'Rate Card'!$AH$119,IF(118&lt;=35,'Rate Card'!$AH$119+(118-20)*'Rate Card'!$AI$119,'Rate Card'!$AK$119+(118-35)*'Rate Card'!$AJ$119))))))</f>
        <v/>
      </c>
      <c r="O122" s="23">
        <f>ROUND((IF(118&lt;=2,'Rate Card'!$AD$119,IF(118&lt;=5,'Rate Card'!$AE$119,IF(118&lt;=10,'Rate Card'!$AF$119,IF(118&lt;=15,'Rate Card'!$AG$119,IF(118&lt;=20,'Rate Card'!$AH$119,IF(118&lt;=35,'Rate Card'!$AH$119+(118-20)*'Rate Card'!$AI$119,'Rate Card'!$AK$119+(118-35)*'Rate Card'!$AJ$119)))))))*(1+'Rate Card'!$C$6),2)+ROUND(ROUND((IF(118&lt;=2,'Rate Card'!$AD$119,IF(118&lt;=5,'Rate Card'!$AE$119,IF(118&lt;=10,'Rate Card'!$AF$119,IF(118&lt;=15,'Rate Card'!$AG$119,IF(118&lt;=20,'Rate Card'!$AH$119,IF(118&lt;=35,'Rate Card'!$AH$119+(118-20)*'Rate Card'!$AI$119,'Rate Card'!$AK$119+(118-35)*'Rate Card'!$AJ$119)))))))*(1+'Rate Card'!$C$6),2)*(IF('Rate Card'!$G$6="YES",'Rate Card'!$E$6,0)+IF('Rate Card'!$K$6="YES",'Rate Card'!$I$6,0)),2)</f>
        <v/>
      </c>
      <c r="P122" s="23">
        <f>IF(118&lt;=2,'Rate Card'!$AD$120,IF(118&lt;=5,'Rate Card'!$AE$120,IF(118&lt;=10,'Rate Card'!$AF$120,IF(118&lt;=15,'Rate Card'!$AG$120,IF(118&lt;=20,'Rate Card'!$AH$120,IF(118&lt;=35,'Rate Card'!$AH$120+(118-20)*'Rate Card'!$AI$120,'Rate Card'!$AK$120+(118-35)*'Rate Card'!$AJ$120))))))</f>
        <v/>
      </c>
      <c r="Q122" s="12">
        <f>ROUND((IF(118&lt;=2,'Rate Card'!$AD$120,IF(118&lt;=5,'Rate Card'!$AE$120,IF(118&lt;=10,'Rate Card'!$AF$120,IF(118&lt;=15,'Rate Card'!$AG$120,IF(118&lt;=20,'Rate Card'!$AH$120,IF(118&lt;=35,'Rate Card'!$AH$120+(118-20)*'Rate Card'!$AI$120,'Rate Card'!$AK$120+(118-35)*'Rate Card'!$AJ$120)))))))*(1+'Rate Card'!$C$6),2)+ROUND(ROUND((IF(118&lt;=2,'Rate Card'!$AD$120,IF(118&lt;=5,'Rate Card'!$AE$120,IF(118&lt;=10,'Rate Card'!$AF$120,IF(118&lt;=15,'Rate Card'!$AG$120,IF(118&lt;=20,'Rate Card'!$AH$120,IF(118&lt;=35,'Rate Card'!$AH$120+(118-20)*'Rate Card'!$AI$120,'Rate Card'!$AK$120+(118-35)*'Rate Card'!$AJ$120)))))))*(1+'Rate Card'!$C$6),2)*(IF('Rate Card'!$G$6="YES",'Rate Card'!$E$6,0)+IF('Rate Card'!$K$6="YES",'Rate Card'!$I$6,0)),2)</f>
        <v/>
      </c>
    </row>
    <row r="123">
      <c r="A123" s="75" t="n">
        <v>119</v>
      </c>
      <c r="B123" s="10">
        <f>""</f>
        <v/>
      </c>
      <c r="C123" s="10">
        <f>""</f>
        <v/>
      </c>
      <c r="D123" s="10">
        <f>""</f>
        <v/>
      </c>
      <c r="E123" s="10">
        <f>""</f>
        <v/>
      </c>
      <c r="F123" s="23">
        <f>IF(119&lt;=2,'Rate Card'!$AD$22,IF(119&lt;=5,'Rate Card'!$AE$22,IF(119&lt;=10,'Rate Card'!$AF$22,IF(119&lt;=15,'Rate Card'!$AG$22,IF(119&lt;=20,'Rate Card'!$AH$22,IF(119&lt;=35,'Rate Card'!$AH$22+(119-20)*'Rate Card'!$AI$22,'Rate Card'!$AK$22+(119-35)*'Rate Card'!$AJ$22))))))</f>
        <v/>
      </c>
      <c r="G123" s="23">
        <f>ROUND((IF(119&lt;=2,'Rate Card'!$AD$22,IF(119&lt;=5,'Rate Card'!$AE$22,IF(119&lt;=10,'Rate Card'!$AF$22,IF(119&lt;=15,'Rate Card'!$AG$22,IF(119&lt;=20,'Rate Card'!$AH$22,IF(119&lt;=35,'Rate Card'!$AH$22+(119-20)*'Rate Card'!$AI$22,'Rate Card'!$AK$22+(119-35)*'Rate Card'!$AJ$22)))))))*(1+'Rate Card'!$C$6),2)+ROUND(ROUND((IF(119&lt;=2,'Rate Card'!$AD$22,IF(119&lt;=5,'Rate Card'!$AE$22,IF(119&lt;=10,'Rate Card'!$AF$22,IF(119&lt;=15,'Rate Card'!$AG$22,IF(119&lt;=20,'Rate Card'!$AH$22,IF(119&lt;=35,'Rate Card'!$AH$22+(119-20)*'Rate Card'!$AI$22,'Rate Card'!$AK$22+(119-35)*'Rate Card'!$AJ$22)))))))*(1+'Rate Card'!$C$6),2)*(IF('Rate Card'!$G$6="YES",'Rate Card'!$E$6,0)+IF('Rate Card'!$K$6="YES",'Rate Card'!$I$6,0)),2)</f>
        <v/>
      </c>
      <c r="H123" s="23">
        <f>IF(119&lt;=2,'Rate Card'!$AD$23,IF(119&lt;=5,'Rate Card'!$AE$23,IF(119&lt;=10,'Rate Card'!$AF$23,IF(119&lt;=15,'Rate Card'!$AG$23,IF(119&lt;=20,'Rate Card'!$AH$23,IF(119&lt;=35,'Rate Card'!$AH$23+(119-20)*'Rate Card'!$AI$23,'Rate Card'!$AK$23+(119-35)*'Rate Card'!$AJ$23))))))</f>
        <v/>
      </c>
      <c r="I123" s="23">
        <f>ROUND((IF(119&lt;=2,'Rate Card'!$AD$23,IF(119&lt;=5,'Rate Card'!$AE$23,IF(119&lt;=10,'Rate Card'!$AF$23,IF(119&lt;=15,'Rate Card'!$AG$23,IF(119&lt;=20,'Rate Card'!$AH$23,IF(119&lt;=35,'Rate Card'!$AH$23+(119-20)*'Rate Card'!$AI$23,'Rate Card'!$AK$23+(119-35)*'Rate Card'!$AJ$23)))))))*(1+'Rate Card'!$C$6),2)+ROUND(ROUND((IF(119&lt;=2,'Rate Card'!$AD$23,IF(119&lt;=5,'Rate Card'!$AE$23,IF(119&lt;=10,'Rate Card'!$AF$23,IF(119&lt;=15,'Rate Card'!$AG$23,IF(119&lt;=20,'Rate Card'!$AH$23,IF(119&lt;=35,'Rate Card'!$AH$23+(119-20)*'Rate Card'!$AI$23,'Rate Card'!$AK$23+(119-35)*'Rate Card'!$AJ$23)))))))*(1+'Rate Card'!$C$6),2)*(IF('Rate Card'!$G$6="YES",'Rate Card'!$E$6,0)+IF('Rate Card'!$K$6="YES",'Rate Card'!$I$6,0)),2)</f>
        <v/>
      </c>
      <c r="J123" s="10">
        <f>""</f>
        <v/>
      </c>
      <c r="K123" s="10">
        <f>""</f>
        <v/>
      </c>
      <c r="L123" s="10">
        <f>""</f>
        <v/>
      </c>
      <c r="M123" s="10">
        <f>""</f>
        <v/>
      </c>
      <c r="N123" s="23">
        <f>IF(119&lt;=2,'Rate Card'!$AD$119,IF(119&lt;=5,'Rate Card'!$AE$119,IF(119&lt;=10,'Rate Card'!$AF$119,IF(119&lt;=15,'Rate Card'!$AG$119,IF(119&lt;=20,'Rate Card'!$AH$119,IF(119&lt;=35,'Rate Card'!$AH$119+(119-20)*'Rate Card'!$AI$119,'Rate Card'!$AK$119+(119-35)*'Rate Card'!$AJ$119))))))</f>
        <v/>
      </c>
      <c r="O123" s="23">
        <f>ROUND((IF(119&lt;=2,'Rate Card'!$AD$119,IF(119&lt;=5,'Rate Card'!$AE$119,IF(119&lt;=10,'Rate Card'!$AF$119,IF(119&lt;=15,'Rate Card'!$AG$119,IF(119&lt;=20,'Rate Card'!$AH$119,IF(119&lt;=35,'Rate Card'!$AH$119+(119-20)*'Rate Card'!$AI$119,'Rate Card'!$AK$119+(119-35)*'Rate Card'!$AJ$119)))))))*(1+'Rate Card'!$C$6),2)+ROUND(ROUND((IF(119&lt;=2,'Rate Card'!$AD$119,IF(119&lt;=5,'Rate Card'!$AE$119,IF(119&lt;=10,'Rate Card'!$AF$119,IF(119&lt;=15,'Rate Card'!$AG$119,IF(119&lt;=20,'Rate Card'!$AH$119,IF(119&lt;=35,'Rate Card'!$AH$119+(119-20)*'Rate Card'!$AI$119,'Rate Card'!$AK$119+(119-35)*'Rate Card'!$AJ$119)))))))*(1+'Rate Card'!$C$6),2)*(IF('Rate Card'!$G$6="YES",'Rate Card'!$E$6,0)+IF('Rate Card'!$K$6="YES",'Rate Card'!$I$6,0)),2)</f>
        <v/>
      </c>
      <c r="P123" s="23">
        <f>IF(119&lt;=2,'Rate Card'!$AD$120,IF(119&lt;=5,'Rate Card'!$AE$120,IF(119&lt;=10,'Rate Card'!$AF$120,IF(119&lt;=15,'Rate Card'!$AG$120,IF(119&lt;=20,'Rate Card'!$AH$120,IF(119&lt;=35,'Rate Card'!$AH$120+(119-20)*'Rate Card'!$AI$120,'Rate Card'!$AK$120+(119-35)*'Rate Card'!$AJ$120))))))</f>
        <v/>
      </c>
      <c r="Q123" s="12">
        <f>ROUND((IF(119&lt;=2,'Rate Card'!$AD$120,IF(119&lt;=5,'Rate Card'!$AE$120,IF(119&lt;=10,'Rate Card'!$AF$120,IF(119&lt;=15,'Rate Card'!$AG$120,IF(119&lt;=20,'Rate Card'!$AH$120,IF(119&lt;=35,'Rate Card'!$AH$120+(119-20)*'Rate Card'!$AI$120,'Rate Card'!$AK$120+(119-35)*'Rate Card'!$AJ$120)))))))*(1+'Rate Card'!$C$6),2)+ROUND(ROUND((IF(119&lt;=2,'Rate Card'!$AD$120,IF(119&lt;=5,'Rate Card'!$AE$120,IF(119&lt;=10,'Rate Card'!$AF$120,IF(119&lt;=15,'Rate Card'!$AG$120,IF(119&lt;=20,'Rate Card'!$AH$120,IF(119&lt;=35,'Rate Card'!$AH$120+(119-20)*'Rate Card'!$AI$120,'Rate Card'!$AK$120+(119-35)*'Rate Card'!$AJ$120)))))))*(1+'Rate Card'!$C$6),2)*(IF('Rate Card'!$G$6="YES",'Rate Card'!$E$6,0)+IF('Rate Card'!$K$6="YES",'Rate Card'!$I$6,0)),2)</f>
        <v/>
      </c>
    </row>
    <row r="124">
      <c r="A124" s="75" t="n">
        <v>120</v>
      </c>
      <c r="B124" s="10">
        <f>""</f>
        <v/>
      </c>
      <c r="C124" s="10">
        <f>""</f>
        <v/>
      </c>
      <c r="D124" s="10">
        <f>""</f>
        <v/>
      </c>
      <c r="E124" s="10">
        <f>""</f>
        <v/>
      </c>
      <c r="F124" s="23">
        <f>IF(120&lt;=2,'Rate Card'!$AD$22,IF(120&lt;=5,'Rate Card'!$AE$22,IF(120&lt;=10,'Rate Card'!$AF$22,IF(120&lt;=15,'Rate Card'!$AG$22,IF(120&lt;=20,'Rate Card'!$AH$22,IF(120&lt;=35,'Rate Card'!$AH$22+(120-20)*'Rate Card'!$AI$22,'Rate Card'!$AK$22+(120-35)*'Rate Card'!$AJ$22))))))</f>
        <v/>
      </c>
      <c r="G124" s="23">
        <f>ROUND((IF(120&lt;=2,'Rate Card'!$AD$22,IF(120&lt;=5,'Rate Card'!$AE$22,IF(120&lt;=10,'Rate Card'!$AF$22,IF(120&lt;=15,'Rate Card'!$AG$22,IF(120&lt;=20,'Rate Card'!$AH$22,IF(120&lt;=35,'Rate Card'!$AH$22+(120-20)*'Rate Card'!$AI$22,'Rate Card'!$AK$22+(120-35)*'Rate Card'!$AJ$22)))))))*(1+'Rate Card'!$C$6),2)+ROUND(ROUND((IF(120&lt;=2,'Rate Card'!$AD$22,IF(120&lt;=5,'Rate Card'!$AE$22,IF(120&lt;=10,'Rate Card'!$AF$22,IF(120&lt;=15,'Rate Card'!$AG$22,IF(120&lt;=20,'Rate Card'!$AH$22,IF(120&lt;=35,'Rate Card'!$AH$22+(120-20)*'Rate Card'!$AI$22,'Rate Card'!$AK$22+(120-35)*'Rate Card'!$AJ$22)))))))*(1+'Rate Card'!$C$6),2)*(IF('Rate Card'!$G$6="YES",'Rate Card'!$E$6,0)+IF('Rate Card'!$K$6="YES",'Rate Card'!$I$6,0)),2)</f>
        <v/>
      </c>
      <c r="H124" s="23">
        <f>IF(120&lt;=2,'Rate Card'!$AD$23,IF(120&lt;=5,'Rate Card'!$AE$23,IF(120&lt;=10,'Rate Card'!$AF$23,IF(120&lt;=15,'Rate Card'!$AG$23,IF(120&lt;=20,'Rate Card'!$AH$23,IF(120&lt;=35,'Rate Card'!$AH$23+(120-20)*'Rate Card'!$AI$23,'Rate Card'!$AK$23+(120-35)*'Rate Card'!$AJ$23))))))</f>
        <v/>
      </c>
      <c r="I124" s="23">
        <f>ROUND((IF(120&lt;=2,'Rate Card'!$AD$23,IF(120&lt;=5,'Rate Card'!$AE$23,IF(120&lt;=10,'Rate Card'!$AF$23,IF(120&lt;=15,'Rate Card'!$AG$23,IF(120&lt;=20,'Rate Card'!$AH$23,IF(120&lt;=35,'Rate Card'!$AH$23+(120-20)*'Rate Card'!$AI$23,'Rate Card'!$AK$23+(120-35)*'Rate Card'!$AJ$23)))))))*(1+'Rate Card'!$C$6),2)+ROUND(ROUND((IF(120&lt;=2,'Rate Card'!$AD$23,IF(120&lt;=5,'Rate Card'!$AE$23,IF(120&lt;=10,'Rate Card'!$AF$23,IF(120&lt;=15,'Rate Card'!$AG$23,IF(120&lt;=20,'Rate Card'!$AH$23,IF(120&lt;=35,'Rate Card'!$AH$23+(120-20)*'Rate Card'!$AI$23,'Rate Card'!$AK$23+(120-35)*'Rate Card'!$AJ$23)))))))*(1+'Rate Card'!$C$6),2)*(IF('Rate Card'!$G$6="YES",'Rate Card'!$E$6,0)+IF('Rate Card'!$K$6="YES",'Rate Card'!$I$6,0)),2)</f>
        <v/>
      </c>
      <c r="J124" s="10">
        <f>""</f>
        <v/>
      </c>
      <c r="K124" s="10">
        <f>""</f>
        <v/>
      </c>
      <c r="L124" s="10">
        <f>""</f>
        <v/>
      </c>
      <c r="M124" s="10">
        <f>""</f>
        <v/>
      </c>
      <c r="N124" s="23">
        <f>IF(120&lt;=2,'Rate Card'!$AD$119,IF(120&lt;=5,'Rate Card'!$AE$119,IF(120&lt;=10,'Rate Card'!$AF$119,IF(120&lt;=15,'Rate Card'!$AG$119,IF(120&lt;=20,'Rate Card'!$AH$119,IF(120&lt;=35,'Rate Card'!$AH$119+(120-20)*'Rate Card'!$AI$119,'Rate Card'!$AK$119+(120-35)*'Rate Card'!$AJ$119))))))</f>
        <v/>
      </c>
      <c r="O124" s="23">
        <f>ROUND((IF(120&lt;=2,'Rate Card'!$AD$119,IF(120&lt;=5,'Rate Card'!$AE$119,IF(120&lt;=10,'Rate Card'!$AF$119,IF(120&lt;=15,'Rate Card'!$AG$119,IF(120&lt;=20,'Rate Card'!$AH$119,IF(120&lt;=35,'Rate Card'!$AH$119+(120-20)*'Rate Card'!$AI$119,'Rate Card'!$AK$119+(120-35)*'Rate Card'!$AJ$119)))))))*(1+'Rate Card'!$C$6),2)+ROUND(ROUND((IF(120&lt;=2,'Rate Card'!$AD$119,IF(120&lt;=5,'Rate Card'!$AE$119,IF(120&lt;=10,'Rate Card'!$AF$119,IF(120&lt;=15,'Rate Card'!$AG$119,IF(120&lt;=20,'Rate Card'!$AH$119,IF(120&lt;=35,'Rate Card'!$AH$119+(120-20)*'Rate Card'!$AI$119,'Rate Card'!$AK$119+(120-35)*'Rate Card'!$AJ$119)))))))*(1+'Rate Card'!$C$6),2)*(IF('Rate Card'!$G$6="YES",'Rate Card'!$E$6,0)+IF('Rate Card'!$K$6="YES",'Rate Card'!$I$6,0)),2)</f>
        <v/>
      </c>
      <c r="P124" s="23">
        <f>IF(120&lt;=2,'Rate Card'!$AD$120,IF(120&lt;=5,'Rate Card'!$AE$120,IF(120&lt;=10,'Rate Card'!$AF$120,IF(120&lt;=15,'Rate Card'!$AG$120,IF(120&lt;=20,'Rate Card'!$AH$120,IF(120&lt;=35,'Rate Card'!$AH$120+(120-20)*'Rate Card'!$AI$120,'Rate Card'!$AK$120+(120-35)*'Rate Card'!$AJ$120))))))</f>
        <v/>
      </c>
      <c r="Q124" s="12">
        <f>ROUND((IF(120&lt;=2,'Rate Card'!$AD$120,IF(120&lt;=5,'Rate Card'!$AE$120,IF(120&lt;=10,'Rate Card'!$AF$120,IF(120&lt;=15,'Rate Card'!$AG$120,IF(120&lt;=20,'Rate Card'!$AH$120,IF(120&lt;=35,'Rate Card'!$AH$120+(120-20)*'Rate Card'!$AI$120,'Rate Card'!$AK$120+(120-35)*'Rate Card'!$AJ$120)))))))*(1+'Rate Card'!$C$6),2)+ROUND(ROUND((IF(120&lt;=2,'Rate Card'!$AD$120,IF(120&lt;=5,'Rate Card'!$AE$120,IF(120&lt;=10,'Rate Card'!$AF$120,IF(120&lt;=15,'Rate Card'!$AG$120,IF(120&lt;=20,'Rate Card'!$AH$120,IF(120&lt;=35,'Rate Card'!$AH$120+(120-20)*'Rate Card'!$AI$120,'Rate Card'!$AK$120+(120-35)*'Rate Card'!$AJ$120)))))))*(1+'Rate Card'!$C$6),2)*(IF('Rate Card'!$G$6="YES",'Rate Card'!$E$6,0)+IF('Rate Card'!$K$6="YES",'Rate Card'!$I$6,0)),2)</f>
        <v/>
      </c>
    </row>
    <row r="125">
      <c r="A125" s="75" t="n">
        <v>121</v>
      </c>
      <c r="B125" s="10">
        <f>""</f>
        <v/>
      </c>
      <c r="C125" s="10">
        <f>""</f>
        <v/>
      </c>
      <c r="D125" s="10">
        <f>""</f>
        <v/>
      </c>
      <c r="E125" s="10">
        <f>""</f>
        <v/>
      </c>
      <c r="F125" s="23">
        <f>IF(121&lt;=2,'Rate Card'!$AD$22,IF(121&lt;=5,'Rate Card'!$AE$22,IF(121&lt;=10,'Rate Card'!$AF$22,IF(121&lt;=15,'Rate Card'!$AG$22,IF(121&lt;=20,'Rate Card'!$AH$22,IF(121&lt;=35,'Rate Card'!$AH$22+(121-20)*'Rate Card'!$AI$22,'Rate Card'!$AK$22+(121-35)*'Rate Card'!$AJ$22))))))</f>
        <v/>
      </c>
      <c r="G125" s="23">
        <f>ROUND((IF(121&lt;=2,'Rate Card'!$AD$22,IF(121&lt;=5,'Rate Card'!$AE$22,IF(121&lt;=10,'Rate Card'!$AF$22,IF(121&lt;=15,'Rate Card'!$AG$22,IF(121&lt;=20,'Rate Card'!$AH$22,IF(121&lt;=35,'Rate Card'!$AH$22+(121-20)*'Rate Card'!$AI$22,'Rate Card'!$AK$22+(121-35)*'Rate Card'!$AJ$22)))))))*(1+'Rate Card'!$C$6),2)+ROUND(ROUND((IF(121&lt;=2,'Rate Card'!$AD$22,IF(121&lt;=5,'Rate Card'!$AE$22,IF(121&lt;=10,'Rate Card'!$AF$22,IF(121&lt;=15,'Rate Card'!$AG$22,IF(121&lt;=20,'Rate Card'!$AH$22,IF(121&lt;=35,'Rate Card'!$AH$22+(121-20)*'Rate Card'!$AI$22,'Rate Card'!$AK$22+(121-35)*'Rate Card'!$AJ$22)))))))*(1+'Rate Card'!$C$6),2)*(IF('Rate Card'!$G$6="YES",'Rate Card'!$E$6,0)+IF('Rate Card'!$K$6="YES",'Rate Card'!$I$6,0)),2)</f>
        <v/>
      </c>
      <c r="H125" s="23">
        <f>IF(121&lt;=2,'Rate Card'!$AD$23,IF(121&lt;=5,'Rate Card'!$AE$23,IF(121&lt;=10,'Rate Card'!$AF$23,IF(121&lt;=15,'Rate Card'!$AG$23,IF(121&lt;=20,'Rate Card'!$AH$23,IF(121&lt;=35,'Rate Card'!$AH$23+(121-20)*'Rate Card'!$AI$23,'Rate Card'!$AK$23+(121-35)*'Rate Card'!$AJ$23))))))</f>
        <v/>
      </c>
      <c r="I125" s="23">
        <f>ROUND((IF(121&lt;=2,'Rate Card'!$AD$23,IF(121&lt;=5,'Rate Card'!$AE$23,IF(121&lt;=10,'Rate Card'!$AF$23,IF(121&lt;=15,'Rate Card'!$AG$23,IF(121&lt;=20,'Rate Card'!$AH$23,IF(121&lt;=35,'Rate Card'!$AH$23+(121-20)*'Rate Card'!$AI$23,'Rate Card'!$AK$23+(121-35)*'Rate Card'!$AJ$23)))))))*(1+'Rate Card'!$C$6),2)+ROUND(ROUND((IF(121&lt;=2,'Rate Card'!$AD$23,IF(121&lt;=5,'Rate Card'!$AE$23,IF(121&lt;=10,'Rate Card'!$AF$23,IF(121&lt;=15,'Rate Card'!$AG$23,IF(121&lt;=20,'Rate Card'!$AH$23,IF(121&lt;=35,'Rate Card'!$AH$23+(121-20)*'Rate Card'!$AI$23,'Rate Card'!$AK$23+(121-35)*'Rate Card'!$AJ$23)))))))*(1+'Rate Card'!$C$6),2)*(IF('Rate Card'!$G$6="YES",'Rate Card'!$E$6,0)+IF('Rate Card'!$K$6="YES",'Rate Card'!$I$6,0)),2)</f>
        <v/>
      </c>
      <c r="J125" s="10">
        <f>""</f>
        <v/>
      </c>
      <c r="K125" s="10">
        <f>""</f>
        <v/>
      </c>
      <c r="L125" s="10">
        <f>""</f>
        <v/>
      </c>
      <c r="M125" s="10">
        <f>""</f>
        <v/>
      </c>
      <c r="N125" s="23">
        <f>IF(121&lt;=2,'Rate Card'!$AD$119,IF(121&lt;=5,'Rate Card'!$AE$119,IF(121&lt;=10,'Rate Card'!$AF$119,IF(121&lt;=15,'Rate Card'!$AG$119,IF(121&lt;=20,'Rate Card'!$AH$119,IF(121&lt;=35,'Rate Card'!$AH$119+(121-20)*'Rate Card'!$AI$119,'Rate Card'!$AK$119+(121-35)*'Rate Card'!$AJ$119))))))</f>
        <v/>
      </c>
      <c r="O125" s="23">
        <f>ROUND((IF(121&lt;=2,'Rate Card'!$AD$119,IF(121&lt;=5,'Rate Card'!$AE$119,IF(121&lt;=10,'Rate Card'!$AF$119,IF(121&lt;=15,'Rate Card'!$AG$119,IF(121&lt;=20,'Rate Card'!$AH$119,IF(121&lt;=35,'Rate Card'!$AH$119+(121-20)*'Rate Card'!$AI$119,'Rate Card'!$AK$119+(121-35)*'Rate Card'!$AJ$119)))))))*(1+'Rate Card'!$C$6),2)+ROUND(ROUND((IF(121&lt;=2,'Rate Card'!$AD$119,IF(121&lt;=5,'Rate Card'!$AE$119,IF(121&lt;=10,'Rate Card'!$AF$119,IF(121&lt;=15,'Rate Card'!$AG$119,IF(121&lt;=20,'Rate Card'!$AH$119,IF(121&lt;=35,'Rate Card'!$AH$119+(121-20)*'Rate Card'!$AI$119,'Rate Card'!$AK$119+(121-35)*'Rate Card'!$AJ$119)))))))*(1+'Rate Card'!$C$6),2)*(IF('Rate Card'!$G$6="YES",'Rate Card'!$E$6,0)+IF('Rate Card'!$K$6="YES",'Rate Card'!$I$6,0)),2)</f>
        <v/>
      </c>
      <c r="P125" s="23">
        <f>IF(121&lt;=2,'Rate Card'!$AD$120,IF(121&lt;=5,'Rate Card'!$AE$120,IF(121&lt;=10,'Rate Card'!$AF$120,IF(121&lt;=15,'Rate Card'!$AG$120,IF(121&lt;=20,'Rate Card'!$AH$120,IF(121&lt;=35,'Rate Card'!$AH$120+(121-20)*'Rate Card'!$AI$120,'Rate Card'!$AK$120+(121-35)*'Rate Card'!$AJ$120))))))</f>
        <v/>
      </c>
      <c r="Q125" s="12">
        <f>ROUND((IF(121&lt;=2,'Rate Card'!$AD$120,IF(121&lt;=5,'Rate Card'!$AE$120,IF(121&lt;=10,'Rate Card'!$AF$120,IF(121&lt;=15,'Rate Card'!$AG$120,IF(121&lt;=20,'Rate Card'!$AH$120,IF(121&lt;=35,'Rate Card'!$AH$120+(121-20)*'Rate Card'!$AI$120,'Rate Card'!$AK$120+(121-35)*'Rate Card'!$AJ$120)))))))*(1+'Rate Card'!$C$6),2)+ROUND(ROUND((IF(121&lt;=2,'Rate Card'!$AD$120,IF(121&lt;=5,'Rate Card'!$AE$120,IF(121&lt;=10,'Rate Card'!$AF$120,IF(121&lt;=15,'Rate Card'!$AG$120,IF(121&lt;=20,'Rate Card'!$AH$120,IF(121&lt;=35,'Rate Card'!$AH$120+(121-20)*'Rate Card'!$AI$120,'Rate Card'!$AK$120+(121-35)*'Rate Card'!$AJ$120)))))))*(1+'Rate Card'!$C$6),2)*(IF('Rate Card'!$G$6="YES",'Rate Card'!$E$6,0)+IF('Rate Card'!$K$6="YES",'Rate Card'!$I$6,0)),2)</f>
        <v/>
      </c>
    </row>
    <row r="126">
      <c r="A126" s="75" t="n">
        <v>122</v>
      </c>
      <c r="B126" s="10">
        <f>""</f>
        <v/>
      </c>
      <c r="C126" s="10">
        <f>""</f>
        <v/>
      </c>
      <c r="D126" s="10">
        <f>""</f>
        <v/>
      </c>
      <c r="E126" s="10">
        <f>""</f>
        <v/>
      </c>
      <c r="F126" s="23">
        <f>IF(122&lt;=2,'Rate Card'!$AD$22,IF(122&lt;=5,'Rate Card'!$AE$22,IF(122&lt;=10,'Rate Card'!$AF$22,IF(122&lt;=15,'Rate Card'!$AG$22,IF(122&lt;=20,'Rate Card'!$AH$22,IF(122&lt;=35,'Rate Card'!$AH$22+(122-20)*'Rate Card'!$AI$22,'Rate Card'!$AK$22+(122-35)*'Rate Card'!$AJ$22))))))</f>
        <v/>
      </c>
      <c r="G126" s="23">
        <f>ROUND((IF(122&lt;=2,'Rate Card'!$AD$22,IF(122&lt;=5,'Rate Card'!$AE$22,IF(122&lt;=10,'Rate Card'!$AF$22,IF(122&lt;=15,'Rate Card'!$AG$22,IF(122&lt;=20,'Rate Card'!$AH$22,IF(122&lt;=35,'Rate Card'!$AH$22+(122-20)*'Rate Card'!$AI$22,'Rate Card'!$AK$22+(122-35)*'Rate Card'!$AJ$22)))))))*(1+'Rate Card'!$C$6),2)+ROUND(ROUND((IF(122&lt;=2,'Rate Card'!$AD$22,IF(122&lt;=5,'Rate Card'!$AE$22,IF(122&lt;=10,'Rate Card'!$AF$22,IF(122&lt;=15,'Rate Card'!$AG$22,IF(122&lt;=20,'Rate Card'!$AH$22,IF(122&lt;=35,'Rate Card'!$AH$22+(122-20)*'Rate Card'!$AI$22,'Rate Card'!$AK$22+(122-35)*'Rate Card'!$AJ$22)))))))*(1+'Rate Card'!$C$6),2)*(IF('Rate Card'!$G$6="YES",'Rate Card'!$E$6,0)+IF('Rate Card'!$K$6="YES",'Rate Card'!$I$6,0)),2)</f>
        <v/>
      </c>
      <c r="H126" s="23">
        <f>IF(122&lt;=2,'Rate Card'!$AD$23,IF(122&lt;=5,'Rate Card'!$AE$23,IF(122&lt;=10,'Rate Card'!$AF$23,IF(122&lt;=15,'Rate Card'!$AG$23,IF(122&lt;=20,'Rate Card'!$AH$23,IF(122&lt;=35,'Rate Card'!$AH$23+(122-20)*'Rate Card'!$AI$23,'Rate Card'!$AK$23+(122-35)*'Rate Card'!$AJ$23))))))</f>
        <v/>
      </c>
      <c r="I126" s="23">
        <f>ROUND((IF(122&lt;=2,'Rate Card'!$AD$23,IF(122&lt;=5,'Rate Card'!$AE$23,IF(122&lt;=10,'Rate Card'!$AF$23,IF(122&lt;=15,'Rate Card'!$AG$23,IF(122&lt;=20,'Rate Card'!$AH$23,IF(122&lt;=35,'Rate Card'!$AH$23+(122-20)*'Rate Card'!$AI$23,'Rate Card'!$AK$23+(122-35)*'Rate Card'!$AJ$23)))))))*(1+'Rate Card'!$C$6),2)+ROUND(ROUND((IF(122&lt;=2,'Rate Card'!$AD$23,IF(122&lt;=5,'Rate Card'!$AE$23,IF(122&lt;=10,'Rate Card'!$AF$23,IF(122&lt;=15,'Rate Card'!$AG$23,IF(122&lt;=20,'Rate Card'!$AH$23,IF(122&lt;=35,'Rate Card'!$AH$23+(122-20)*'Rate Card'!$AI$23,'Rate Card'!$AK$23+(122-35)*'Rate Card'!$AJ$23)))))))*(1+'Rate Card'!$C$6),2)*(IF('Rate Card'!$G$6="YES",'Rate Card'!$E$6,0)+IF('Rate Card'!$K$6="YES",'Rate Card'!$I$6,0)),2)</f>
        <v/>
      </c>
      <c r="J126" s="10">
        <f>""</f>
        <v/>
      </c>
      <c r="K126" s="10">
        <f>""</f>
        <v/>
      </c>
      <c r="L126" s="10">
        <f>""</f>
        <v/>
      </c>
      <c r="M126" s="10">
        <f>""</f>
        <v/>
      </c>
      <c r="N126" s="23">
        <f>IF(122&lt;=2,'Rate Card'!$AD$119,IF(122&lt;=5,'Rate Card'!$AE$119,IF(122&lt;=10,'Rate Card'!$AF$119,IF(122&lt;=15,'Rate Card'!$AG$119,IF(122&lt;=20,'Rate Card'!$AH$119,IF(122&lt;=35,'Rate Card'!$AH$119+(122-20)*'Rate Card'!$AI$119,'Rate Card'!$AK$119+(122-35)*'Rate Card'!$AJ$119))))))</f>
        <v/>
      </c>
      <c r="O126" s="23">
        <f>ROUND((IF(122&lt;=2,'Rate Card'!$AD$119,IF(122&lt;=5,'Rate Card'!$AE$119,IF(122&lt;=10,'Rate Card'!$AF$119,IF(122&lt;=15,'Rate Card'!$AG$119,IF(122&lt;=20,'Rate Card'!$AH$119,IF(122&lt;=35,'Rate Card'!$AH$119+(122-20)*'Rate Card'!$AI$119,'Rate Card'!$AK$119+(122-35)*'Rate Card'!$AJ$119)))))))*(1+'Rate Card'!$C$6),2)+ROUND(ROUND((IF(122&lt;=2,'Rate Card'!$AD$119,IF(122&lt;=5,'Rate Card'!$AE$119,IF(122&lt;=10,'Rate Card'!$AF$119,IF(122&lt;=15,'Rate Card'!$AG$119,IF(122&lt;=20,'Rate Card'!$AH$119,IF(122&lt;=35,'Rate Card'!$AH$119+(122-20)*'Rate Card'!$AI$119,'Rate Card'!$AK$119+(122-35)*'Rate Card'!$AJ$119)))))))*(1+'Rate Card'!$C$6),2)*(IF('Rate Card'!$G$6="YES",'Rate Card'!$E$6,0)+IF('Rate Card'!$K$6="YES",'Rate Card'!$I$6,0)),2)</f>
        <v/>
      </c>
      <c r="P126" s="23">
        <f>IF(122&lt;=2,'Rate Card'!$AD$120,IF(122&lt;=5,'Rate Card'!$AE$120,IF(122&lt;=10,'Rate Card'!$AF$120,IF(122&lt;=15,'Rate Card'!$AG$120,IF(122&lt;=20,'Rate Card'!$AH$120,IF(122&lt;=35,'Rate Card'!$AH$120+(122-20)*'Rate Card'!$AI$120,'Rate Card'!$AK$120+(122-35)*'Rate Card'!$AJ$120))))))</f>
        <v/>
      </c>
      <c r="Q126" s="12">
        <f>ROUND((IF(122&lt;=2,'Rate Card'!$AD$120,IF(122&lt;=5,'Rate Card'!$AE$120,IF(122&lt;=10,'Rate Card'!$AF$120,IF(122&lt;=15,'Rate Card'!$AG$120,IF(122&lt;=20,'Rate Card'!$AH$120,IF(122&lt;=35,'Rate Card'!$AH$120+(122-20)*'Rate Card'!$AI$120,'Rate Card'!$AK$120+(122-35)*'Rate Card'!$AJ$120)))))))*(1+'Rate Card'!$C$6),2)+ROUND(ROUND((IF(122&lt;=2,'Rate Card'!$AD$120,IF(122&lt;=5,'Rate Card'!$AE$120,IF(122&lt;=10,'Rate Card'!$AF$120,IF(122&lt;=15,'Rate Card'!$AG$120,IF(122&lt;=20,'Rate Card'!$AH$120,IF(122&lt;=35,'Rate Card'!$AH$120+(122-20)*'Rate Card'!$AI$120,'Rate Card'!$AK$120+(122-35)*'Rate Card'!$AJ$120)))))))*(1+'Rate Card'!$C$6),2)*(IF('Rate Card'!$G$6="YES",'Rate Card'!$E$6,0)+IF('Rate Card'!$K$6="YES",'Rate Card'!$I$6,0)),2)</f>
        <v/>
      </c>
    </row>
    <row r="127">
      <c r="A127" s="75" t="n">
        <v>123</v>
      </c>
      <c r="B127" s="10">
        <f>""</f>
        <v/>
      </c>
      <c r="C127" s="10">
        <f>""</f>
        <v/>
      </c>
      <c r="D127" s="10">
        <f>""</f>
        <v/>
      </c>
      <c r="E127" s="10">
        <f>""</f>
        <v/>
      </c>
      <c r="F127" s="23">
        <f>IF(123&lt;=2,'Rate Card'!$AD$22,IF(123&lt;=5,'Rate Card'!$AE$22,IF(123&lt;=10,'Rate Card'!$AF$22,IF(123&lt;=15,'Rate Card'!$AG$22,IF(123&lt;=20,'Rate Card'!$AH$22,IF(123&lt;=35,'Rate Card'!$AH$22+(123-20)*'Rate Card'!$AI$22,'Rate Card'!$AK$22+(123-35)*'Rate Card'!$AJ$22))))))</f>
        <v/>
      </c>
      <c r="G127" s="23">
        <f>ROUND((IF(123&lt;=2,'Rate Card'!$AD$22,IF(123&lt;=5,'Rate Card'!$AE$22,IF(123&lt;=10,'Rate Card'!$AF$22,IF(123&lt;=15,'Rate Card'!$AG$22,IF(123&lt;=20,'Rate Card'!$AH$22,IF(123&lt;=35,'Rate Card'!$AH$22+(123-20)*'Rate Card'!$AI$22,'Rate Card'!$AK$22+(123-35)*'Rate Card'!$AJ$22)))))))*(1+'Rate Card'!$C$6),2)+ROUND(ROUND((IF(123&lt;=2,'Rate Card'!$AD$22,IF(123&lt;=5,'Rate Card'!$AE$22,IF(123&lt;=10,'Rate Card'!$AF$22,IF(123&lt;=15,'Rate Card'!$AG$22,IF(123&lt;=20,'Rate Card'!$AH$22,IF(123&lt;=35,'Rate Card'!$AH$22+(123-20)*'Rate Card'!$AI$22,'Rate Card'!$AK$22+(123-35)*'Rate Card'!$AJ$22)))))))*(1+'Rate Card'!$C$6),2)*(IF('Rate Card'!$G$6="YES",'Rate Card'!$E$6,0)+IF('Rate Card'!$K$6="YES",'Rate Card'!$I$6,0)),2)</f>
        <v/>
      </c>
      <c r="H127" s="23">
        <f>IF(123&lt;=2,'Rate Card'!$AD$23,IF(123&lt;=5,'Rate Card'!$AE$23,IF(123&lt;=10,'Rate Card'!$AF$23,IF(123&lt;=15,'Rate Card'!$AG$23,IF(123&lt;=20,'Rate Card'!$AH$23,IF(123&lt;=35,'Rate Card'!$AH$23+(123-20)*'Rate Card'!$AI$23,'Rate Card'!$AK$23+(123-35)*'Rate Card'!$AJ$23))))))</f>
        <v/>
      </c>
      <c r="I127" s="23">
        <f>ROUND((IF(123&lt;=2,'Rate Card'!$AD$23,IF(123&lt;=5,'Rate Card'!$AE$23,IF(123&lt;=10,'Rate Card'!$AF$23,IF(123&lt;=15,'Rate Card'!$AG$23,IF(123&lt;=20,'Rate Card'!$AH$23,IF(123&lt;=35,'Rate Card'!$AH$23+(123-20)*'Rate Card'!$AI$23,'Rate Card'!$AK$23+(123-35)*'Rate Card'!$AJ$23)))))))*(1+'Rate Card'!$C$6),2)+ROUND(ROUND((IF(123&lt;=2,'Rate Card'!$AD$23,IF(123&lt;=5,'Rate Card'!$AE$23,IF(123&lt;=10,'Rate Card'!$AF$23,IF(123&lt;=15,'Rate Card'!$AG$23,IF(123&lt;=20,'Rate Card'!$AH$23,IF(123&lt;=35,'Rate Card'!$AH$23+(123-20)*'Rate Card'!$AI$23,'Rate Card'!$AK$23+(123-35)*'Rate Card'!$AJ$23)))))))*(1+'Rate Card'!$C$6),2)*(IF('Rate Card'!$G$6="YES",'Rate Card'!$E$6,0)+IF('Rate Card'!$K$6="YES",'Rate Card'!$I$6,0)),2)</f>
        <v/>
      </c>
      <c r="J127" s="10">
        <f>""</f>
        <v/>
      </c>
      <c r="K127" s="10">
        <f>""</f>
        <v/>
      </c>
      <c r="L127" s="10">
        <f>""</f>
        <v/>
      </c>
      <c r="M127" s="10">
        <f>""</f>
        <v/>
      </c>
      <c r="N127" s="23">
        <f>IF(123&lt;=2,'Rate Card'!$AD$119,IF(123&lt;=5,'Rate Card'!$AE$119,IF(123&lt;=10,'Rate Card'!$AF$119,IF(123&lt;=15,'Rate Card'!$AG$119,IF(123&lt;=20,'Rate Card'!$AH$119,IF(123&lt;=35,'Rate Card'!$AH$119+(123-20)*'Rate Card'!$AI$119,'Rate Card'!$AK$119+(123-35)*'Rate Card'!$AJ$119))))))</f>
        <v/>
      </c>
      <c r="O127" s="23">
        <f>ROUND((IF(123&lt;=2,'Rate Card'!$AD$119,IF(123&lt;=5,'Rate Card'!$AE$119,IF(123&lt;=10,'Rate Card'!$AF$119,IF(123&lt;=15,'Rate Card'!$AG$119,IF(123&lt;=20,'Rate Card'!$AH$119,IF(123&lt;=35,'Rate Card'!$AH$119+(123-20)*'Rate Card'!$AI$119,'Rate Card'!$AK$119+(123-35)*'Rate Card'!$AJ$119)))))))*(1+'Rate Card'!$C$6),2)+ROUND(ROUND((IF(123&lt;=2,'Rate Card'!$AD$119,IF(123&lt;=5,'Rate Card'!$AE$119,IF(123&lt;=10,'Rate Card'!$AF$119,IF(123&lt;=15,'Rate Card'!$AG$119,IF(123&lt;=20,'Rate Card'!$AH$119,IF(123&lt;=35,'Rate Card'!$AH$119+(123-20)*'Rate Card'!$AI$119,'Rate Card'!$AK$119+(123-35)*'Rate Card'!$AJ$119)))))))*(1+'Rate Card'!$C$6),2)*(IF('Rate Card'!$G$6="YES",'Rate Card'!$E$6,0)+IF('Rate Card'!$K$6="YES",'Rate Card'!$I$6,0)),2)</f>
        <v/>
      </c>
      <c r="P127" s="23">
        <f>IF(123&lt;=2,'Rate Card'!$AD$120,IF(123&lt;=5,'Rate Card'!$AE$120,IF(123&lt;=10,'Rate Card'!$AF$120,IF(123&lt;=15,'Rate Card'!$AG$120,IF(123&lt;=20,'Rate Card'!$AH$120,IF(123&lt;=35,'Rate Card'!$AH$120+(123-20)*'Rate Card'!$AI$120,'Rate Card'!$AK$120+(123-35)*'Rate Card'!$AJ$120))))))</f>
        <v/>
      </c>
      <c r="Q127" s="12">
        <f>ROUND((IF(123&lt;=2,'Rate Card'!$AD$120,IF(123&lt;=5,'Rate Card'!$AE$120,IF(123&lt;=10,'Rate Card'!$AF$120,IF(123&lt;=15,'Rate Card'!$AG$120,IF(123&lt;=20,'Rate Card'!$AH$120,IF(123&lt;=35,'Rate Card'!$AH$120+(123-20)*'Rate Card'!$AI$120,'Rate Card'!$AK$120+(123-35)*'Rate Card'!$AJ$120)))))))*(1+'Rate Card'!$C$6),2)+ROUND(ROUND((IF(123&lt;=2,'Rate Card'!$AD$120,IF(123&lt;=5,'Rate Card'!$AE$120,IF(123&lt;=10,'Rate Card'!$AF$120,IF(123&lt;=15,'Rate Card'!$AG$120,IF(123&lt;=20,'Rate Card'!$AH$120,IF(123&lt;=35,'Rate Card'!$AH$120+(123-20)*'Rate Card'!$AI$120,'Rate Card'!$AK$120+(123-35)*'Rate Card'!$AJ$120)))))))*(1+'Rate Card'!$C$6),2)*(IF('Rate Card'!$G$6="YES",'Rate Card'!$E$6,0)+IF('Rate Card'!$K$6="YES",'Rate Card'!$I$6,0)),2)</f>
        <v/>
      </c>
    </row>
    <row r="128">
      <c r="A128" s="75" t="n">
        <v>124</v>
      </c>
      <c r="B128" s="10">
        <f>""</f>
        <v/>
      </c>
      <c r="C128" s="10">
        <f>""</f>
        <v/>
      </c>
      <c r="D128" s="10">
        <f>""</f>
        <v/>
      </c>
      <c r="E128" s="10">
        <f>""</f>
        <v/>
      </c>
      <c r="F128" s="23">
        <f>IF(124&lt;=2,'Rate Card'!$AD$22,IF(124&lt;=5,'Rate Card'!$AE$22,IF(124&lt;=10,'Rate Card'!$AF$22,IF(124&lt;=15,'Rate Card'!$AG$22,IF(124&lt;=20,'Rate Card'!$AH$22,IF(124&lt;=35,'Rate Card'!$AH$22+(124-20)*'Rate Card'!$AI$22,'Rate Card'!$AK$22+(124-35)*'Rate Card'!$AJ$22))))))</f>
        <v/>
      </c>
      <c r="G128" s="23">
        <f>ROUND((IF(124&lt;=2,'Rate Card'!$AD$22,IF(124&lt;=5,'Rate Card'!$AE$22,IF(124&lt;=10,'Rate Card'!$AF$22,IF(124&lt;=15,'Rate Card'!$AG$22,IF(124&lt;=20,'Rate Card'!$AH$22,IF(124&lt;=35,'Rate Card'!$AH$22+(124-20)*'Rate Card'!$AI$22,'Rate Card'!$AK$22+(124-35)*'Rate Card'!$AJ$22)))))))*(1+'Rate Card'!$C$6),2)+ROUND(ROUND((IF(124&lt;=2,'Rate Card'!$AD$22,IF(124&lt;=5,'Rate Card'!$AE$22,IF(124&lt;=10,'Rate Card'!$AF$22,IF(124&lt;=15,'Rate Card'!$AG$22,IF(124&lt;=20,'Rate Card'!$AH$22,IF(124&lt;=35,'Rate Card'!$AH$22+(124-20)*'Rate Card'!$AI$22,'Rate Card'!$AK$22+(124-35)*'Rate Card'!$AJ$22)))))))*(1+'Rate Card'!$C$6),2)*(IF('Rate Card'!$G$6="YES",'Rate Card'!$E$6,0)+IF('Rate Card'!$K$6="YES",'Rate Card'!$I$6,0)),2)</f>
        <v/>
      </c>
      <c r="H128" s="23">
        <f>IF(124&lt;=2,'Rate Card'!$AD$23,IF(124&lt;=5,'Rate Card'!$AE$23,IF(124&lt;=10,'Rate Card'!$AF$23,IF(124&lt;=15,'Rate Card'!$AG$23,IF(124&lt;=20,'Rate Card'!$AH$23,IF(124&lt;=35,'Rate Card'!$AH$23+(124-20)*'Rate Card'!$AI$23,'Rate Card'!$AK$23+(124-35)*'Rate Card'!$AJ$23))))))</f>
        <v/>
      </c>
      <c r="I128" s="23">
        <f>ROUND((IF(124&lt;=2,'Rate Card'!$AD$23,IF(124&lt;=5,'Rate Card'!$AE$23,IF(124&lt;=10,'Rate Card'!$AF$23,IF(124&lt;=15,'Rate Card'!$AG$23,IF(124&lt;=20,'Rate Card'!$AH$23,IF(124&lt;=35,'Rate Card'!$AH$23+(124-20)*'Rate Card'!$AI$23,'Rate Card'!$AK$23+(124-35)*'Rate Card'!$AJ$23)))))))*(1+'Rate Card'!$C$6),2)+ROUND(ROUND((IF(124&lt;=2,'Rate Card'!$AD$23,IF(124&lt;=5,'Rate Card'!$AE$23,IF(124&lt;=10,'Rate Card'!$AF$23,IF(124&lt;=15,'Rate Card'!$AG$23,IF(124&lt;=20,'Rate Card'!$AH$23,IF(124&lt;=35,'Rate Card'!$AH$23+(124-20)*'Rate Card'!$AI$23,'Rate Card'!$AK$23+(124-35)*'Rate Card'!$AJ$23)))))))*(1+'Rate Card'!$C$6),2)*(IF('Rate Card'!$G$6="YES",'Rate Card'!$E$6,0)+IF('Rate Card'!$K$6="YES",'Rate Card'!$I$6,0)),2)</f>
        <v/>
      </c>
      <c r="J128" s="10">
        <f>""</f>
        <v/>
      </c>
      <c r="K128" s="10">
        <f>""</f>
        <v/>
      </c>
      <c r="L128" s="10">
        <f>""</f>
        <v/>
      </c>
      <c r="M128" s="10">
        <f>""</f>
        <v/>
      </c>
      <c r="N128" s="23">
        <f>IF(124&lt;=2,'Rate Card'!$AD$119,IF(124&lt;=5,'Rate Card'!$AE$119,IF(124&lt;=10,'Rate Card'!$AF$119,IF(124&lt;=15,'Rate Card'!$AG$119,IF(124&lt;=20,'Rate Card'!$AH$119,IF(124&lt;=35,'Rate Card'!$AH$119+(124-20)*'Rate Card'!$AI$119,'Rate Card'!$AK$119+(124-35)*'Rate Card'!$AJ$119))))))</f>
        <v/>
      </c>
      <c r="O128" s="23">
        <f>ROUND((IF(124&lt;=2,'Rate Card'!$AD$119,IF(124&lt;=5,'Rate Card'!$AE$119,IF(124&lt;=10,'Rate Card'!$AF$119,IF(124&lt;=15,'Rate Card'!$AG$119,IF(124&lt;=20,'Rate Card'!$AH$119,IF(124&lt;=35,'Rate Card'!$AH$119+(124-20)*'Rate Card'!$AI$119,'Rate Card'!$AK$119+(124-35)*'Rate Card'!$AJ$119)))))))*(1+'Rate Card'!$C$6),2)+ROUND(ROUND((IF(124&lt;=2,'Rate Card'!$AD$119,IF(124&lt;=5,'Rate Card'!$AE$119,IF(124&lt;=10,'Rate Card'!$AF$119,IF(124&lt;=15,'Rate Card'!$AG$119,IF(124&lt;=20,'Rate Card'!$AH$119,IF(124&lt;=35,'Rate Card'!$AH$119+(124-20)*'Rate Card'!$AI$119,'Rate Card'!$AK$119+(124-35)*'Rate Card'!$AJ$119)))))))*(1+'Rate Card'!$C$6),2)*(IF('Rate Card'!$G$6="YES",'Rate Card'!$E$6,0)+IF('Rate Card'!$K$6="YES",'Rate Card'!$I$6,0)),2)</f>
        <v/>
      </c>
      <c r="P128" s="23">
        <f>IF(124&lt;=2,'Rate Card'!$AD$120,IF(124&lt;=5,'Rate Card'!$AE$120,IF(124&lt;=10,'Rate Card'!$AF$120,IF(124&lt;=15,'Rate Card'!$AG$120,IF(124&lt;=20,'Rate Card'!$AH$120,IF(124&lt;=35,'Rate Card'!$AH$120+(124-20)*'Rate Card'!$AI$120,'Rate Card'!$AK$120+(124-35)*'Rate Card'!$AJ$120))))))</f>
        <v/>
      </c>
      <c r="Q128" s="12">
        <f>ROUND((IF(124&lt;=2,'Rate Card'!$AD$120,IF(124&lt;=5,'Rate Card'!$AE$120,IF(124&lt;=10,'Rate Card'!$AF$120,IF(124&lt;=15,'Rate Card'!$AG$120,IF(124&lt;=20,'Rate Card'!$AH$120,IF(124&lt;=35,'Rate Card'!$AH$120+(124-20)*'Rate Card'!$AI$120,'Rate Card'!$AK$120+(124-35)*'Rate Card'!$AJ$120)))))))*(1+'Rate Card'!$C$6),2)+ROUND(ROUND((IF(124&lt;=2,'Rate Card'!$AD$120,IF(124&lt;=5,'Rate Card'!$AE$120,IF(124&lt;=10,'Rate Card'!$AF$120,IF(124&lt;=15,'Rate Card'!$AG$120,IF(124&lt;=20,'Rate Card'!$AH$120,IF(124&lt;=35,'Rate Card'!$AH$120+(124-20)*'Rate Card'!$AI$120,'Rate Card'!$AK$120+(124-35)*'Rate Card'!$AJ$120)))))))*(1+'Rate Card'!$C$6),2)*(IF('Rate Card'!$G$6="YES",'Rate Card'!$E$6,0)+IF('Rate Card'!$K$6="YES",'Rate Card'!$I$6,0)),2)</f>
        <v/>
      </c>
    </row>
    <row r="129">
      <c r="A129" s="75" t="n">
        <v>125</v>
      </c>
      <c r="B129" s="10">
        <f>""</f>
        <v/>
      </c>
      <c r="C129" s="10">
        <f>""</f>
        <v/>
      </c>
      <c r="D129" s="10">
        <f>""</f>
        <v/>
      </c>
      <c r="E129" s="10">
        <f>""</f>
        <v/>
      </c>
      <c r="F129" s="23">
        <f>IF(125&lt;=2,'Rate Card'!$AD$22,IF(125&lt;=5,'Rate Card'!$AE$22,IF(125&lt;=10,'Rate Card'!$AF$22,IF(125&lt;=15,'Rate Card'!$AG$22,IF(125&lt;=20,'Rate Card'!$AH$22,IF(125&lt;=35,'Rate Card'!$AH$22+(125-20)*'Rate Card'!$AI$22,'Rate Card'!$AK$22+(125-35)*'Rate Card'!$AJ$22))))))</f>
        <v/>
      </c>
      <c r="G129" s="23">
        <f>ROUND((IF(125&lt;=2,'Rate Card'!$AD$22,IF(125&lt;=5,'Rate Card'!$AE$22,IF(125&lt;=10,'Rate Card'!$AF$22,IF(125&lt;=15,'Rate Card'!$AG$22,IF(125&lt;=20,'Rate Card'!$AH$22,IF(125&lt;=35,'Rate Card'!$AH$22+(125-20)*'Rate Card'!$AI$22,'Rate Card'!$AK$22+(125-35)*'Rate Card'!$AJ$22)))))))*(1+'Rate Card'!$C$6),2)+ROUND(ROUND((IF(125&lt;=2,'Rate Card'!$AD$22,IF(125&lt;=5,'Rate Card'!$AE$22,IF(125&lt;=10,'Rate Card'!$AF$22,IF(125&lt;=15,'Rate Card'!$AG$22,IF(125&lt;=20,'Rate Card'!$AH$22,IF(125&lt;=35,'Rate Card'!$AH$22+(125-20)*'Rate Card'!$AI$22,'Rate Card'!$AK$22+(125-35)*'Rate Card'!$AJ$22)))))))*(1+'Rate Card'!$C$6),2)*(IF('Rate Card'!$G$6="YES",'Rate Card'!$E$6,0)+IF('Rate Card'!$K$6="YES",'Rate Card'!$I$6,0)),2)</f>
        <v/>
      </c>
      <c r="H129" s="23">
        <f>IF(125&lt;=2,'Rate Card'!$AD$23,IF(125&lt;=5,'Rate Card'!$AE$23,IF(125&lt;=10,'Rate Card'!$AF$23,IF(125&lt;=15,'Rate Card'!$AG$23,IF(125&lt;=20,'Rate Card'!$AH$23,IF(125&lt;=35,'Rate Card'!$AH$23+(125-20)*'Rate Card'!$AI$23,'Rate Card'!$AK$23+(125-35)*'Rate Card'!$AJ$23))))))</f>
        <v/>
      </c>
      <c r="I129" s="23">
        <f>ROUND((IF(125&lt;=2,'Rate Card'!$AD$23,IF(125&lt;=5,'Rate Card'!$AE$23,IF(125&lt;=10,'Rate Card'!$AF$23,IF(125&lt;=15,'Rate Card'!$AG$23,IF(125&lt;=20,'Rate Card'!$AH$23,IF(125&lt;=35,'Rate Card'!$AH$23+(125-20)*'Rate Card'!$AI$23,'Rate Card'!$AK$23+(125-35)*'Rate Card'!$AJ$23)))))))*(1+'Rate Card'!$C$6),2)+ROUND(ROUND((IF(125&lt;=2,'Rate Card'!$AD$23,IF(125&lt;=5,'Rate Card'!$AE$23,IF(125&lt;=10,'Rate Card'!$AF$23,IF(125&lt;=15,'Rate Card'!$AG$23,IF(125&lt;=20,'Rate Card'!$AH$23,IF(125&lt;=35,'Rate Card'!$AH$23+(125-20)*'Rate Card'!$AI$23,'Rate Card'!$AK$23+(125-35)*'Rate Card'!$AJ$23)))))))*(1+'Rate Card'!$C$6),2)*(IF('Rate Card'!$G$6="YES",'Rate Card'!$E$6,0)+IF('Rate Card'!$K$6="YES",'Rate Card'!$I$6,0)),2)</f>
        <v/>
      </c>
      <c r="J129" s="10">
        <f>""</f>
        <v/>
      </c>
      <c r="K129" s="10">
        <f>""</f>
        <v/>
      </c>
      <c r="L129" s="10">
        <f>""</f>
        <v/>
      </c>
      <c r="M129" s="10">
        <f>""</f>
        <v/>
      </c>
      <c r="N129" s="23">
        <f>IF(125&lt;=2,'Rate Card'!$AD$119,IF(125&lt;=5,'Rate Card'!$AE$119,IF(125&lt;=10,'Rate Card'!$AF$119,IF(125&lt;=15,'Rate Card'!$AG$119,IF(125&lt;=20,'Rate Card'!$AH$119,IF(125&lt;=35,'Rate Card'!$AH$119+(125-20)*'Rate Card'!$AI$119,'Rate Card'!$AK$119+(125-35)*'Rate Card'!$AJ$119))))))</f>
        <v/>
      </c>
      <c r="O129" s="23">
        <f>ROUND((IF(125&lt;=2,'Rate Card'!$AD$119,IF(125&lt;=5,'Rate Card'!$AE$119,IF(125&lt;=10,'Rate Card'!$AF$119,IF(125&lt;=15,'Rate Card'!$AG$119,IF(125&lt;=20,'Rate Card'!$AH$119,IF(125&lt;=35,'Rate Card'!$AH$119+(125-20)*'Rate Card'!$AI$119,'Rate Card'!$AK$119+(125-35)*'Rate Card'!$AJ$119)))))))*(1+'Rate Card'!$C$6),2)+ROUND(ROUND((IF(125&lt;=2,'Rate Card'!$AD$119,IF(125&lt;=5,'Rate Card'!$AE$119,IF(125&lt;=10,'Rate Card'!$AF$119,IF(125&lt;=15,'Rate Card'!$AG$119,IF(125&lt;=20,'Rate Card'!$AH$119,IF(125&lt;=35,'Rate Card'!$AH$119+(125-20)*'Rate Card'!$AI$119,'Rate Card'!$AK$119+(125-35)*'Rate Card'!$AJ$119)))))))*(1+'Rate Card'!$C$6),2)*(IF('Rate Card'!$G$6="YES",'Rate Card'!$E$6,0)+IF('Rate Card'!$K$6="YES",'Rate Card'!$I$6,0)),2)</f>
        <v/>
      </c>
      <c r="P129" s="23">
        <f>IF(125&lt;=2,'Rate Card'!$AD$120,IF(125&lt;=5,'Rate Card'!$AE$120,IF(125&lt;=10,'Rate Card'!$AF$120,IF(125&lt;=15,'Rate Card'!$AG$120,IF(125&lt;=20,'Rate Card'!$AH$120,IF(125&lt;=35,'Rate Card'!$AH$120+(125-20)*'Rate Card'!$AI$120,'Rate Card'!$AK$120+(125-35)*'Rate Card'!$AJ$120))))))</f>
        <v/>
      </c>
      <c r="Q129" s="12">
        <f>ROUND((IF(125&lt;=2,'Rate Card'!$AD$120,IF(125&lt;=5,'Rate Card'!$AE$120,IF(125&lt;=10,'Rate Card'!$AF$120,IF(125&lt;=15,'Rate Card'!$AG$120,IF(125&lt;=20,'Rate Card'!$AH$120,IF(125&lt;=35,'Rate Card'!$AH$120+(125-20)*'Rate Card'!$AI$120,'Rate Card'!$AK$120+(125-35)*'Rate Card'!$AJ$120)))))))*(1+'Rate Card'!$C$6),2)+ROUND(ROUND((IF(125&lt;=2,'Rate Card'!$AD$120,IF(125&lt;=5,'Rate Card'!$AE$120,IF(125&lt;=10,'Rate Card'!$AF$120,IF(125&lt;=15,'Rate Card'!$AG$120,IF(125&lt;=20,'Rate Card'!$AH$120,IF(125&lt;=35,'Rate Card'!$AH$120+(125-20)*'Rate Card'!$AI$120,'Rate Card'!$AK$120+(125-35)*'Rate Card'!$AJ$120)))))))*(1+'Rate Card'!$C$6),2)*(IF('Rate Card'!$G$6="YES",'Rate Card'!$E$6,0)+IF('Rate Card'!$K$6="YES",'Rate Card'!$I$6,0)),2)</f>
        <v/>
      </c>
    </row>
    <row r="130">
      <c r="A130" s="75" t="n">
        <v>126</v>
      </c>
      <c r="B130" s="10">
        <f>""</f>
        <v/>
      </c>
      <c r="C130" s="10">
        <f>""</f>
        <v/>
      </c>
      <c r="D130" s="10">
        <f>""</f>
        <v/>
      </c>
      <c r="E130" s="10">
        <f>""</f>
        <v/>
      </c>
      <c r="F130" s="23">
        <f>IF(126&lt;=2,'Rate Card'!$AD$22,IF(126&lt;=5,'Rate Card'!$AE$22,IF(126&lt;=10,'Rate Card'!$AF$22,IF(126&lt;=15,'Rate Card'!$AG$22,IF(126&lt;=20,'Rate Card'!$AH$22,IF(126&lt;=35,'Rate Card'!$AH$22+(126-20)*'Rate Card'!$AI$22,'Rate Card'!$AK$22+(126-35)*'Rate Card'!$AJ$22))))))</f>
        <v/>
      </c>
      <c r="G130" s="23">
        <f>ROUND((IF(126&lt;=2,'Rate Card'!$AD$22,IF(126&lt;=5,'Rate Card'!$AE$22,IF(126&lt;=10,'Rate Card'!$AF$22,IF(126&lt;=15,'Rate Card'!$AG$22,IF(126&lt;=20,'Rate Card'!$AH$22,IF(126&lt;=35,'Rate Card'!$AH$22+(126-20)*'Rate Card'!$AI$22,'Rate Card'!$AK$22+(126-35)*'Rate Card'!$AJ$22)))))))*(1+'Rate Card'!$C$6),2)+ROUND(ROUND((IF(126&lt;=2,'Rate Card'!$AD$22,IF(126&lt;=5,'Rate Card'!$AE$22,IF(126&lt;=10,'Rate Card'!$AF$22,IF(126&lt;=15,'Rate Card'!$AG$22,IF(126&lt;=20,'Rate Card'!$AH$22,IF(126&lt;=35,'Rate Card'!$AH$22+(126-20)*'Rate Card'!$AI$22,'Rate Card'!$AK$22+(126-35)*'Rate Card'!$AJ$22)))))))*(1+'Rate Card'!$C$6),2)*(IF('Rate Card'!$G$6="YES",'Rate Card'!$E$6,0)+IF('Rate Card'!$K$6="YES",'Rate Card'!$I$6,0)),2)</f>
        <v/>
      </c>
      <c r="H130" s="23">
        <f>IF(126&lt;=2,'Rate Card'!$AD$23,IF(126&lt;=5,'Rate Card'!$AE$23,IF(126&lt;=10,'Rate Card'!$AF$23,IF(126&lt;=15,'Rate Card'!$AG$23,IF(126&lt;=20,'Rate Card'!$AH$23,IF(126&lt;=35,'Rate Card'!$AH$23+(126-20)*'Rate Card'!$AI$23,'Rate Card'!$AK$23+(126-35)*'Rate Card'!$AJ$23))))))</f>
        <v/>
      </c>
      <c r="I130" s="23">
        <f>ROUND((IF(126&lt;=2,'Rate Card'!$AD$23,IF(126&lt;=5,'Rate Card'!$AE$23,IF(126&lt;=10,'Rate Card'!$AF$23,IF(126&lt;=15,'Rate Card'!$AG$23,IF(126&lt;=20,'Rate Card'!$AH$23,IF(126&lt;=35,'Rate Card'!$AH$23+(126-20)*'Rate Card'!$AI$23,'Rate Card'!$AK$23+(126-35)*'Rate Card'!$AJ$23)))))))*(1+'Rate Card'!$C$6),2)+ROUND(ROUND((IF(126&lt;=2,'Rate Card'!$AD$23,IF(126&lt;=5,'Rate Card'!$AE$23,IF(126&lt;=10,'Rate Card'!$AF$23,IF(126&lt;=15,'Rate Card'!$AG$23,IF(126&lt;=20,'Rate Card'!$AH$23,IF(126&lt;=35,'Rate Card'!$AH$23+(126-20)*'Rate Card'!$AI$23,'Rate Card'!$AK$23+(126-35)*'Rate Card'!$AJ$23)))))))*(1+'Rate Card'!$C$6),2)*(IF('Rate Card'!$G$6="YES",'Rate Card'!$E$6,0)+IF('Rate Card'!$K$6="YES",'Rate Card'!$I$6,0)),2)</f>
        <v/>
      </c>
      <c r="J130" s="10">
        <f>""</f>
        <v/>
      </c>
      <c r="K130" s="10">
        <f>""</f>
        <v/>
      </c>
      <c r="L130" s="10">
        <f>""</f>
        <v/>
      </c>
      <c r="M130" s="10">
        <f>""</f>
        <v/>
      </c>
      <c r="N130" s="23">
        <f>IF(126&lt;=2,'Rate Card'!$AD$119,IF(126&lt;=5,'Rate Card'!$AE$119,IF(126&lt;=10,'Rate Card'!$AF$119,IF(126&lt;=15,'Rate Card'!$AG$119,IF(126&lt;=20,'Rate Card'!$AH$119,IF(126&lt;=35,'Rate Card'!$AH$119+(126-20)*'Rate Card'!$AI$119,'Rate Card'!$AK$119+(126-35)*'Rate Card'!$AJ$119))))))</f>
        <v/>
      </c>
      <c r="O130" s="23">
        <f>ROUND((IF(126&lt;=2,'Rate Card'!$AD$119,IF(126&lt;=5,'Rate Card'!$AE$119,IF(126&lt;=10,'Rate Card'!$AF$119,IF(126&lt;=15,'Rate Card'!$AG$119,IF(126&lt;=20,'Rate Card'!$AH$119,IF(126&lt;=35,'Rate Card'!$AH$119+(126-20)*'Rate Card'!$AI$119,'Rate Card'!$AK$119+(126-35)*'Rate Card'!$AJ$119)))))))*(1+'Rate Card'!$C$6),2)+ROUND(ROUND((IF(126&lt;=2,'Rate Card'!$AD$119,IF(126&lt;=5,'Rate Card'!$AE$119,IF(126&lt;=10,'Rate Card'!$AF$119,IF(126&lt;=15,'Rate Card'!$AG$119,IF(126&lt;=20,'Rate Card'!$AH$119,IF(126&lt;=35,'Rate Card'!$AH$119+(126-20)*'Rate Card'!$AI$119,'Rate Card'!$AK$119+(126-35)*'Rate Card'!$AJ$119)))))))*(1+'Rate Card'!$C$6),2)*(IF('Rate Card'!$G$6="YES",'Rate Card'!$E$6,0)+IF('Rate Card'!$K$6="YES",'Rate Card'!$I$6,0)),2)</f>
        <v/>
      </c>
      <c r="P130" s="23">
        <f>IF(126&lt;=2,'Rate Card'!$AD$120,IF(126&lt;=5,'Rate Card'!$AE$120,IF(126&lt;=10,'Rate Card'!$AF$120,IF(126&lt;=15,'Rate Card'!$AG$120,IF(126&lt;=20,'Rate Card'!$AH$120,IF(126&lt;=35,'Rate Card'!$AH$120+(126-20)*'Rate Card'!$AI$120,'Rate Card'!$AK$120+(126-35)*'Rate Card'!$AJ$120))))))</f>
        <v/>
      </c>
      <c r="Q130" s="12">
        <f>ROUND((IF(126&lt;=2,'Rate Card'!$AD$120,IF(126&lt;=5,'Rate Card'!$AE$120,IF(126&lt;=10,'Rate Card'!$AF$120,IF(126&lt;=15,'Rate Card'!$AG$120,IF(126&lt;=20,'Rate Card'!$AH$120,IF(126&lt;=35,'Rate Card'!$AH$120+(126-20)*'Rate Card'!$AI$120,'Rate Card'!$AK$120+(126-35)*'Rate Card'!$AJ$120)))))))*(1+'Rate Card'!$C$6),2)+ROUND(ROUND((IF(126&lt;=2,'Rate Card'!$AD$120,IF(126&lt;=5,'Rate Card'!$AE$120,IF(126&lt;=10,'Rate Card'!$AF$120,IF(126&lt;=15,'Rate Card'!$AG$120,IF(126&lt;=20,'Rate Card'!$AH$120,IF(126&lt;=35,'Rate Card'!$AH$120+(126-20)*'Rate Card'!$AI$120,'Rate Card'!$AK$120+(126-35)*'Rate Card'!$AJ$120)))))))*(1+'Rate Card'!$C$6),2)*(IF('Rate Card'!$G$6="YES",'Rate Card'!$E$6,0)+IF('Rate Card'!$K$6="YES",'Rate Card'!$I$6,0)),2)</f>
        <v/>
      </c>
    </row>
    <row r="131">
      <c r="A131" s="75" t="n">
        <v>127</v>
      </c>
      <c r="B131" s="10">
        <f>""</f>
        <v/>
      </c>
      <c r="C131" s="10">
        <f>""</f>
        <v/>
      </c>
      <c r="D131" s="10">
        <f>""</f>
        <v/>
      </c>
      <c r="E131" s="10">
        <f>""</f>
        <v/>
      </c>
      <c r="F131" s="23">
        <f>IF(127&lt;=2,'Rate Card'!$AD$22,IF(127&lt;=5,'Rate Card'!$AE$22,IF(127&lt;=10,'Rate Card'!$AF$22,IF(127&lt;=15,'Rate Card'!$AG$22,IF(127&lt;=20,'Rate Card'!$AH$22,IF(127&lt;=35,'Rate Card'!$AH$22+(127-20)*'Rate Card'!$AI$22,'Rate Card'!$AK$22+(127-35)*'Rate Card'!$AJ$22))))))</f>
        <v/>
      </c>
      <c r="G131" s="23">
        <f>ROUND((IF(127&lt;=2,'Rate Card'!$AD$22,IF(127&lt;=5,'Rate Card'!$AE$22,IF(127&lt;=10,'Rate Card'!$AF$22,IF(127&lt;=15,'Rate Card'!$AG$22,IF(127&lt;=20,'Rate Card'!$AH$22,IF(127&lt;=35,'Rate Card'!$AH$22+(127-20)*'Rate Card'!$AI$22,'Rate Card'!$AK$22+(127-35)*'Rate Card'!$AJ$22)))))))*(1+'Rate Card'!$C$6),2)+ROUND(ROUND((IF(127&lt;=2,'Rate Card'!$AD$22,IF(127&lt;=5,'Rate Card'!$AE$22,IF(127&lt;=10,'Rate Card'!$AF$22,IF(127&lt;=15,'Rate Card'!$AG$22,IF(127&lt;=20,'Rate Card'!$AH$22,IF(127&lt;=35,'Rate Card'!$AH$22+(127-20)*'Rate Card'!$AI$22,'Rate Card'!$AK$22+(127-35)*'Rate Card'!$AJ$22)))))))*(1+'Rate Card'!$C$6),2)*(IF('Rate Card'!$G$6="YES",'Rate Card'!$E$6,0)+IF('Rate Card'!$K$6="YES",'Rate Card'!$I$6,0)),2)</f>
        <v/>
      </c>
      <c r="H131" s="23">
        <f>IF(127&lt;=2,'Rate Card'!$AD$23,IF(127&lt;=5,'Rate Card'!$AE$23,IF(127&lt;=10,'Rate Card'!$AF$23,IF(127&lt;=15,'Rate Card'!$AG$23,IF(127&lt;=20,'Rate Card'!$AH$23,IF(127&lt;=35,'Rate Card'!$AH$23+(127-20)*'Rate Card'!$AI$23,'Rate Card'!$AK$23+(127-35)*'Rate Card'!$AJ$23))))))</f>
        <v/>
      </c>
      <c r="I131" s="23">
        <f>ROUND((IF(127&lt;=2,'Rate Card'!$AD$23,IF(127&lt;=5,'Rate Card'!$AE$23,IF(127&lt;=10,'Rate Card'!$AF$23,IF(127&lt;=15,'Rate Card'!$AG$23,IF(127&lt;=20,'Rate Card'!$AH$23,IF(127&lt;=35,'Rate Card'!$AH$23+(127-20)*'Rate Card'!$AI$23,'Rate Card'!$AK$23+(127-35)*'Rate Card'!$AJ$23)))))))*(1+'Rate Card'!$C$6),2)+ROUND(ROUND((IF(127&lt;=2,'Rate Card'!$AD$23,IF(127&lt;=5,'Rate Card'!$AE$23,IF(127&lt;=10,'Rate Card'!$AF$23,IF(127&lt;=15,'Rate Card'!$AG$23,IF(127&lt;=20,'Rate Card'!$AH$23,IF(127&lt;=35,'Rate Card'!$AH$23+(127-20)*'Rate Card'!$AI$23,'Rate Card'!$AK$23+(127-35)*'Rate Card'!$AJ$23)))))))*(1+'Rate Card'!$C$6),2)*(IF('Rate Card'!$G$6="YES",'Rate Card'!$E$6,0)+IF('Rate Card'!$K$6="YES",'Rate Card'!$I$6,0)),2)</f>
        <v/>
      </c>
      <c r="J131" s="10">
        <f>""</f>
        <v/>
      </c>
      <c r="K131" s="10">
        <f>""</f>
        <v/>
      </c>
      <c r="L131" s="10">
        <f>""</f>
        <v/>
      </c>
      <c r="M131" s="10">
        <f>""</f>
        <v/>
      </c>
      <c r="N131" s="23">
        <f>IF(127&lt;=2,'Rate Card'!$AD$119,IF(127&lt;=5,'Rate Card'!$AE$119,IF(127&lt;=10,'Rate Card'!$AF$119,IF(127&lt;=15,'Rate Card'!$AG$119,IF(127&lt;=20,'Rate Card'!$AH$119,IF(127&lt;=35,'Rate Card'!$AH$119+(127-20)*'Rate Card'!$AI$119,'Rate Card'!$AK$119+(127-35)*'Rate Card'!$AJ$119))))))</f>
        <v/>
      </c>
      <c r="O131" s="23">
        <f>ROUND((IF(127&lt;=2,'Rate Card'!$AD$119,IF(127&lt;=5,'Rate Card'!$AE$119,IF(127&lt;=10,'Rate Card'!$AF$119,IF(127&lt;=15,'Rate Card'!$AG$119,IF(127&lt;=20,'Rate Card'!$AH$119,IF(127&lt;=35,'Rate Card'!$AH$119+(127-20)*'Rate Card'!$AI$119,'Rate Card'!$AK$119+(127-35)*'Rate Card'!$AJ$119)))))))*(1+'Rate Card'!$C$6),2)+ROUND(ROUND((IF(127&lt;=2,'Rate Card'!$AD$119,IF(127&lt;=5,'Rate Card'!$AE$119,IF(127&lt;=10,'Rate Card'!$AF$119,IF(127&lt;=15,'Rate Card'!$AG$119,IF(127&lt;=20,'Rate Card'!$AH$119,IF(127&lt;=35,'Rate Card'!$AH$119+(127-20)*'Rate Card'!$AI$119,'Rate Card'!$AK$119+(127-35)*'Rate Card'!$AJ$119)))))))*(1+'Rate Card'!$C$6),2)*(IF('Rate Card'!$G$6="YES",'Rate Card'!$E$6,0)+IF('Rate Card'!$K$6="YES",'Rate Card'!$I$6,0)),2)</f>
        <v/>
      </c>
      <c r="P131" s="23">
        <f>IF(127&lt;=2,'Rate Card'!$AD$120,IF(127&lt;=5,'Rate Card'!$AE$120,IF(127&lt;=10,'Rate Card'!$AF$120,IF(127&lt;=15,'Rate Card'!$AG$120,IF(127&lt;=20,'Rate Card'!$AH$120,IF(127&lt;=35,'Rate Card'!$AH$120+(127-20)*'Rate Card'!$AI$120,'Rate Card'!$AK$120+(127-35)*'Rate Card'!$AJ$120))))))</f>
        <v/>
      </c>
      <c r="Q131" s="12">
        <f>ROUND((IF(127&lt;=2,'Rate Card'!$AD$120,IF(127&lt;=5,'Rate Card'!$AE$120,IF(127&lt;=10,'Rate Card'!$AF$120,IF(127&lt;=15,'Rate Card'!$AG$120,IF(127&lt;=20,'Rate Card'!$AH$120,IF(127&lt;=35,'Rate Card'!$AH$120+(127-20)*'Rate Card'!$AI$120,'Rate Card'!$AK$120+(127-35)*'Rate Card'!$AJ$120)))))))*(1+'Rate Card'!$C$6),2)+ROUND(ROUND((IF(127&lt;=2,'Rate Card'!$AD$120,IF(127&lt;=5,'Rate Card'!$AE$120,IF(127&lt;=10,'Rate Card'!$AF$120,IF(127&lt;=15,'Rate Card'!$AG$120,IF(127&lt;=20,'Rate Card'!$AH$120,IF(127&lt;=35,'Rate Card'!$AH$120+(127-20)*'Rate Card'!$AI$120,'Rate Card'!$AK$120+(127-35)*'Rate Card'!$AJ$120)))))))*(1+'Rate Card'!$C$6),2)*(IF('Rate Card'!$G$6="YES",'Rate Card'!$E$6,0)+IF('Rate Card'!$K$6="YES",'Rate Card'!$I$6,0)),2)</f>
        <v/>
      </c>
    </row>
    <row r="132">
      <c r="A132" s="75" t="n">
        <v>128</v>
      </c>
      <c r="B132" s="10">
        <f>""</f>
        <v/>
      </c>
      <c r="C132" s="10">
        <f>""</f>
        <v/>
      </c>
      <c r="D132" s="10">
        <f>""</f>
        <v/>
      </c>
      <c r="E132" s="10">
        <f>""</f>
        <v/>
      </c>
      <c r="F132" s="23">
        <f>IF(128&lt;=2,'Rate Card'!$AD$22,IF(128&lt;=5,'Rate Card'!$AE$22,IF(128&lt;=10,'Rate Card'!$AF$22,IF(128&lt;=15,'Rate Card'!$AG$22,IF(128&lt;=20,'Rate Card'!$AH$22,IF(128&lt;=35,'Rate Card'!$AH$22+(128-20)*'Rate Card'!$AI$22,'Rate Card'!$AK$22+(128-35)*'Rate Card'!$AJ$22))))))</f>
        <v/>
      </c>
      <c r="G132" s="23">
        <f>ROUND((IF(128&lt;=2,'Rate Card'!$AD$22,IF(128&lt;=5,'Rate Card'!$AE$22,IF(128&lt;=10,'Rate Card'!$AF$22,IF(128&lt;=15,'Rate Card'!$AG$22,IF(128&lt;=20,'Rate Card'!$AH$22,IF(128&lt;=35,'Rate Card'!$AH$22+(128-20)*'Rate Card'!$AI$22,'Rate Card'!$AK$22+(128-35)*'Rate Card'!$AJ$22)))))))*(1+'Rate Card'!$C$6),2)+ROUND(ROUND((IF(128&lt;=2,'Rate Card'!$AD$22,IF(128&lt;=5,'Rate Card'!$AE$22,IF(128&lt;=10,'Rate Card'!$AF$22,IF(128&lt;=15,'Rate Card'!$AG$22,IF(128&lt;=20,'Rate Card'!$AH$22,IF(128&lt;=35,'Rate Card'!$AH$22+(128-20)*'Rate Card'!$AI$22,'Rate Card'!$AK$22+(128-35)*'Rate Card'!$AJ$22)))))))*(1+'Rate Card'!$C$6),2)*(IF('Rate Card'!$G$6="YES",'Rate Card'!$E$6,0)+IF('Rate Card'!$K$6="YES",'Rate Card'!$I$6,0)),2)</f>
        <v/>
      </c>
      <c r="H132" s="23">
        <f>IF(128&lt;=2,'Rate Card'!$AD$23,IF(128&lt;=5,'Rate Card'!$AE$23,IF(128&lt;=10,'Rate Card'!$AF$23,IF(128&lt;=15,'Rate Card'!$AG$23,IF(128&lt;=20,'Rate Card'!$AH$23,IF(128&lt;=35,'Rate Card'!$AH$23+(128-20)*'Rate Card'!$AI$23,'Rate Card'!$AK$23+(128-35)*'Rate Card'!$AJ$23))))))</f>
        <v/>
      </c>
      <c r="I132" s="23">
        <f>ROUND((IF(128&lt;=2,'Rate Card'!$AD$23,IF(128&lt;=5,'Rate Card'!$AE$23,IF(128&lt;=10,'Rate Card'!$AF$23,IF(128&lt;=15,'Rate Card'!$AG$23,IF(128&lt;=20,'Rate Card'!$AH$23,IF(128&lt;=35,'Rate Card'!$AH$23+(128-20)*'Rate Card'!$AI$23,'Rate Card'!$AK$23+(128-35)*'Rate Card'!$AJ$23)))))))*(1+'Rate Card'!$C$6),2)+ROUND(ROUND((IF(128&lt;=2,'Rate Card'!$AD$23,IF(128&lt;=5,'Rate Card'!$AE$23,IF(128&lt;=10,'Rate Card'!$AF$23,IF(128&lt;=15,'Rate Card'!$AG$23,IF(128&lt;=20,'Rate Card'!$AH$23,IF(128&lt;=35,'Rate Card'!$AH$23+(128-20)*'Rate Card'!$AI$23,'Rate Card'!$AK$23+(128-35)*'Rate Card'!$AJ$23)))))))*(1+'Rate Card'!$C$6),2)*(IF('Rate Card'!$G$6="YES",'Rate Card'!$E$6,0)+IF('Rate Card'!$K$6="YES",'Rate Card'!$I$6,0)),2)</f>
        <v/>
      </c>
      <c r="J132" s="10">
        <f>""</f>
        <v/>
      </c>
      <c r="K132" s="10">
        <f>""</f>
        <v/>
      </c>
      <c r="L132" s="10">
        <f>""</f>
        <v/>
      </c>
      <c r="M132" s="10">
        <f>""</f>
        <v/>
      </c>
      <c r="N132" s="23">
        <f>IF(128&lt;=2,'Rate Card'!$AD$119,IF(128&lt;=5,'Rate Card'!$AE$119,IF(128&lt;=10,'Rate Card'!$AF$119,IF(128&lt;=15,'Rate Card'!$AG$119,IF(128&lt;=20,'Rate Card'!$AH$119,IF(128&lt;=35,'Rate Card'!$AH$119+(128-20)*'Rate Card'!$AI$119,'Rate Card'!$AK$119+(128-35)*'Rate Card'!$AJ$119))))))</f>
        <v/>
      </c>
      <c r="O132" s="23">
        <f>ROUND((IF(128&lt;=2,'Rate Card'!$AD$119,IF(128&lt;=5,'Rate Card'!$AE$119,IF(128&lt;=10,'Rate Card'!$AF$119,IF(128&lt;=15,'Rate Card'!$AG$119,IF(128&lt;=20,'Rate Card'!$AH$119,IF(128&lt;=35,'Rate Card'!$AH$119+(128-20)*'Rate Card'!$AI$119,'Rate Card'!$AK$119+(128-35)*'Rate Card'!$AJ$119)))))))*(1+'Rate Card'!$C$6),2)+ROUND(ROUND((IF(128&lt;=2,'Rate Card'!$AD$119,IF(128&lt;=5,'Rate Card'!$AE$119,IF(128&lt;=10,'Rate Card'!$AF$119,IF(128&lt;=15,'Rate Card'!$AG$119,IF(128&lt;=20,'Rate Card'!$AH$119,IF(128&lt;=35,'Rate Card'!$AH$119+(128-20)*'Rate Card'!$AI$119,'Rate Card'!$AK$119+(128-35)*'Rate Card'!$AJ$119)))))))*(1+'Rate Card'!$C$6),2)*(IF('Rate Card'!$G$6="YES",'Rate Card'!$E$6,0)+IF('Rate Card'!$K$6="YES",'Rate Card'!$I$6,0)),2)</f>
        <v/>
      </c>
      <c r="P132" s="23">
        <f>IF(128&lt;=2,'Rate Card'!$AD$120,IF(128&lt;=5,'Rate Card'!$AE$120,IF(128&lt;=10,'Rate Card'!$AF$120,IF(128&lt;=15,'Rate Card'!$AG$120,IF(128&lt;=20,'Rate Card'!$AH$120,IF(128&lt;=35,'Rate Card'!$AH$120+(128-20)*'Rate Card'!$AI$120,'Rate Card'!$AK$120+(128-35)*'Rate Card'!$AJ$120))))))</f>
        <v/>
      </c>
      <c r="Q132" s="12">
        <f>ROUND((IF(128&lt;=2,'Rate Card'!$AD$120,IF(128&lt;=5,'Rate Card'!$AE$120,IF(128&lt;=10,'Rate Card'!$AF$120,IF(128&lt;=15,'Rate Card'!$AG$120,IF(128&lt;=20,'Rate Card'!$AH$120,IF(128&lt;=35,'Rate Card'!$AH$120+(128-20)*'Rate Card'!$AI$120,'Rate Card'!$AK$120+(128-35)*'Rate Card'!$AJ$120)))))))*(1+'Rate Card'!$C$6),2)+ROUND(ROUND((IF(128&lt;=2,'Rate Card'!$AD$120,IF(128&lt;=5,'Rate Card'!$AE$120,IF(128&lt;=10,'Rate Card'!$AF$120,IF(128&lt;=15,'Rate Card'!$AG$120,IF(128&lt;=20,'Rate Card'!$AH$120,IF(128&lt;=35,'Rate Card'!$AH$120+(128-20)*'Rate Card'!$AI$120,'Rate Card'!$AK$120+(128-35)*'Rate Card'!$AJ$120)))))))*(1+'Rate Card'!$C$6),2)*(IF('Rate Card'!$G$6="YES",'Rate Card'!$E$6,0)+IF('Rate Card'!$K$6="YES",'Rate Card'!$I$6,0)),2)</f>
        <v/>
      </c>
    </row>
    <row r="133">
      <c r="A133" s="75" t="n">
        <v>129</v>
      </c>
      <c r="B133" s="10">
        <f>""</f>
        <v/>
      </c>
      <c r="C133" s="10">
        <f>""</f>
        <v/>
      </c>
      <c r="D133" s="10">
        <f>""</f>
        <v/>
      </c>
      <c r="E133" s="10">
        <f>""</f>
        <v/>
      </c>
      <c r="F133" s="23">
        <f>IF(129&lt;=2,'Rate Card'!$AD$22,IF(129&lt;=5,'Rate Card'!$AE$22,IF(129&lt;=10,'Rate Card'!$AF$22,IF(129&lt;=15,'Rate Card'!$AG$22,IF(129&lt;=20,'Rate Card'!$AH$22,IF(129&lt;=35,'Rate Card'!$AH$22+(129-20)*'Rate Card'!$AI$22,'Rate Card'!$AK$22+(129-35)*'Rate Card'!$AJ$22))))))</f>
        <v/>
      </c>
      <c r="G133" s="23">
        <f>ROUND((IF(129&lt;=2,'Rate Card'!$AD$22,IF(129&lt;=5,'Rate Card'!$AE$22,IF(129&lt;=10,'Rate Card'!$AF$22,IF(129&lt;=15,'Rate Card'!$AG$22,IF(129&lt;=20,'Rate Card'!$AH$22,IF(129&lt;=35,'Rate Card'!$AH$22+(129-20)*'Rate Card'!$AI$22,'Rate Card'!$AK$22+(129-35)*'Rate Card'!$AJ$22)))))))*(1+'Rate Card'!$C$6),2)+ROUND(ROUND((IF(129&lt;=2,'Rate Card'!$AD$22,IF(129&lt;=5,'Rate Card'!$AE$22,IF(129&lt;=10,'Rate Card'!$AF$22,IF(129&lt;=15,'Rate Card'!$AG$22,IF(129&lt;=20,'Rate Card'!$AH$22,IF(129&lt;=35,'Rate Card'!$AH$22+(129-20)*'Rate Card'!$AI$22,'Rate Card'!$AK$22+(129-35)*'Rate Card'!$AJ$22)))))))*(1+'Rate Card'!$C$6),2)*(IF('Rate Card'!$G$6="YES",'Rate Card'!$E$6,0)+IF('Rate Card'!$K$6="YES",'Rate Card'!$I$6,0)),2)</f>
        <v/>
      </c>
      <c r="H133" s="23">
        <f>IF(129&lt;=2,'Rate Card'!$AD$23,IF(129&lt;=5,'Rate Card'!$AE$23,IF(129&lt;=10,'Rate Card'!$AF$23,IF(129&lt;=15,'Rate Card'!$AG$23,IF(129&lt;=20,'Rate Card'!$AH$23,IF(129&lt;=35,'Rate Card'!$AH$23+(129-20)*'Rate Card'!$AI$23,'Rate Card'!$AK$23+(129-35)*'Rate Card'!$AJ$23))))))</f>
        <v/>
      </c>
      <c r="I133" s="23">
        <f>ROUND((IF(129&lt;=2,'Rate Card'!$AD$23,IF(129&lt;=5,'Rate Card'!$AE$23,IF(129&lt;=10,'Rate Card'!$AF$23,IF(129&lt;=15,'Rate Card'!$AG$23,IF(129&lt;=20,'Rate Card'!$AH$23,IF(129&lt;=35,'Rate Card'!$AH$23+(129-20)*'Rate Card'!$AI$23,'Rate Card'!$AK$23+(129-35)*'Rate Card'!$AJ$23)))))))*(1+'Rate Card'!$C$6),2)+ROUND(ROUND((IF(129&lt;=2,'Rate Card'!$AD$23,IF(129&lt;=5,'Rate Card'!$AE$23,IF(129&lt;=10,'Rate Card'!$AF$23,IF(129&lt;=15,'Rate Card'!$AG$23,IF(129&lt;=20,'Rate Card'!$AH$23,IF(129&lt;=35,'Rate Card'!$AH$23+(129-20)*'Rate Card'!$AI$23,'Rate Card'!$AK$23+(129-35)*'Rate Card'!$AJ$23)))))))*(1+'Rate Card'!$C$6),2)*(IF('Rate Card'!$G$6="YES",'Rate Card'!$E$6,0)+IF('Rate Card'!$K$6="YES",'Rate Card'!$I$6,0)),2)</f>
        <v/>
      </c>
      <c r="J133" s="10">
        <f>""</f>
        <v/>
      </c>
      <c r="K133" s="10">
        <f>""</f>
        <v/>
      </c>
      <c r="L133" s="10">
        <f>""</f>
        <v/>
      </c>
      <c r="M133" s="10">
        <f>""</f>
        <v/>
      </c>
      <c r="N133" s="23">
        <f>IF(129&lt;=2,'Rate Card'!$AD$119,IF(129&lt;=5,'Rate Card'!$AE$119,IF(129&lt;=10,'Rate Card'!$AF$119,IF(129&lt;=15,'Rate Card'!$AG$119,IF(129&lt;=20,'Rate Card'!$AH$119,IF(129&lt;=35,'Rate Card'!$AH$119+(129-20)*'Rate Card'!$AI$119,'Rate Card'!$AK$119+(129-35)*'Rate Card'!$AJ$119))))))</f>
        <v/>
      </c>
      <c r="O133" s="23">
        <f>ROUND((IF(129&lt;=2,'Rate Card'!$AD$119,IF(129&lt;=5,'Rate Card'!$AE$119,IF(129&lt;=10,'Rate Card'!$AF$119,IF(129&lt;=15,'Rate Card'!$AG$119,IF(129&lt;=20,'Rate Card'!$AH$119,IF(129&lt;=35,'Rate Card'!$AH$119+(129-20)*'Rate Card'!$AI$119,'Rate Card'!$AK$119+(129-35)*'Rate Card'!$AJ$119)))))))*(1+'Rate Card'!$C$6),2)+ROUND(ROUND((IF(129&lt;=2,'Rate Card'!$AD$119,IF(129&lt;=5,'Rate Card'!$AE$119,IF(129&lt;=10,'Rate Card'!$AF$119,IF(129&lt;=15,'Rate Card'!$AG$119,IF(129&lt;=20,'Rate Card'!$AH$119,IF(129&lt;=35,'Rate Card'!$AH$119+(129-20)*'Rate Card'!$AI$119,'Rate Card'!$AK$119+(129-35)*'Rate Card'!$AJ$119)))))))*(1+'Rate Card'!$C$6),2)*(IF('Rate Card'!$G$6="YES",'Rate Card'!$E$6,0)+IF('Rate Card'!$K$6="YES",'Rate Card'!$I$6,0)),2)</f>
        <v/>
      </c>
      <c r="P133" s="23">
        <f>IF(129&lt;=2,'Rate Card'!$AD$120,IF(129&lt;=5,'Rate Card'!$AE$120,IF(129&lt;=10,'Rate Card'!$AF$120,IF(129&lt;=15,'Rate Card'!$AG$120,IF(129&lt;=20,'Rate Card'!$AH$120,IF(129&lt;=35,'Rate Card'!$AH$120+(129-20)*'Rate Card'!$AI$120,'Rate Card'!$AK$120+(129-35)*'Rate Card'!$AJ$120))))))</f>
        <v/>
      </c>
      <c r="Q133" s="12">
        <f>ROUND((IF(129&lt;=2,'Rate Card'!$AD$120,IF(129&lt;=5,'Rate Card'!$AE$120,IF(129&lt;=10,'Rate Card'!$AF$120,IF(129&lt;=15,'Rate Card'!$AG$120,IF(129&lt;=20,'Rate Card'!$AH$120,IF(129&lt;=35,'Rate Card'!$AH$120+(129-20)*'Rate Card'!$AI$120,'Rate Card'!$AK$120+(129-35)*'Rate Card'!$AJ$120)))))))*(1+'Rate Card'!$C$6),2)+ROUND(ROUND((IF(129&lt;=2,'Rate Card'!$AD$120,IF(129&lt;=5,'Rate Card'!$AE$120,IF(129&lt;=10,'Rate Card'!$AF$120,IF(129&lt;=15,'Rate Card'!$AG$120,IF(129&lt;=20,'Rate Card'!$AH$120,IF(129&lt;=35,'Rate Card'!$AH$120+(129-20)*'Rate Card'!$AI$120,'Rate Card'!$AK$120+(129-35)*'Rate Card'!$AJ$120)))))))*(1+'Rate Card'!$C$6),2)*(IF('Rate Card'!$G$6="YES",'Rate Card'!$E$6,0)+IF('Rate Card'!$K$6="YES",'Rate Card'!$I$6,0)),2)</f>
        <v/>
      </c>
    </row>
    <row r="134">
      <c r="A134" s="75" t="n">
        <v>130</v>
      </c>
      <c r="B134" s="10">
        <f>""</f>
        <v/>
      </c>
      <c r="C134" s="10">
        <f>""</f>
        <v/>
      </c>
      <c r="D134" s="10">
        <f>""</f>
        <v/>
      </c>
      <c r="E134" s="10">
        <f>""</f>
        <v/>
      </c>
      <c r="F134" s="23">
        <f>IF(130&lt;=2,'Rate Card'!$AD$22,IF(130&lt;=5,'Rate Card'!$AE$22,IF(130&lt;=10,'Rate Card'!$AF$22,IF(130&lt;=15,'Rate Card'!$AG$22,IF(130&lt;=20,'Rate Card'!$AH$22,IF(130&lt;=35,'Rate Card'!$AH$22+(130-20)*'Rate Card'!$AI$22,'Rate Card'!$AK$22+(130-35)*'Rate Card'!$AJ$22))))))</f>
        <v/>
      </c>
      <c r="G134" s="23">
        <f>ROUND((IF(130&lt;=2,'Rate Card'!$AD$22,IF(130&lt;=5,'Rate Card'!$AE$22,IF(130&lt;=10,'Rate Card'!$AF$22,IF(130&lt;=15,'Rate Card'!$AG$22,IF(130&lt;=20,'Rate Card'!$AH$22,IF(130&lt;=35,'Rate Card'!$AH$22+(130-20)*'Rate Card'!$AI$22,'Rate Card'!$AK$22+(130-35)*'Rate Card'!$AJ$22)))))))*(1+'Rate Card'!$C$6),2)+ROUND(ROUND((IF(130&lt;=2,'Rate Card'!$AD$22,IF(130&lt;=5,'Rate Card'!$AE$22,IF(130&lt;=10,'Rate Card'!$AF$22,IF(130&lt;=15,'Rate Card'!$AG$22,IF(130&lt;=20,'Rate Card'!$AH$22,IF(130&lt;=35,'Rate Card'!$AH$22+(130-20)*'Rate Card'!$AI$22,'Rate Card'!$AK$22+(130-35)*'Rate Card'!$AJ$22)))))))*(1+'Rate Card'!$C$6),2)*(IF('Rate Card'!$G$6="YES",'Rate Card'!$E$6,0)+IF('Rate Card'!$K$6="YES",'Rate Card'!$I$6,0)),2)</f>
        <v/>
      </c>
      <c r="H134" s="23">
        <f>IF(130&lt;=2,'Rate Card'!$AD$23,IF(130&lt;=5,'Rate Card'!$AE$23,IF(130&lt;=10,'Rate Card'!$AF$23,IF(130&lt;=15,'Rate Card'!$AG$23,IF(130&lt;=20,'Rate Card'!$AH$23,IF(130&lt;=35,'Rate Card'!$AH$23+(130-20)*'Rate Card'!$AI$23,'Rate Card'!$AK$23+(130-35)*'Rate Card'!$AJ$23))))))</f>
        <v/>
      </c>
      <c r="I134" s="23">
        <f>ROUND((IF(130&lt;=2,'Rate Card'!$AD$23,IF(130&lt;=5,'Rate Card'!$AE$23,IF(130&lt;=10,'Rate Card'!$AF$23,IF(130&lt;=15,'Rate Card'!$AG$23,IF(130&lt;=20,'Rate Card'!$AH$23,IF(130&lt;=35,'Rate Card'!$AH$23+(130-20)*'Rate Card'!$AI$23,'Rate Card'!$AK$23+(130-35)*'Rate Card'!$AJ$23)))))))*(1+'Rate Card'!$C$6),2)+ROUND(ROUND((IF(130&lt;=2,'Rate Card'!$AD$23,IF(130&lt;=5,'Rate Card'!$AE$23,IF(130&lt;=10,'Rate Card'!$AF$23,IF(130&lt;=15,'Rate Card'!$AG$23,IF(130&lt;=20,'Rate Card'!$AH$23,IF(130&lt;=35,'Rate Card'!$AH$23+(130-20)*'Rate Card'!$AI$23,'Rate Card'!$AK$23+(130-35)*'Rate Card'!$AJ$23)))))))*(1+'Rate Card'!$C$6),2)*(IF('Rate Card'!$G$6="YES",'Rate Card'!$E$6,0)+IF('Rate Card'!$K$6="YES",'Rate Card'!$I$6,0)),2)</f>
        <v/>
      </c>
      <c r="J134" s="10">
        <f>""</f>
        <v/>
      </c>
      <c r="K134" s="10">
        <f>""</f>
        <v/>
      </c>
      <c r="L134" s="10">
        <f>""</f>
        <v/>
      </c>
      <c r="M134" s="10">
        <f>""</f>
        <v/>
      </c>
      <c r="N134" s="23">
        <f>IF(130&lt;=2,'Rate Card'!$AD$119,IF(130&lt;=5,'Rate Card'!$AE$119,IF(130&lt;=10,'Rate Card'!$AF$119,IF(130&lt;=15,'Rate Card'!$AG$119,IF(130&lt;=20,'Rate Card'!$AH$119,IF(130&lt;=35,'Rate Card'!$AH$119+(130-20)*'Rate Card'!$AI$119,'Rate Card'!$AK$119+(130-35)*'Rate Card'!$AJ$119))))))</f>
        <v/>
      </c>
      <c r="O134" s="23">
        <f>ROUND((IF(130&lt;=2,'Rate Card'!$AD$119,IF(130&lt;=5,'Rate Card'!$AE$119,IF(130&lt;=10,'Rate Card'!$AF$119,IF(130&lt;=15,'Rate Card'!$AG$119,IF(130&lt;=20,'Rate Card'!$AH$119,IF(130&lt;=35,'Rate Card'!$AH$119+(130-20)*'Rate Card'!$AI$119,'Rate Card'!$AK$119+(130-35)*'Rate Card'!$AJ$119)))))))*(1+'Rate Card'!$C$6),2)+ROUND(ROUND((IF(130&lt;=2,'Rate Card'!$AD$119,IF(130&lt;=5,'Rate Card'!$AE$119,IF(130&lt;=10,'Rate Card'!$AF$119,IF(130&lt;=15,'Rate Card'!$AG$119,IF(130&lt;=20,'Rate Card'!$AH$119,IF(130&lt;=35,'Rate Card'!$AH$119+(130-20)*'Rate Card'!$AI$119,'Rate Card'!$AK$119+(130-35)*'Rate Card'!$AJ$119)))))))*(1+'Rate Card'!$C$6),2)*(IF('Rate Card'!$G$6="YES",'Rate Card'!$E$6,0)+IF('Rate Card'!$K$6="YES",'Rate Card'!$I$6,0)),2)</f>
        <v/>
      </c>
      <c r="P134" s="23">
        <f>IF(130&lt;=2,'Rate Card'!$AD$120,IF(130&lt;=5,'Rate Card'!$AE$120,IF(130&lt;=10,'Rate Card'!$AF$120,IF(130&lt;=15,'Rate Card'!$AG$120,IF(130&lt;=20,'Rate Card'!$AH$120,IF(130&lt;=35,'Rate Card'!$AH$120+(130-20)*'Rate Card'!$AI$120,'Rate Card'!$AK$120+(130-35)*'Rate Card'!$AJ$120))))))</f>
        <v/>
      </c>
      <c r="Q134" s="12">
        <f>ROUND((IF(130&lt;=2,'Rate Card'!$AD$120,IF(130&lt;=5,'Rate Card'!$AE$120,IF(130&lt;=10,'Rate Card'!$AF$120,IF(130&lt;=15,'Rate Card'!$AG$120,IF(130&lt;=20,'Rate Card'!$AH$120,IF(130&lt;=35,'Rate Card'!$AH$120+(130-20)*'Rate Card'!$AI$120,'Rate Card'!$AK$120+(130-35)*'Rate Card'!$AJ$120)))))))*(1+'Rate Card'!$C$6),2)+ROUND(ROUND((IF(130&lt;=2,'Rate Card'!$AD$120,IF(130&lt;=5,'Rate Card'!$AE$120,IF(130&lt;=10,'Rate Card'!$AF$120,IF(130&lt;=15,'Rate Card'!$AG$120,IF(130&lt;=20,'Rate Card'!$AH$120,IF(130&lt;=35,'Rate Card'!$AH$120+(130-20)*'Rate Card'!$AI$120,'Rate Card'!$AK$120+(130-35)*'Rate Card'!$AJ$120)))))))*(1+'Rate Card'!$C$6),2)*(IF('Rate Card'!$G$6="YES",'Rate Card'!$E$6,0)+IF('Rate Card'!$K$6="YES",'Rate Card'!$I$6,0)),2)</f>
        <v/>
      </c>
    </row>
    <row r="135">
      <c r="A135" s="75" t="n">
        <v>131</v>
      </c>
      <c r="B135" s="10">
        <f>""</f>
        <v/>
      </c>
      <c r="C135" s="10">
        <f>""</f>
        <v/>
      </c>
      <c r="D135" s="10">
        <f>""</f>
        <v/>
      </c>
      <c r="E135" s="10">
        <f>""</f>
        <v/>
      </c>
      <c r="F135" s="23">
        <f>IF(131&lt;=2,'Rate Card'!$AD$22,IF(131&lt;=5,'Rate Card'!$AE$22,IF(131&lt;=10,'Rate Card'!$AF$22,IF(131&lt;=15,'Rate Card'!$AG$22,IF(131&lt;=20,'Rate Card'!$AH$22,IF(131&lt;=35,'Rate Card'!$AH$22+(131-20)*'Rate Card'!$AI$22,'Rate Card'!$AK$22+(131-35)*'Rate Card'!$AJ$22))))))</f>
        <v/>
      </c>
      <c r="G135" s="23">
        <f>ROUND((IF(131&lt;=2,'Rate Card'!$AD$22,IF(131&lt;=5,'Rate Card'!$AE$22,IF(131&lt;=10,'Rate Card'!$AF$22,IF(131&lt;=15,'Rate Card'!$AG$22,IF(131&lt;=20,'Rate Card'!$AH$22,IF(131&lt;=35,'Rate Card'!$AH$22+(131-20)*'Rate Card'!$AI$22,'Rate Card'!$AK$22+(131-35)*'Rate Card'!$AJ$22)))))))*(1+'Rate Card'!$C$6),2)+ROUND(ROUND((IF(131&lt;=2,'Rate Card'!$AD$22,IF(131&lt;=5,'Rate Card'!$AE$22,IF(131&lt;=10,'Rate Card'!$AF$22,IF(131&lt;=15,'Rate Card'!$AG$22,IF(131&lt;=20,'Rate Card'!$AH$22,IF(131&lt;=35,'Rate Card'!$AH$22+(131-20)*'Rate Card'!$AI$22,'Rate Card'!$AK$22+(131-35)*'Rate Card'!$AJ$22)))))))*(1+'Rate Card'!$C$6),2)*(IF('Rate Card'!$G$6="YES",'Rate Card'!$E$6,0)+IF('Rate Card'!$K$6="YES",'Rate Card'!$I$6,0)),2)</f>
        <v/>
      </c>
      <c r="H135" s="23">
        <f>IF(131&lt;=2,'Rate Card'!$AD$23,IF(131&lt;=5,'Rate Card'!$AE$23,IF(131&lt;=10,'Rate Card'!$AF$23,IF(131&lt;=15,'Rate Card'!$AG$23,IF(131&lt;=20,'Rate Card'!$AH$23,IF(131&lt;=35,'Rate Card'!$AH$23+(131-20)*'Rate Card'!$AI$23,'Rate Card'!$AK$23+(131-35)*'Rate Card'!$AJ$23))))))</f>
        <v/>
      </c>
      <c r="I135" s="23">
        <f>ROUND((IF(131&lt;=2,'Rate Card'!$AD$23,IF(131&lt;=5,'Rate Card'!$AE$23,IF(131&lt;=10,'Rate Card'!$AF$23,IF(131&lt;=15,'Rate Card'!$AG$23,IF(131&lt;=20,'Rate Card'!$AH$23,IF(131&lt;=35,'Rate Card'!$AH$23+(131-20)*'Rate Card'!$AI$23,'Rate Card'!$AK$23+(131-35)*'Rate Card'!$AJ$23)))))))*(1+'Rate Card'!$C$6),2)+ROUND(ROUND((IF(131&lt;=2,'Rate Card'!$AD$23,IF(131&lt;=5,'Rate Card'!$AE$23,IF(131&lt;=10,'Rate Card'!$AF$23,IF(131&lt;=15,'Rate Card'!$AG$23,IF(131&lt;=20,'Rate Card'!$AH$23,IF(131&lt;=35,'Rate Card'!$AH$23+(131-20)*'Rate Card'!$AI$23,'Rate Card'!$AK$23+(131-35)*'Rate Card'!$AJ$23)))))))*(1+'Rate Card'!$C$6),2)*(IF('Rate Card'!$G$6="YES",'Rate Card'!$E$6,0)+IF('Rate Card'!$K$6="YES",'Rate Card'!$I$6,0)),2)</f>
        <v/>
      </c>
      <c r="J135" s="10">
        <f>""</f>
        <v/>
      </c>
      <c r="K135" s="10">
        <f>""</f>
        <v/>
      </c>
      <c r="L135" s="10">
        <f>""</f>
        <v/>
      </c>
      <c r="M135" s="10">
        <f>""</f>
        <v/>
      </c>
      <c r="N135" s="23">
        <f>IF(131&lt;=2,'Rate Card'!$AD$119,IF(131&lt;=5,'Rate Card'!$AE$119,IF(131&lt;=10,'Rate Card'!$AF$119,IF(131&lt;=15,'Rate Card'!$AG$119,IF(131&lt;=20,'Rate Card'!$AH$119,IF(131&lt;=35,'Rate Card'!$AH$119+(131-20)*'Rate Card'!$AI$119,'Rate Card'!$AK$119+(131-35)*'Rate Card'!$AJ$119))))))</f>
        <v/>
      </c>
      <c r="O135" s="23">
        <f>ROUND((IF(131&lt;=2,'Rate Card'!$AD$119,IF(131&lt;=5,'Rate Card'!$AE$119,IF(131&lt;=10,'Rate Card'!$AF$119,IF(131&lt;=15,'Rate Card'!$AG$119,IF(131&lt;=20,'Rate Card'!$AH$119,IF(131&lt;=35,'Rate Card'!$AH$119+(131-20)*'Rate Card'!$AI$119,'Rate Card'!$AK$119+(131-35)*'Rate Card'!$AJ$119)))))))*(1+'Rate Card'!$C$6),2)+ROUND(ROUND((IF(131&lt;=2,'Rate Card'!$AD$119,IF(131&lt;=5,'Rate Card'!$AE$119,IF(131&lt;=10,'Rate Card'!$AF$119,IF(131&lt;=15,'Rate Card'!$AG$119,IF(131&lt;=20,'Rate Card'!$AH$119,IF(131&lt;=35,'Rate Card'!$AH$119+(131-20)*'Rate Card'!$AI$119,'Rate Card'!$AK$119+(131-35)*'Rate Card'!$AJ$119)))))))*(1+'Rate Card'!$C$6),2)*(IF('Rate Card'!$G$6="YES",'Rate Card'!$E$6,0)+IF('Rate Card'!$K$6="YES",'Rate Card'!$I$6,0)),2)</f>
        <v/>
      </c>
      <c r="P135" s="23">
        <f>IF(131&lt;=2,'Rate Card'!$AD$120,IF(131&lt;=5,'Rate Card'!$AE$120,IF(131&lt;=10,'Rate Card'!$AF$120,IF(131&lt;=15,'Rate Card'!$AG$120,IF(131&lt;=20,'Rate Card'!$AH$120,IF(131&lt;=35,'Rate Card'!$AH$120+(131-20)*'Rate Card'!$AI$120,'Rate Card'!$AK$120+(131-35)*'Rate Card'!$AJ$120))))))</f>
        <v/>
      </c>
      <c r="Q135" s="12">
        <f>ROUND((IF(131&lt;=2,'Rate Card'!$AD$120,IF(131&lt;=5,'Rate Card'!$AE$120,IF(131&lt;=10,'Rate Card'!$AF$120,IF(131&lt;=15,'Rate Card'!$AG$120,IF(131&lt;=20,'Rate Card'!$AH$120,IF(131&lt;=35,'Rate Card'!$AH$120+(131-20)*'Rate Card'!$AI$120,'Rate Card'!$AK$120+(131-35)*'Rate Card'!$AJ$120)))))))*(1+'Rate Card'!$C$6),2)+ROUND(ROUND((IF(131&lt;=2,'Rate Card'!$AD$120,IF(131&lt;=5,'Rate Card'!$AE$120,IF(131&lt;=10,'Rate Card'!$AF$120,IF(131&lt;=15,'Rate Card'!$AG$120,IF(131&lt;=20,'Rate Card'!$AH$120,IF(131&lt;=35,'Rate Card'!$AH$120+(131-20)*'Rate Card'!$AI$120,'Rate Card'!$AK$120+(131-35)*'Rate Card'!$AJ$120)))))))*(1+'Rate Card'!$C$6),2)*(IF('Rate Card'!$G$6="YES",'Rate Card'!$E$6,0)+IF('Rate Card'!$K$6="YES",'Rate Card'!$I$6,0)),2)</f>
        <v/>
      </c>
    </row>
    <row r="136">
      <c r="A136" s="75" t="n">
        <v>132</v>
      </c>
      <c r="B136" s="10">
        <f>""</f>
        <v/>
      </c>
      <c r="C136" s="10">
        <f>""</f>
        <v/>
      </c>
      <c r="D136" s="10">
        <f>""</f>
        <v/>
      </c>
      <c r="E136" s="10">
        <f>""</f>
        <v/>
      </c>
      <c r="F136" s="23">
        <f>IF(132&lt;=2,'Rate Card'!$AD$22,IF(132&lt;=5,'Rate Card'!$AE$22,IF(132&lt;=10,'Rate Card'!$AF$22,IF(132&lt;=15,'Rate Card'!$AG$22,IF(132&lt;=20,'Rate Card'!$AH$22,IF(132&lt;=35,'Rate Card'!$AH$22+(132-20)*'Rate Card'!$AI$22,'Rate Card'!$AK$22+(132-35)*'Rate Card'!$AJ$22))))))</f>
        <v/>
      </c>
      <c r="G136" s="23">
        <f>ROUND((IF(132&lt;=2,'Rate Card'!$AD$22,IF(132&lt;=5,'Rate Card'!$AE$22,IF(132&lt;=10,'Rate Card'!$AF$22,IF(132&lt;=15,'Rate Card'!$AG$22,IF(132&lt;=20,'Rate Card'!$AH$22,IF(132&lt;=35,'Rate Card'!$AH$22+(132-20)*'Rate Card'!$AI$22,'Rate Card'!$AK$22+(132-35)*'Rate Card'!$AJ$22)))))))*(1+'Rate Card'!$C$6),2)+ROUND(ROUND((IF(132&lt;=2,'Rate Card'!$AD$22,IF(132&lt;=5,'Rate Card'!$AE$22,IF(132&lt;=10,'Rate Card'!$AF$22,IF(132&lt;=15,'Rate Card'!$AG$22,IF(132&lt;=20,'Rate Card'!$AH$22,IF(132&lt;=35,'Rate Card'!$AH$22+(132-20)*'Rate Card'!$AI$22,'Rate Card'!$AK$22+(132-35)*'Rate Card'!$AJ$22)))))))*(1+'Rate Card'!$C$6),2)*(IF('Rate Card'!$G$6="YES",'Rate Card'!$E$6,0)+IF('Rate Card'!$K$6="YES",'Rate Card'!$I$6,0)),2)</f>
        <v/>
      </c>
      <c r="H136" s="23">
        <f>IF(132&lt;=2,'Rate Card'!$AD$23,IF(132&lt;=5,'Rate Card'!$AE$23,IF(132&lt;=10,'Rate Card'!$AF$23,IF(132&lt;=15,'Rate Card'!$AG$23,IF(132&lt;=20,'Rate Card'!$AH$23,IF(132&lt;=35,'Rate Card'!$AH$23+(132-20)*'Rate Card'!$AI$23,'Rate Card'!$AK$23+(132-35)*'Rate Card'!$AJ$23))))))</f>
        <v/>
      </c>
      <c r="I136" s="23">
        <f>ROUND((IF(132&lt;=2,'Rate Card'!$AD$23,IF(132&lt;=5,'Rate Card'!$AE$23,IF(132&lt;=10,'Rate Card'!$AF$23,IF(132&lt;=15,'Rate Card'!$AG$23,IF(132&lt;=20,'Rate Card'!$AH$23,IF(132&lt;=35,'Rate Card'!$AH$23+(132-20)*'Rate Card'!$AI$23,'Rate Card'!$AK$23+(132-35)*'Rate Card'!$AJ$23)))))))*(1+'Rate Card'!$C$6),2)+ROUND(ROUND((IF(132&lt;=2,'Rate Card'!$AD$23,IF(132&lt;=5,'Rate Card'!$AE$23,IF(132&lt;=10,'Rate Card'!$AF$23,IF(132&lt;=15,'Rate Card'!$AG$23,IF(132&lt;=20,'Rate Card'!$AH$23,IF(132&lt;=35,'Rate Card'!$AH$23+(132-20)*'Rate Card'!$AI$23,'Rate Card'!$AK$23+(132-35)*'Rate Card'!$AJ$23)))))))*(1+'Rate Card'!$C$6),2)*(IF('Rate Card'!$G$6="YES",'Rate Card'!$E$6,0)+IF('Rate Card'!$K$6="YES",'Rate Card'!$I$6,0)),2)</f>
        <v/>
      </c>
      <c r="J136" s="10">
        <f>""</f>
        <v/>
      </c>
      <c r="K136" s="10">
        <f>""</f>
        <v/>
      </c>
      <c r="L136" s="10">
        <f>""</f>
        <v/>
      </c>
      <c r="M136" s="10">
        <f>""</f>
        <v/>
      </c>
      <c r="N136" s="23">
        <f>IF(132&lt;=2,'Rate Card'!$AD$119,IF(132&lt;=5,'Rate Card'!$AE$119,IF(132&lt;=10,'Rate Card'!$AF$119,IF(132&lt;=15,'Rate Card'!$AG$119,IF(132&lt;=20,'Rate Card'!$AH$119,IF(132&lt;=35,'Rate Card'!$AH$119+(132-20)*'Rate Card'!$AI$119,'Rate Card'!$AK$119+(132-35)*'Rate Card'!$AJ$119))))))</f>
        <v/>
      </c>
      <c r="O136" s="23">
        <f>ROUND((IF(132&lt;=2,'Rate Card'!$AD$119,IF(132&lt;=5,'Rate Card'!$AE$119,IF(132&lt;=10,'Rate Card'!$AF$119,IF(132&lt;=15,'Rate Card'!$AG$119,IF(132&lt;=20,'Rate Card'!$AH$119,IF(132&lt;=35,'Rate Card'!$AH$119+(132-20)*'Rate Card'!$AI$119,'Rate Card'!$AK$119+(132-35)*'Rate Card'!$AJ$119)))))))*(1+'Rate Card'!$C$6),2)+ROUND(ROUND((IF(132&lt;=2,'Rate Card'!$AD$119,IF(132&lt;=5,'Rate Card'!$AE$119,IF(132&lt;=10,'Rate Card'!$AF$119,IF(132&lt;=15,'Rate Card'!$AG$119,IF(132&lt;=20,'Rate Card'!$AH$119,IF(132&lt;=35,'Rate Card'!$AH$119+(132-20)*'Rate Card'!$AI$119,'Rate Card'!$AK$119+(132-35)*'Rate Card'!$AJ$119)))))))*(1+'Rate Card'!$C$6),2)*(IF('Rate Card'!$G$6="YES",'Rate Card'!$E$6,0)+IF('Rate Card'!$K$6="YES",'Rate Card'!$I$6,0)),2)</f>
        <v/>
      </c>
      <c r="P136" s="23">
        <f>IF(132&lt;=2,'Rate Card'!$AD$120,IF(132&lt;=5,'Rate Card'!$AE$120,IF(132&lt;=10,'Rate Card'!$AF$120,IF(132&lt;=15,'Rate Card'!$AG$120,IF(132&lt;=20,'Rate Card'!$AH$120,IF(132&lt;=35,'Rate Card'!$AH$120+(132-20)*'Rate Card'!$AI$120,'Rate Card'!$AK$120+(132-35)*'Rate Card'!$AJ$120))))))</f>
        <v/>
      </c>
      <c r="Q136" s="12">
        <f>ROUND((IF(132&lt;=2,'Rate Card'!$AD$120,IF(132&lt;=5,'Rate Card'!$AE$120,IF(132&lt;=10,'Rate Card'!$AF$120,IF(132&lt;=15,'Rate Card'!$AG$120,IF(132&lt;=20,'Rate Card'!$AH$120,IF(132&lt;=35,'Rate Card'!$AH$120+(132-20)*'Rate Card'!$AI$120,'Rate Card'!$AK$120+(132-35)*'Rate Card'!$AJ$120)))))))*(1+'Rate Card'!$C$6),2)+ROUND(ROUND((IF(132&lt;=2,'Rate Card'!$AD$120,IF(132&lt;=5,'Rate Card'!$AE$120,IF(132&lt;=10,'Rate Card'!$AF$120,IF(132&lt;=15,'Rate Card'!$AG$120,IF(132&lt;=20,'Rate Card'!$AH$120,IF(132&lt;=35,'Rate Card'!$AH$120+(132-20)*'Rate Card'!$AI$120,'Rate Card'!$AK$120+(132-35)*'Rate Card'!$AJ$120)))))))*(1+'Rate Card'!$C$6),2)*(IF('Rate Card'!$G$6="YES",'Rate Card'!$E$6,0)+IF('Rate Card'!$K$6="YES",'Rate Card'!$I$6,0)),2)</f>
        <v/>
      </c>
    </row>
    <row r="137">
      <c r="A137" s="75" t="n">
        <v>133</v>
      </c>
      <c r="B137" s="10">
        <f>""</f>
        <v/>
      </c>
      <c r="C137" s="10">
        <f>""</f>
        <v/>
      </c>
      <c r="D137" s="10">
        <f>""</f>
        <v/>
      </c>
      <c r="E137" s="10">
        <f>""</f>
        <v/>
      </c>
      <c r="F137" s="23">
        <f>IF(133&lt;=2,'Rate Card'!$AD$22,IF(133&lt;=5,'Rate Card'!$AE$22,IF(133&lt;=10,'Rate Card'!$AF$22,IF(133&lt;=15,'Rate Card'!$AG$22,IF(133&lt;=20,'Rate Card'!$AH$22,IF(133&lt;=35,'Rate Card'!$AH$22+(133-20)*'Rate Card'!$AI$22,'Rate Card'!$AK$22+(133-35)*'Rate Card'!$AJ$22))))))</f>
        <v/>
      </c>
      <c r="G137" s="23">
        <f>ROUND((IF(133&lt;=2,'Rate Card'!$AD$22,IF(133&lt;=5,'Rate Card'!$AE$22,IF(133&lt;=10,'Rate Card'!$AF$22,IF(133&lt;=15,'Rate Card'!$AG$22,IF(133&lt;=20,'Rate Card'!$AH$22,IF(133&lt;=35,'Rate Card'!$AH$22+(133-20)*'Rate Card'!$AI$22,'Rate Card'!$AK$22+(133-35)*'Rate Card'!$AJ$22)))))))*(1+'Rate Card'!$C$6),2)+ROUND(ROUND((IF(133&lt;=2,'Rate Card'!$AD$22,IF(133&lt;=5,'Rate Card'!$AE$22,IF(133&lt;=10,'Rate Card'!$AF$22,IF(133&lt;=15,'Rate Card'!$AG$22,IF(133&lt;=20,'Rate Card'!$AH$22,IF(133&lt;=35,'Rate Card'!$AH$22+(133-20)*'Rate Card'!$AI$22,'Rate Card'!$AK$22+(133-35)*'Rate Card'!$AJ$22)))))))*(1+'Rate Card'!$C$6),2)*(IF('Rate Card'!$G$6="YES",'Rate Card'!$E$6,0)+IF('Rate Card'!$K$6="YES",'Rate Card'!$I$6,0)),2)</f>
        <v/>
      </c>
      <c r="H137" s="23">
        <f>IF(133&lt;=2,'Rate Card'!$AD$23,IF(133&lt;=5,'Rate Card'!$AE$23,IF(133&lt;=10,'Rate Card'!$AF$23,IF(133&lt;=15,'Rate Card'!$AG$23,IF(133&lt;=20,'Rate Card'!$AH$23,IF(133&lt;=35,'Rate Card'!$AH$23+(133-20)*'Rate Card'!$AI$23,'Rate Card'!$AK$23+(133-35)*'Rate Card'!$AJ$23))))))</f>
        <v/>
      </c>
      <c r="I137" s="23">
        <f>ROUND((IF(133&lt;=2,'Rate Card'!$AD$23,IF(133&lt;=5,'Rate Card'!$AE$23,IF(133&lt;=10,'Rate Card'!$AF$23,IF(133&lt;=15,'Rate Card'!$AG$23,IF(133&lt;=20,'Rate Card'!$AH$23,IF(133&lt;=35,'Rate Card'!$AH$23+(133-20)*'Rate Card'!$AI$23,'Rate Card'!$AK$23+(133-35)*'Rate Card'!$AJ$23)))))))*(1+'Rate Card'!$C$6),2)+ROUND(ROUND((IF(133&lt;=2,'Rate Card'!$AD$23,IF(133&lt;=5,'Rate Card'!$AE$23,IF(133&lt;=10,'Rate Card'!$AF$23,IF(133&lt;=15,'Rate Card'!$AG$23,IF(133&lt;=20,'Rate Card'!$AH$23,IF(133&lt;=35,'Rate Card'!$AH$23+(133-20)*'Rate Card'!$AI$23,'Rate Card'!$AK$23+(133-35)*'Rate Card'!$AJ$23)))))))*(1+'Rate Card'!$C$6),2)*(IF('Rate Card'!$G$6="YES",'Rate Card'!$E$6,0)+IF('Rate Card'!$K$6="YES",'Rate Card'!$I$6,0)),2)</f>
        <v/>
      </c>
      <c r="J137" s="10">
        <f>""</f>
        <v/>
      </c>
      <c r="K137" s="10">
        <f>""</f>
        <v/>
      </c>
      <c r="L137" s="10">
        <f>""</f>
        <v/>
      </c>
      <c r="M137" s="10">
        <f>""</f>
        <v/>
      </c>
      <c r="N137" s="23">
        <f>IF(133&lt;=2,'Rate Card'!$AD$119,IF(133&lt;=5,'Rate Card'!$AE$119,IF(133&lt;=10,'Rate Card'!$AF$119,IF(133&lt;=15,'Rate Card'!$AG$119,IF(133&lt;=20,'Rate Card'!$AH$119,IF(133&lt;=35,'Rate Card'!$AH$119+(133-20)*'Rate Card'!$AI$119,'Rate Card'!$AK$119+(133-35)*'Rate Card'!$AJ$119))))))</f>
        <v/>
      </c>
      <c r="O137" s="23">
        <f>ROUND((IF(133&lt;=2,'Rate Card'!$AD$119,IF(133&lt;=5,'Rate Card'!$AE$119,IF(133&lt;=10,'Rate Card'!$AF$119,IF(133&lt;=15,'Rate Card'!$AG$119,IF(133&lt;=20,'Rate Card'!$AH$119,IF(133&lt;=35,'Rate Card'!$AH$119+(133-20)*'Rate Card'!$AI$119,'Rate Card'!$AK$119+(133-35)*'Rate Card'!$AJ$119)))))))*(1+'Rate Card'!$C$6),2)+ROUND(ROUND((IF(133&lt;=2,'Rate Card'!$AD$119,IF(133&lt;=5,'Rate Card'!$AE$119,IF(133&lt;=10,'Rate Card'!$AF$119,IF(133&lt;=15,'Rate Card'!$AG$119,IF(133&lt;=20,'Rate Card'!$AH$119,IF(133&lt;=35,'Rate Card'!$AH$119+(133-20)*'Rate Card'!$AI$119,'Rate Card'!$AK$119+(133-35)*'Rate Card'!$AJ$119)))))))*(1+'Rate Card'!$C$6),2)*(IF('Rate Card'!$G$6="YES",'Rate Card'!$E$6,0)+IF('Rate Card'!$K$6="YES",'Rate Card'!$I$6,0)),2)</f>
        <v/>
      </c>
      <c r="P137" s="23">
        <f>IF(133&lt;=2,'Rate Card'!$AD$120,IF(133&lt;=5,'Rate Card'!$AE$120,IF(133&lt;=10,'Rate Card'!$AF$120,IF(133&lt;=15,'Rate Card'!$AG$120,IF(133&lt;=20,'Rate Card'!$AH$120,IF(133&lt;=35,'Rate Card'!$AH$120+(133-20)*'Rate Card'!$AI$120,'Rate Card'!$AK$120+(133-35)*'Rate Card'!$AJ$120))))))</f>
        <v/>
      </c>
      <c r="Q137" s="12">
        <f>ROUND((IF(133&lt;=2,'Rate Card'!$AD$120,IF(133&lt;=5,'Rate Card'!$AE$120,IF(133&lt;=10,'Rate Card'!$AF$120,IF(133&lt;=15,'Rate Card'!$AG$120,IF(133&lt;=20,'Rate Card'!$AH$120,IF(133&lt;=35,'Rate Card'!$AH$120+(133-20)*'Rate Card'!$AI$120,'Rate Card'!$AK$120+(133-35)*'Rate Card'!$AJ$120)))))))*(1+'Rate Card'!$C$6),2)+ROUND(ROUND((IF(133&lt;=2,'Rate Card'!$AD$120,IF(133&lt;=5,'Rate Card'!$AE$120,IF(133&lt;=10,'Rate Card'!$AF$120,IF(133&lt;=15,'Rate Card'!$AG$120,IF(133&lt;=20,'Rate Card'!$AH$120,IF(133&lt;=35,'Rate Card'!$AH$120+(133-20)*'Rate Card'!$AI$120,'Rate Card'!$AK$120+(133-35)*'Rate Card'!$AJ$120)))))))*(1+'Rate Card'!$C$6),2)*(IF('Rate Card'!$G$6="YES",'Rate Card'!$E$6,0)+IF('Rate Card'!$K$6="YES",'Rate Card'!$I$6,0)),2)</f>
        <v/>
      </c>
    </row>
    <row r="138">
      <c r="A138" s="75" t="n">
        <v>134</v>
      </c>
      <c r="B138" s="10">
        <f>""</f>
        <v/>
      </c>
      <c r="C138" s="10">
        <f>""</f>
        <v/>
      </c>
      <c r="D138" s="10">
        <f>""</f>
        <v/>
      </c>
      <c r="E138" s="10">
        <f>""</f>
        <v/>
      </c>
      <c r="F138" s="23">
        <f>IF(134&lt;=2,'Rate Card'!$AD$22,IF(134&lt;=5,'Rate Card'!$AE$22,IF(134&lt;=10,'Rate Card'!$AF$22,IF(134&lt;=15,'Rate Card'!$AG$22,IF(134&lt;=20,'Rate Card'!$AH$22,IF(134&lt;=35,'Rate Card'!$AH$22+(134-20)*'Rate Card'!$AI$22,'Rate Card'!$AK$22+(134-35)*'Rate Card'!$AJ$22))))))</f>
        <v/>
      </c>
      <c r="G138" s="23">
        <f>ROUND((IF(134&lt;=2,'Rate Card'!$AD$22,IF(134&lt;=5,'Rate Card'!$AE$22,IF(134&lt;=10,'Rate Card'!$AF$22,IF(134&lt;=15,'Rate Card'!$AG$22,IF(134&lt;=20,'Rate Card'!$AH$22,IF(134&lt;=35,'Rate Card'!$AH$22+(134-20)*'Rate Card'!$AI$22,'Rate Card'!$AK$22+(134-35)*'Rate Card'!$AJ$22)))))))*(1+'Rate Card'!$C$6),2)+ROUND(ROUND((IF(134&lt;=2,'Rate Card'!$AD$22,IF(134&lt;=5,'Rate Card'!$AE$22,IF(134&lt;=10,'Rate Card'!$AF$22,IF(134&lt;=15,'Rate Card'!$AG$22,IF(134&lt;=20,'Rate Card'!$AH$22,IF(134&lt;=35,'Rate Card'!$AH$22+(134-20)*'Rate Card'!$AI$22,'Rate Card'!$AK$22+(134-35)*'Rate Card'!$AJ$22)))))))*(1+'Rate Card'!$C$6),2)*(IF('Rate Card'!$G$6="YES",'Rate Card'!$E$6,0)+IF('Rate Card'!$K$6="YES",'Rate Card'!$I$6,0)),2)</f>
        <v/>
      </c>
      <c r="H138" s="23">
        <f>IF(134&lt;=2,'Rate Card'!$AD$23,IF(134&lt;=5,'Rate Card'!$AE$23,IF(134&lt;=10,'Rate Card'!$AF$23,IF(134&lt;=15,'Rate Card'!$AG$23,IF(134&lt;=20,'Rate Card'!$AH$23,IF(134&lt;=35,'Rate Card'!$AH$23+(134-20)*'Rate Card'!$AI$23,'Rate Card'!$AK$23+(134-35)*'Rate Card'!$AJ$23))))))</f>
        <v/>
      </c>
      <c r="I138" s="23">
        <f>ROUND((IF(134&lt;=2,'Rate Card'!$AD$23,IF(134&lt;=5,'Rate Card'!$AE$23,IF(134&lt;=10,'Rate Card'!$AF$23,IF(134&lt;=15,'Rate Card'!$AG$23,IF(134&lt;=20,'Rate Card'!$AH$23,IF(134&lt;=35,'Rate Card'!$AH$23+(134-20)*'Rate Card'!$AI$23,'Rate Card'!$AK$23+(134-35)*'Rate Card'!$AJ$23)))))))*(1+'Rate Card'!$C$6),2)+ROUND(ROUND((IF(134&lt;=2,'Rate Card'!$AD$23,IF(134&lt;=5,'Rate Card'!$AE$23,IF(134&lt;=10,'Rate Card'!$AF$23,IF(134&lt;=15,'Rate Card'!$AG$23,IF(134&lt;=20,'Rate Card'!$AH$23,IF(134&lt;=35,'Rate Card'!$AH$23+(134-20)*'Rate Card'!$AI$23,'Rate Card'!$AK$23+(134-35)*'Rate Card'!$AJ$23)))))))*(1+'Rate Card'!$C$6),2)*(IF('Rate Card'!$G$6="YES",'Rate Card'!$E$6,0)+IF('Rate Card'!$K$6="YES",'Rate Card'!$I$6,0)),2)</f>
        <v/>
      </c>
      <c r="J138" s="10">
        <f>""</f>
        <v/>
      </c>
      <c r="K138" s="10">
        <f>""</f>
        <v/>
      </c>
      <c r="L138" s="10">
        <f>""</f>
        <v/>
      </c>
      <c r="M138" s="10">
        <f>""</f>
        <v/>
      </c>
      <c r="N138" s="23">
        <f>IF(134&lt;=2,'Rate Card'!$AD$119,IF(134&lt;=5,'Rate Card'!$AE$119,IF(134&lt;=10,'Rate Card'!$AF$119,IF(134&lt;=15,'Rate Card'!$AG$119,IF(134&lt;=20,'Rate Card'!$AH$119,IF(134&lt;=35,'Rate Card'!$AH$119+(134-20)*'Rate Card'!$AI$119,'Rate Card'!$AK$119+(134-35)*'Rate Card'!$AJ$119))))))</f>
        <v/>
      </c>
      <c r="O138" s="23">
        <f>ROUND((IF(134&lt;=2,'Rate Card'!$AD$119,IF(134&lt;=5,'Rate Card'!$AE$119,IF(134&lt;=10,'Rate Card'!$AF$119,IF(134&lt;=15,'Rate Card'!$AG$119,IF(134&lt;=20,'Rate Card'!$AH$119,IF(134&lt;=35,'Rate Card'!$AH$119+(134-20)*'Rate Card'!$AI$119,'Rate Card'!$AK$119+(134-35)*'Rate Card'!$AJ$119)))))))*(1+'Rate Card'!$C$6),2)+ROUND(ROUND((IF(134&lt;=2,'Rate Card'!$AD$119,IF(134&lt;=5,'Rate Card'!$AE$119,IF(134&lt;=10,'Rate Card'!$AF$119,IF(134&lt;=15,'Rate Card'!$AG$119,IF(134&lt;=20,'Rate Card'!$AH$119,IF(134&lt;=35,'Rate Card'!$AH$119+(134-20)*'Rate Card'!$AI$119,'Rate Card'!$AK$119+(134-35)*'Rate Card'!$AJ$119)))))))*(1+'Rate Card'!$C$6),2)*(IF('Rate Card'!$G$6="YES",'Rate Card'!$E$6,0)+IF('Rate Card'!$K$6="YES",'Rate Card'!$I$6,0)),2)</f>
        <v/>
      </c>
      <c r="P138" s="23">
        <f>IF(134&lt;=2,'Rate Card'!$AD$120,IF(134&lt;=5,'Rate Card'!$AE$120,IF(134&lt;=10,'Rate Card'!$AF$120,IF(134&lt;=15,'Rate Card'!$AG$120,IF(134&lt;=20,'Rate Card'!$AH$120,IF(134&lt;=35,'Rate Card'!$AH$120+(134-20)*'Rate Card'!$AI$120,'Rate Card'!$AK$120+(134-35)*'Rate Card'!$AJ$120))))))</f>
        <v/>
      </c>
      <c r="Q138" s="12">
        <f>ROUND((IF(134&lt;=2,'Rate Card'!$AD$120,IF(134&lt;=5,'Rate Card'!$AE$120,IF(134&lt;=10,'Rate Card'!$AF$120,IF(134&lt;=15,'Rate Card'!$AG$120,IF(134&lt;=20,'Rate Card'!$AH$120,IF(134&lt;=35,'Rate Card'!$AH$120+(134-20)*'Rate Card'!$AI$120,'Rate Card'!$AK$120+(134-35)*'Rate Card'!$AJ$120)))))))*(1+'Rate Card'!$C$6),2)+ROUND(ROUND((IF(134&lt;=2,'Rate Card'!$AD$120,IF(134&lt;=5,'Rate Card'!$AE$120,IF(134&lt;=10,'Rate Card'!$AF$120,IF(134&lt;=15,'Rate Card'!$AG$120,IF(134&lt;=20,'Rate Card'!$AH$120,IF(134&lt;=35,'Rate Card'!$AH$120+(134-20)*'Rate Card'!$AI$120,'Rate Card'!$AK$120+(134-35)*'Rate Card'!$AJ$120)))))))*(1+'Rate Card'!$C$6),2)*(IF('Rate Card'!$G$6="YES",'Rate Card'!$E$6,0)+IF('Rate Card'!$K$6="YES",'Rate Card'!$I$6,0)),2)</f>
        <v/>
      </c>
    </row>
    <row r="139">
      <c r="A139" s="75" t="n">
        <v>135</v>
      </c>
      <c r="B139" s="10">
        <f>""</f>
        <v/>
      </c>
      <c r="C139" s="10">
        <f>""</f>
        <v/>
      </c>
      <c r="D139" s="10">
        <f>""</f>
        <v/>
      </c>
      <c r="E139" s="10">
        <f>""</f>
        <v/>
      </c>
      <c r="F139" s="23">
        <f>IF(135&lt;=2,'Rate Card'!$AD$22,IF(135&lt;=5,'Rate Card'!$AE$22,IF(135&lt;=10,'Rate Card'!$AF$22,IF(135&lt;=15,'Rate Card'!$AG$22,IF(135&lt;=20,'Rate Card'!$AH$22,IF(135&lt;=35,'Rate Card'!$AH$22+(135-20)*'Rate Card'!$AI$22,'Rate Card'!$AK$22+(135-35)*'Rate Card'!$AJ$22))))))</f>
        <v/>
      </c>
      <c r="G139" s="23">
        <f>ROUND((IF(135&lt;=2,'Rate Card'!$AD$22,IF(135&lt;=5,'Rate Card'!$AE$22,IF(135&lt;=10,'Rate Card'!$AF$22,IF(135&lt;=15,'Rate Card'!$AG$22,IF(135&lt;=20,'Rate Card'!$AH$22,IF(135&lt;=35,'Rate Card'!$AH$22+(135-20)*'Rate Card'!$AI$22,'Rate Card'!$AK$22+(135-35)*'Rate Card'!$AJ$22)))))))*(1+'Rate Card'!$C$6),2)+ROUND(ROUND((IF(135&lt;=2,'Rate Card'!$AD$22,IF(135&lt;=5,'Rate Card'!$AE$22,IF(135&lt;=10,'Rate Card'!$AF$22,IF(135&lt;=15,'Rate Card'!$AG$22,IF(135&lt;=20,'Rate Card'!$AH$22,IF(135&lt;=35,'Rate Card'!$AH$22+(135-20)*'Rate Card'!$AI$22,'Rate Card'!$AK$22+(135-35)*'Rate Card'!$AJ$22)))))))*(1+'Rate Card'!$C$6),2)*(IF('Rate Card'!$G$6="YES",'Rate Card'!$E$6,0)+IF('Rate Card'!$K$6="YES",'Rate Card'!$I$6,0)),2)</f>
        <v/>
      </c>
      <c r="H139" s="23">
        <f>IF(135&lt;=2,'Rate Card'!$AD$23,IF(135&lt;=5,'Rate Card'!$AE$23,IF(135&lt;=10,'Rate Card'!$AF$23,IF(135&lt;=15,'Rate Card'!$AG$23,IF(135&lt;=20,'Rate Card'!$AH$23,IF(135&lt;=35,'Rate Card'!$AH$23+(135-20)*'Rate Card'!$AI$23,'Rate Card'!$AK$23+(135-35)*'Rate Card'!$AJ$23))))))</f>
        <v/>
      </c>
      <c r="I139" s="23">
        <f>ROUND((IF(135&lt;=2,'Rate Card'!$AD$23,IF(135&lt;=5,'Rate Card'!$AE$23,IF(135&lt;=10,'Rate Card'!$AF$23,IF(135&lt;=15,'Rate Card'!$AG$23,IF(135&lt;=20,'Rate Card'!$AH$23,IF(135&lt;=35,'Rate Card'!$AH$23+(135-20)*'Rate Card'!$AI$23,'Rate Card'!$AK$23+(135-35)*'Rate Card'!$AJ$23)))))))*(1+'Rate Card'!$C$6),2)+ROUND(ROUND((IF(135&lt;=2,'Rate Card'!$AD$23,IF(135&lt;=5,'Rate Card'!$AE$23,IF(135&lt;=10,'Rate Card'!$AF$23,IF(135&lt;=15,'Rate Card'!$AG$23,IF(135&lt;=20,'Rate Card'!$AH$23,IF(135&lt;=35,'Rate Card'!$AH$23+(135-20)*'Rate Card'!$AI$23,'Rate Card'!$AK$23+(135-35)*'Rate Card'!$AJ$23)))))))*(1+'Rate Card'!$C$6),2)*(IF('Rate Card'!$G$6="YES",'Rate Card'!$E$6,0)+IF('Rate Card'!$K$6="YES",'Rate Card'!$I$6,0)),2)</f>
        <v/>
      </c>
      <c r="J139" s="10">
        <f>""</f>
        <v/>
      </c>
      <c r="K139" s="10">
        <f>""</f>
        <v/>
      </c>
      <c r="L139" s="10">
        <f>""</f>
        <v/>
      </c>
      <c r="M139" s="10">
        <f>""</f>
        <v/>
      </c>
      <c r="N139" s="23">
        <f>IF(135&lt;=2,'Rate Card'!$AD$119,IF(135&lt;=5,'Rate Card'!$AE$119,IF(135&lt;=10,'Rate Card'!$AF$119,IF(135&lt;=15,'Rate Card'!$AG$119,IF(135&lt;=20,'Rate Card'!$AH$119,IF(135&lt;=35,'Rate Card'!$AH$119+(135-20)*'Rate Card'!$AI$119,'Rate Card'!$AK$119+(135-35)*'Rate Card'!$AJ$119))))))</f>
        <v/>
      </c>
      <c r="O139" s="23">
        <f>ROUND((IF(135&lt;=2,'Rate Card'!$AD$119,IF(135&lt;=5,'Rate Card'!$AE$119,IF(135&lt;=10,'Rate Card'!$AF$119,IF(135&lt;=15,'Rate Card'!$AG$119,IF(135&lt;=20,'Rate Card'!$AH$119,IF(135&lt;=35,'Rate Card'!$AH$119+(135-20)*'Rate Card'!$AI$119,'Rate Card'!$AK$119+(135-35)*'Rate Card'!$AJ$119)))))))*(1+'Rate Card'!$C$6),2)+ROUND(ROUND((IF(135&lt;=2,'Rate Card'!$AD$119,IF(135&lt;=5,'Rate Card'!$AE$119,IF(135&lt;=10,'Rate Card'!$AF$119,IF(135&lt;=15,'Rate Card'!$AG$119,IF(135&lt;=20,'Rate Card'!$AH$119,IF(135&lt;=35,'Rate Card'!$AH$119+(135-20)*'Rate Card'!$AI$119,'Rate Card'!$AK$119+(135-35)*'Rate Card'!$AJ$119)))))))*(1+'Rate Card'!$C$6),2)*(IF('Rate Card'!$G$6="YES",'Rate Card'!$E$6,0)+IF('Rate Card'!$K$6="YES",'Rate Card'!$I$6,0)),2)</f>
        <v/>
      </c>
      <c r="P139" s="23">
        <f>IF(135&lt;=2,'Rate Card'!$AD$120,IF(135&lt;=5,'Rate Card'!$AE$120,IF(135&lt;=10,'Rate Card'!$AF$120,IF(135&lt;=15,'Rate Card'!$AG$120,IF(135&lt;=20,'Rate Card'!$AH$120,IF(135&lt;=35,'Rate Card'!$AH$120+(135-20)*'Rate Card'!$AI$120,'Rate Card'!$AK$120+(135-35)*'Rate Card'!$AJ$120))))))</f>
        <v/>
      </c>
      <c r="Q139" s="12">
        <f>ROUND((IF(135&lt;=2,'Rate Card'!$AD$120,IF(135&lt;=5,'Rate Card'!$AE$120,IF(135&lt;=10,'Rate Card'!$AF$120,IF(135&lt;=15,'Rate Card'!$AG$120,IF(135&lt;=20,'Rate Card'!$AH$120,IF(135&lt;=35,'Rate Card'!$AH$120+(135-20)*'Rate Card'!$AI$120,'Rate Card'!$AK$120+(135-35)*'Rate Card'!$AJ$120)))))))*(1+'Rate Card'!$C$6),2)+ROUND(ROUND((IF(135&lt;=2,'Rate Card'!$AD$120,IF(135&lt;=5,'Rate Card'!$AE$120,IF(135&lt;=10,'Rate Card'!$AF$120,IF(135&lt;=15,'Rate Card'!$AG$120,IF(135&lt;=20,'Rate Card'!$AH$120,IF(135&lt;=35,'Rate Card'!$AH$120+(135-20)*'Rate Card'!$AI$120,'Rate Card'!$AK$120+(135-35)*'Rate Card'!$AJ$120)))))))*(1+'Rate Card'!$C$6),2)*(IF('Rate Card'!$G$6="YES",'Rate Card'!$E$6,0)+IF('Rate Card'!$K$6="YES",'Rate Card'!$I$6,0)),2)</f>
        <v/>
      </c>
    </row>
    <row r="140">
      <c r="A140" s="75" t="n">
        <v>136</v>
      </c>
      <c r="B140" s="10">
        <f>""</f>
        <v/>
      </c>
      <c r="C140" s="10">
        <f>""</f>
        <v/>
      </c>
      <c r="D140" s="10">
        <f>""</f>
        <v/>
      </c>
      <c r="E140" s="10">
        <f>""</f>
        <v/>
      </c>
      <c r="F140" s="23">
        <f>IF(136&lt;=2,'Rate Card'!$AD$22,IF(136&lt;=5,'Rate Card'!$AE$22,IF(136&lt;=10,'Rate Card'!$AF$22,IF(136&lt;=15,'Rate Card'!$AG$22,IF(136&lt;=20,'Rate Card'!$AH$22,IF(136&lt;=35,'Rate Card'!$AH$22+(136-20)*'Rate Card'!$AI$22,'Rate Card'!$AK$22+(136-35)*'Rate Card'!$AJ$22))))))</f>
        <v/>
      </c>
      <c r="G140" s="23">
        <f>ROUND((IF(136&lt;=2,'Rate Card'!$AD$22,IF(136&lt;=5,'Rate Card'!$AE$22,IF(136&lt;=10,'Rate Card'!$AF$22,IF(136&lt;=15,'Rate Card'!$AG$22,IF(136&lt;=20,'Rate Card'!$AH$22,IF(136&lt;=35,'Rate Card'!$AH$22+(136-20)*'Rate Card'!$AI$22,'Rate Card'!$AK$22+(136-35)*'Rate Card'!$AJ$22)))))))*(1+'Rate Card'!$C$6),2)+ROUND(ROUND((IF(136&lt;=2,'Rate Card'!$AD$22,IF(136&lt;=5,'Rate Card'!$AE$22,IF(136&lt;=10,'Rate Card'!$AF$22,IF(136&lt;=15,'Rate Card'!$AG$22,IF(136&lt;=20,'Rate Card'!$AH$22,IF(136&lt;=35,'Rate Card'!$AH$22+(136-20)*'Rate Card'!$AI$22,'Rate Card'!$AK$22+(136-35)*'Rate Card'!$AJ$22)))))))*(1+'Rate Card'!$C$6),2)*(IF('Rate Card'!$G$6="YES",'Rate Card'!$E$6,0)+IF('Rate Card'!$K$6="YES",'Rate Card'!$I$6,0)),2)</f>
        <v/>
      </c>
      <c r="H140" s="23">
        <f>IF(136&lt;=2,'Rate Card'!$AD$23,IF(136&lt;=5,'Rate Card'!$AE$23,IF(136&lt;=10,'Rate Card'!$AF$23,IF(136&lt;=15,'Rate Card'!$AG$23,IF(136&lt;=20,'Rate Card'!$AH$23,IF(136&lt;=35,'Rate Card'!$AH$23+(136-20)*'Rate Card'!$AI$23,'Rate Card'!$AK$23+(136-35)*'Rate Card'!$AJ$23))))))</f>
        <v/>
      </c>
      <c r="I140" s="23">
        <f>ROUND((IF(136&lt;=2,'Rate Card'!$AD$23,IF(136&lt;=5,'Rate Card'!$AE$23,IF(136&lt;=10,'Rate Card'!$AF$23,IF(136&lt;=15,'Rate Card'!$AG$23,IF(136&lt;=20,'Rate Card'!$AH$23,IF(136&lt;=35,'Rate Card'!$AH$23+(136-20)*'Rate Card'!$AI$23,'Rate Card'!$AK$23+(136-35)*'Rate Card'!$AJ$23)))))))*(1+'Rate Card'!$C$6),2)+ROUND(ROUND((IF(136&lt;=2,'Rate Card'!$AD$23,IF(136&lt;=5,'Rate Card'!$AE$23,IF(136&lt;=10,'Rate Card'!$AF$23,IF(136&lt;=15,'Rate Card'!$AG$23,IF(136&lt;=20,'Rate Card'!$AH$23,IF(136&lt;=35,'Rate Card'!$AH$23+(136-20)*'Rate Card'!$AI$23,'Rate Card'!$AK$23+(136-35)*'Rate Card'!$AJ$23)))))))*(1+'Rate Card'!$C$6),2)*(IF('Rate Card'!$G$6="YES",'Rate Card'!$E$6,0)+IF('Rate Card'!$K$6="YES",'Rate Card'!$I$6,0)),2)</f>
        <v/>
      </c>
      <c r="J140" s="10">
        <f>""</f>
        <v/>
      </c>
      <c r="K140" s="10">
        <f>""</f>
        <v/>
      </c>
      <c r="L140" s="10">
        <f>""</f>
        <v/>
      </c>
      <c r="M140" s="10">
        <f>""</f>
        <v/>
      </c>
      <c r="N140" s="23">
        <f>IF(136&lt;=2,'Rate Card'!$AD$119,IF(136&lt;=5,'Rate Card'!$AE$119,IF(136&lt;=10,'Rate Card'!$AF$119,IF(136&lt;=15,'Rate Card'!$AG$119,IF(136&lt;=20,'Rate Card'!$AH$119,IF(136&lt;=35,'Rate Card'!$AH$119+(136-20)*'Rate Card'!$AI$119,'Rate Card'!$AK$119+(136-35)*'Rate Card'!$AJ$119))))))</f>
        <v/>
      </c>
      <c r="O140" s="23">
        <f>ROUND((IF(136&lt;=2,'Rate Card'!$AD$119,IF(136&lt;=5,'Rate Card'!$AE$119,IF(136&lt;=10,'Rate Card'!$AF$119,IF(136&lt;=15,'Rate Card'!$AG$119,IF(136&lt;=20,'Rate Card'!$AH$119,IF(136&lt;=35,'Rate Card'!$AH$119+(136-20)*'Rate Card'!$AI$119,'Rate Card'!$AK$119+(136-35)*'Rate Card'!$AJ$119)))))))*(1+'Rate Card'!$C$6),2)+ROUND(ROUND((IF(136&lt;=2,'Rate Card'!$AD$119,IF(136&lt;=5,'Rate Card'!$AE$119,IF(136&lt;=10,'Rate Card'!$AF$119,IF(136&lt;=15,'Rate Card'!$AG$119,IF(136&lt;=20,'Rate Card'!$AH$119,IF(136&lt;=35,'Rate Card'!$AH$119+(136-20)*'Rate Card'!$AI$119,'Rate Card'!$AK$119+(136-35)*'Rate Card'!$AJ$119)))))))*(1+'Rate Card'!$C$6),2)*(IF('Rate Card'!$G$6="YES",'Rate Card'!$E$6,0)+IF('Rate Card'!$K$6="YES",'Rate Card'!$I$6,0)),2)</f>
        <v/>
      </c>
      <c r="P140" s="23">
        <f>IF(136&lt;=2,'Rate Card'!$AD$120,IF(136&lt;=5,'Rate Card'!$AE$120,IF(136&lt;=10,'Rate Card'!$AF$120,IF(136&lt;=15,'Rate Card'!$AG$120,IF(136&lt;=20,'Rate Card'!$AH$120,IF(136&lt;=35,'Rate Card'!$AH$120+(136-20)*'Rate Card'!$AI$120,'Rate Card'!$AK$120+(136-35)*'Rate Card'!$AJ$120))))))</f>
        <v/>
      </c>
      <c r="Q140" s="12">
        <f>ROUND((IF(136&lt;=2,'Rate Card'!$AD$120,IF(136&lt;=5,'Rate Card'!$AE$120,IF(136&lt;=10,'Rate Card'!$AF$120,IF(136&lt;=15,'Rate Card'!$AG$120,IF(136&lt;=20,'Rate Card'!$AH$120,IF(136&lt;=35,'Rate Card'!$AH$120+(136-20)*'Rate Card'!$AI$120,'Rate Card'!$AK$120+(136-35)*'Rate Card'!$AJ$120)))))))*(1+'Rate Card'!$C$6),2)+ROUND(ROUND((IF(136&lt;=2,'Rate Card'!$AD$120,IF(136&lt;=5,'Rate Card'!$AE$120,IF(136&lt;=10,'Rate Card'!$AF$120,IF(136&lt;=15,'Rate Card'!$AG$120,IF(136&lt;=20,'Rate Card'!$AH$120,IF(136&lt;=35,'Rate Card'!$AH$120+(136-20)*'Rate Card'!$AI$120,'Rate Card'!$AK$120+(136-35)*'Rate Card'!$AJ$120)))))))*(1+'Rate Card'!$C$6),2)*(IF('Rate Card'!$G$6="YES",'Rate Card'!$E$6,0)+IF('Rate Card'!$K$6="YES",'Rate Card'!$I$6,0)),2)</f>
        <v/>
      </c>
    </row>
    <row r="141">
      <c r="A141" s="75" t="n">
        <v>137</v>
      </c>
      <c r="B141" s="10">
        <f>""</f>
        <v/>
      </c>
      <c r="C141" s="10">
        <f>""</f>
        <v/>
      </c>
      <c r="D141" s="10">
        <f>""</f>
        <v/>
      </c>
      <c r="E141" s="10">
        <f>""</f>
        <v/>
      </c>
      <c r="F141" s="23">
        <f>IF(137&lt;=2,'Rate Card'!$AD$22,IF(137&lt;=5,'Rate Card'!$AE$22,IF(137&lt;=10,'Rate Card'!$AF$22,IF(137&lt;=15,'Rate Card'!$AG$22,IF(137&lt;=20,'Rate Card'!$AH$22,IF(137&lt;=35,'Rate Card'!$AH$22+(137-20)*'Rate Card'!$AI$22,'Rate Card'!$AK$22+(137-35)*'Rate Card'!$AJ$22))))))</f>
        <v/>
      </c>
      <c r="G141" s="23">
        <f>ROUND((IF(137&lt;=2,'Rate Card'!$AD$22,IF(137&lt;=5,'Rate Card'!$AE$22,IF(137&lt;=10,'Rate Card'!$AF$22,IF(137&lt;=15,'Rate Card'!$AG$22,IF(137&lt;=20,'Rate Card'!$AH$22,IF(137&lt;=35,'Rate Card'!$AH$22+(137-20)*'Rate Card'!$AI$22,'Rate Card'!$AK$22+(137-35)*'Rate Card'!$AJ$22)))))))*(1+'Rate Card'!$C$6),2)+ROUND(ROUND((IF(137&lt;=2,'Rate Card'!$AD$22,IF(137&lt;=5,'Rate Card'!$AE$22,IF(137&lt;=10,'Rate Card'!$AF$22,IF(137&lt;=15,'Rate Card'!$AG$22,IF(137&lt;=20,'Rate Card'!$AH$22,IF(137&lt;=35,'Rate Card'!$AH$22+(137-20)*'Rate Card'!$AI$22,'Rate Card'!$AK$22+(137-35)*'Rate Card'!$AJ$22)))))))*(1+'Rate Card'!$C$6),2)*(IF('Rate Card'!$G$6="YES",'Rate Card'!$E$6,0)+IF('Rate Card'!$K$6="YES",'Rate Card'!$I$6,0)),2)</f>
        <v/>
      </c>
      <c r="H141" s="23">
        <f>IF(137&lt;=2,'Rate Card'!$AD$23,IF(137&lt;=5,'Rate Card'!$AE$23,IF(137&lt;=10,'Rate Card'!$AF$23,IF(137&lt;=15,'Rate Card'!$AG$23,IF(137&lt;=20,'Rate Card'!$AH$23,IF(137&lt;=35,'Rate Card'!$AH$23+(137-20)*'Rate Card'!$AI$23,'Rate Card'!$AK$23+(137-35)*'Rate Card'!$AJ$23))))))</f>
        <v/>
      </c>
      <c r="I141" s="23">
        <f>ROUND((IF(137&lt;=2,'Rate Card'!$AD$23,IF(137&lt;=5,'Rate Card'!$AE$23,IF(137&lt;=10,'Rate Card'!$AF$23,IF(137&lt;=15,'Rate Card'!$AG$23,IF(137&lt;=20,'Rate Card'!$AH$23,IF(137&lt;=35,'Rate Card'!$AH$23+(137-20)*'Rate Card'!$AI$23,'Rate Card'!$AK$23+(137-35)*'Rate Card'!$AJ$23)))))))*(1+'Rate Card'!$C$6),2)+ROUND(ROUND((IF(137&lt;=2,'Rate Card'!$AD$23,IF(137&lt;=5,'Rate Card'!$AE$23,IF(137&lt;=10,'Rate Card'!$AF$23,IF(137&lt;=15,'Rate Card'!$AG$23,IF(137&lt;=20,'Rate Card'!$AH$23,IF(137&lt;=35,'Rate Card'!$AH$23+(137-20)*'Rate Card'!$AI$23,'Rate Card'!$AK$23+(137-35)*'Rate Card'!$AJ$23)))))))*(1+'Rate Card'!$C$6),2)*(IF('Rate Card'!$G$6="YES",'Rate Card'!$E$6,0)+IF('Rate Card'!$K$6="YES",'Rate Card'!$I$6,0)),2)</f>
        <v/>
      </c>
      <c r="J141" s="10">
        <f>""</f>
        <v/>
      </c>
      <c r="K141" s="10">
        <f>""</f>
        <v/>
      </c>
      <c r="L141" s="10">
        <f>""</f>
        <v/>
      </c>
      <c r="M141" s="10">
        <f>""</f>
        <v/>
      </c>
      <c r="N141" s="23">
        <f>IF(137&lt;=2,'Rate Card'!$AD$119,IF(137&lt;=5,'Rate Card'!$AE$119,IF(137&lt;=10,'Rate Card'!$AF$119,IF(137&lt;=15,'Rate Card'!$AG$119,IF(137&lt;=20,'Rate Card'!$AH$119,IF(137&lt;=35,'Rate Card'!$AH$119+(137-20)*'Rate Card'!$AI$119,'Rate Card'!$AK$119+(137-35)*'Rate Card'!$AJ$119))))))</f>
        <v/>
      </c>
      <c r="O141" s="23">
        <f>ROUND((IF(137&lt;=2,'Rate Card'!$AD$119,IF(137&lt;=5,'Rate Card'!$AE$119,IF(137&lt;=10,'Rate Card'!$AF$119,IF(137&lt;=15,'Rate Card'!$AG$119,IF(137&lt;=20,'Rate Card'!$AH$119,IF(137&lt;=35,'Rate Card'!$AH$119+(137-20)*'Rate Card'!$AI$119,'Rate Card'!$AK$119+(137-35)*'Rate Card'!$AJ$119)))))))*(1+'Rate Card'!$C$6),2)+ROUND(ROUND((IF(137&lt;=2,'Rate Card'!$AD$119,IF(137&lt;=5,'Rate Card'!$AE$119,IF(137&lt;=10,'Rate Card'!$AF$119,IF(137&lt;=15,'Rate Card'!$AG$119,IF(137&lt;=20,'Rate Card'!$AH$119,IF(137&lt;=35,'Rate Card'!$AH$119+(137-20)*'Rate Card'!$AI$119,'Rate Card'!$AK$119+(137-35)*'Rate Card'!$AJ$119)))))))*(1+'Rate Card'!$C$6),2)*(IF('Rate Card'!$G$6="YES",'Rate Card'!$E$6,0)+IF('Rate Card'!$K$6="YES",'Rate Card'!$I$6,0)),2)</f>
        <v/>
      </c>
      <c r="P141" s="23">
        <f>IF(137&lt;=2,'Rate Card'!$AD$120,IF(137&lt;=5,'Rate Card'!$AE$120,IF(137&lt;=10,'Rate Card'!$AF$120,IF(137&lt;=15,'Rate Card'!$AG$120,IF(137&lt;=20,'Rate Card'!$AH$120,IF(137&lt;=35,'Rate Card'!$AH$120+(137-20)*'Rate Card'!$AI$120,'Rate Card'!$AK$120+(137-35)*'Rate Card'!$AJ$120))))))</f>
        <v/>
      </c>
      <c r="Q141" s="12">
        <f>ROUND((IF(137&lt;=2,'Rate Card'!$AD$120,IF(137&lt;=5,'Rate Card'!$AE$120,IF(137&lt;=10,'Rate Card'!$AF$120,IF(137&lt;=15,'Rate Card'!$AG$120,IF(137&lt;=20,'Rate Card'!$AH$120,IF(137&lt;=35,'Rate Card'!$AH$120+(137-20)*'Rate Card'!$AI$120,'Rate Card'!$AK$120+(137-35)*'Rate Card'!$AJ$120)))))))*(1+'Rate Card'!$C$6),2)+ROUND(ROUND((IF(137&lt;=2,'Rate Card'!$AD$120,IF(137&lt;=5,'Rate Card'!$AE$120,IF(137&lt;=10,'Rate Card'!$AF$120,IF(137&lt;=15,'Rate Card'!$AG$120,IF(137&lt;=20,'Rate Card'!$AH$120,IF(137&lt;=35,'Rate Card'!$AH$120+(137-20)*'Rate Card'!$AI$120,'Rate Card'!$AK$120+(137-35)*'Rate Card'!$AJ$120)))))))*(1+'Rate Card'!$C$6),2)*(IF('Rate Card'!$G$6="YES",'Rate Card'!$E$6,0)+IF('Rate Card'!$K$6="YES",'Rate Card'!$I$6,0)),2)</f>
        <v/>
      </c>
    </row>
    <row r="142">
      <c r="A142" s="75" t="n">
        <v>138</v>
      </c>
      <c r="B142" s="10">
        <f>""</f>
        <v/>
      </c>
      <c r="C142" s="10">
        <f>""</f>
        <v/>
      </c>
      <c r="D142" s="10">
        <f>""</f>
        <v/>
      </c>
      <c r="E142" s="10">
        <f>""</f>
        <v/>
      </c>
      <c r="F142" s="23">
        <f>IF(138&lt;=2,'Rate Card'!$AD$22,IF(138&lt;=5,'Rate Card'!$AE$22,IF(138&lt;=10,'Rate Card'!$AF$22,IF(138&lt;=15,'Rate Card'!$AG$22,IF(138&lt;=20,'Rate Card'!$AH$22,IF(138&lt;=35,'Rate Card'!$AH$22+(138-20)*'Rate Card'!$AI$22,'Rate Card'!$AK$22+(138-35)*'Rate Card'!$AJ$22))))))</f>
        <v/>
      </c>
      <c r="G142" s="23">
        <f>ROUND((IF(138&lt;=2,'Rate Card'!$AD$22,IF(138&lt;=5,'Rate Card'!$AE$22,IF(138&lt;=10,'Rate Card'!$AF$22,IF(138&lt;=15,'Rate Card'!$AG$22,IF(138&lt;=20,'Rate Card'!$AH$22,IF(138&lt;=35,'Rate Card'!$AH$22+(138-20)*'Rate Card'!$AI$22,'Rate Card'!$AK$22+(138-35)*'Rate Card'!$AJ$22)))))))*(1+'Rate Card'!$C$6),2)+ROUND(ROUND((IF(138&lt;=2,'Rate Card'!$AD$22,IF(138&lt;=5,'Rate Card'!$AE$22,IF(138&lt;=10,'Rate Card'!$AF$22,IF(138&lt;=15,'Rate Card'!$AG$22,IF(138&lt;=20,'Rate Card'!$AH$22,IF(138&lt;=35,'Rate Card'!$AH$22+(138-20)*'Rate Card'!$AI$22,'Rate Card'!$AK$22+(138-35)*'Rate Card'!$AJ$22)))))))*(1+'Rate Card'!$C$6),2)*(IF('Rate Card'!$G$6="YES",'Rate Card'!$E$6,0)+IF('Rate Card'!$K$6="YES",'Rate Card'!$I$6,0)),2)</f>
        <v/>
      </c>
      <c r="H142" s="23">
        <f>IF(138&lt;=2,'Rate Card'!$AD$23,IF(138&lt;=5,'Rate Card'!$AE$23,IF(138&lt;=10,'Rate Card'!$AF$23,IF(138&lt;=15,'Rate Card'!$AG$23,IF(138&lt;=20,'Rate Card'!$AH$23,IF(138&lt;=35,'Rate Card'!$AH$23+(138-20)*'Rate Card'!$AI$23,'Rate Card'!$AK$23+(138-35)*'Rate Card'!$AJ$23))))))</f>
        <v/>
      </c>
      <c r="I142" s="23">
        <f>ROUND((IF(138&lt;=2,'Rate Card'!$AD$23,IF(138&lt;=5,'Rate Card'!$AE$23,IF(138&lt;=10,'Rate Card'!$AF$23,IF(138&lt;=15,'Rate Card'!$AG$23,IF(138&lt;=20,'Rate Card'!$AH$23,IF(138&lt;=35,'Rate Card'!$AH$23+(138-20)*'Rate Card'!$AI$23,'Rate Card'!$AK$23+(138-35)*'Rate Card'!$AJ$23)))))))*(1+'Rate Card'!$C$6),2)+ROUND(ROUND((IF(138&lt;=2,'Rate Card'!$AD$23,IF(138&lt;=5,'Rate Card'!$AE$23,IF(138&lt;=10,'Rate Card'!$AF$23,IF(138&lt;=15,'Rate Card'!$AG$23,IF(138&lt;=20,'Rate Card'!$AH$23,IF(138&lt;=35,'Rate Card'!$AH$23+(138-20)*'Rate Card'!$AI$23,'Rate Card'!$AK$23+(138-35)*'Rate Card'!$AJ$23)))))))*(1+'Rate Card'!$C$6),2)*(IF('Rate Card'!$G$6="YES",'Rate Card'!$E$6,0)+IF('Rate Card'!$K$6="YES",'Rate Card'!$I$6,0)),2)</f>
        <v/>
      </c>
      <c r="J142" s="10">
        <f>""</f>
        <v/>
      </c>
      <c r="K142" s="10">
        <f>""</f>
        <v/>
      </c>
      <c r="L142" s="10">
        <f>""</f>
        <v/>
      </c>
      <c r="M142" s="10">
        <f>""</f>
        <v/>
      </c>
      <c r="N142" s="23">
        <f>IF(138&lt;=2,'Rate Card'!$AD$119,IF(138&lt;=5,'Rate Card'!$AE$119,IF(138&lt;=10,'Rate Card'!$AF$119,IF(138&lt;=15,'Rate Card'!$AG$119,IF(138&lt;=20,'Rate Card'!$AH$119,IF(138&lt;=35,'Rate Card'!$AH$119+(138-20)*'Rate Card'!$AI$119,'Rate Card'!$AK$119+(138-35)*'Rate Card'!$AJ$119))))))</f>
        <v/>
      </c>
      <c r="O142" s="23">
        <f>ROUND((IF(138&lt;=2,'Rate Card'!$AD$119,IF(138&lt;=5,'Rate Card'!$AE$119,IF(138&lt;=10,'Rate Card'!$AF$119,IF(138&lt;=15,'Rate Card'!$AG$119,IF(138&lt;=20,'Rate Card'!$AH$119,IF(138&lt;=35,'Rate Card'!$AH$119+(138-20)*'Rate Card'!$AI$119,'Rate Card'!$AK$119+(138-35)*'Rate Card'!$AJ$119)))))))*(1+'Rate Card'!$C$6),2)+ROUND(ROUND((IF(138&lt;=2,'Rate Card'!$AD$119,IF(138&lt;=5,'Rate Card'!$AE$119,IF(138&lt;=10,'Rate Card'!$AF$119,IF(138&lt;=15,'Rate Card'!$AG$119,IF(138&lt;=20,'Rate Card'!$AH$119,IF(138&lt;=35,'Rate Card'!$AH$119+(138-20)*'Rate Card'!$AI$119,'Rate Card'!$AK$119+(138-35)*'Rate Card'!$AJ$119)))))))*(1+'Rate Card'!$C$6),2)*(IF('Rate Card'!$G$6="YES",'Rate Card'!$E$6,0)+IF('Rate Card'!$K$6="YES",'Rate Card'!$I$6,0)),2)</f>
        <v/>
      </c>
      <c r="P142" s="23">
        <f>IF(138&lt;=2,'Rate Card'!$AD$120,IF(138&lt;=5,'Rate Card'!$AE$120,IF(138&lt;=10,'Rate Card'!$AF$120,IF(138&lt;=15,'Rate Card'!$AG$120,IF(138&lt;=20,'Rate Card'!$AH$120,IF(138&lt;=35,'Rate Card'!$AH$120+(138-20)*'Rate Card'!$AI$120,'Rate Card'!$AK$120+(138-35)*'Rate Card'!$AJ$120))))))</f>
        <v/>
      </c>
      <c r="Q142" s="12">
        <f>ROUND((IF(138&lt;=2,'Rate Card'!$AD$120,IF(138&lt;=5,'Rate Card'!$AE$120,IF(138&lt;=10,'Rate Card'!$AF$120,IF(138&lt;=15,'Rate Card'!$AG$120,IF(138&lt;=20,'Rate Card'!$AH$120,IF(138&lt;=35,'Rate Card'!$AH$120+(138-20)*'Rate Card'!$AI$120,'Rate Card'!$AK$120+(138-35)*'Rate Card'!$AJ$120)))))))*(1+'Rate Card'!$C$6),2)+ROUND(ROUND((IF(138&lt;=2,'Rate Card'!$AD$120,IF(138&lt;=5,'Rate Card'!$AE$120,IF(138&lt;=10,'Rate Card'!$AF$120,IF(138&lt;=15,'Rate Card'!$AG$120,IF(138&lt;=20,'Rate Card'!$AH$120,IF(138&lt;=35,'Rate Card'!$AH$120+(138-20)*'Rate Card'!$AI$120,'Rate Card'!$AK$120+(138-35)*'Rate Card'!$AJ$120)))))))*(1+'Rate Card'!$C$6),2)*(IF('Rate Card'!$G$6="YES",'Rate Card'!$E$6,0)+IF('Rate Card'!$K$6="YES",'Rate Card'!$I$6,0)),2)</f>
        <v/>
      </c>
    </row>
    <row r="143">
      <c r="A143" s="75" t="n">
        <v>139</v>
      </c>
      <c r="B143" s="10">
        <f>""</f>
        <v/>
      </c>
      <c r="C143" s="10">
        <f>""</f>
        <v/>
      </c>
      <c r="D143" s="10">
        <f>""</f>
        <v/>
      </c>
      <c r="E143" s="10">
        <f>""</f>
        <v/>
      </c>
      <c r="F143" s="23">
        <f>IF(139&lt;=2,'Rate Card'!$AD$22,IF(139&lt;=5,'Rate Card'!$AE$22,IF(139&lt;=10,'Rate Card'!$AF$22,IF(139&lt;=15,'Rate Card'!$AG$22,IF(139&lt;=20,'Rate Card'!$AH$22,IF(139&lt;=35,'Rate Card'!$AH$22+(139-20)*'Rate Card'!$AI$22,'Rate Card'!$AK$22+(139-35)*'Rate Card'!$AJ$22))))))</f>
        <v/>
      </c>
      <c r="G143" s="23">
        <f>ROUND((IF(139&lt;=2,'Rate Card'!$AD$22,IF(139&lt;=5,'Rate Card'!$AE$22,IF(139&lt;=10,'Rate Card'!$AF$22,IF(139&lt;=15,'Rate Card'!$AG$22,IF(139&lt;=20,'Rate Card'!$AH$22,IF(139&lt;=35,'Rate Card'!$AH$22+(139-20)*'Rate Card'!$AI$22,'Rate Card'!$AK$22+(139-35)*'Rate Card'!$AJ$22)))))))*(1+'Rate Card'!$C$6),2)+ROUND(ROUND((IF(139&lt;=2,'Rate Card'!$AD$22,IF(139&lt;=5,'Rate Card'!$AE$22,IF(139&lt;=10,'Rate Card'!$AF$22,IF(139&lt;=15,'Rate Card'!$AG$22,IF(139&lt;=20,'Rate Card'!$AH$22,IF(139&lt;=35,'Rate Card'!$AH$22+(139-20)*'Rate Card'!$AI$22,'Rate Card'!$AK$22+(139-35)*'Rate Card'!$AJ$22)))))))*(1+'Rate Card'!$C$6),2)*(IF('Rate Card'!$G$6="YES",'Rate Card'!$E$6,0)+IF('Rate Card'!$K$6="YES",'Rate Card'!$I$6,0)),2)</f>
        <v/>
      </c>
      <c r="H143" s="23">
        <f>IF(139&lt;=2,'Rate Card'!$AD$23,IF(139&lt;=5,'Rate Card'!$AE$23,IF(139&lt;=10,'Rate Card'!$AF$23,IF(139&lt;=15,'Rate Card'!$AG$23,IF(139&lt;=20,'Rate Card'!$AH$23,IF(139&lt;=35,'Rate Card'!$AH$23+(139-20)*'Rate Card'!$AI$23,'Rate Card'!$AK$23+(139-35)*'Rate Card'!$AJ$23))))))</f>
        <v/>
      </c>
      <c r="I143" s="23">
        <f>ROUND((IF(139&lt;=2,'Rate Card'!$AD$23,IF(139&lt;=5,'Rate Card'!$AE$23,IF(139&lt;=10,'Rate Card'!$AF$23,IF(139&lt;=15,'Rate Card'!$AG$23,IF(139&lt;=20,'Rate Card'!$AH$23,IF(139&lt;=35,'Rate Card'!$AH$23+(139-20)*'Rate Card'!$AI$23,'Rate Card'!$AK$23+(139-35)*'Rate Card'!$AJ$23)))))))*(1+'Rate Card'!$C$6),2)+ROUND(ROUND((IF(139&lt;=2,'Rate Card'!$AD$23,IF(139&lt;=5,'Rate Card'!$AE$23,IF(139&lt;=10,'Rate Card'!$AF$23,IF(139&lt;=15,'Rate Card'!$AG$23,IF(139&lt;=20,'Rate Card'!$AH$23,IF(139&lt;=35,'Rate Card'!$AH$23+(139-20)*'Rate Card'!$AI$23,'Rate Card'!$AK$23+(139-35)*'Rate Card'!$AJ$23)))))))*(1+'Rate Card'!$C$6),2)*(IF('Rate Card'!$G$6="YES",'Rate Card'!$E$6,0)+IF('Rate Card'!$K$6="YES",'Rate Card'!$I$6,0)),2)</f>
        <v/>
      </c>
      <c r="J143" s="10">
        <f>""</f>
        <v/>
      </c>
      <c r="K143" s="10">
        <f>""</f>
        <v/>
      </c>
      <c r="L143" s="10">
        <f>""</f>
        <v/>
      </c>
      <c r="M143" s="10">
        <f>""</f>
        <v/>
      </c>
      <c r="N143" s="23">
        <f>IF(139&lt;=2,'Rate Card'!$AD$119,IF(139&lt;=5,'Rate Card'!$AE$119,IF(139&lt;=10,'Rate Card'!$AF$119,IF(139&lt;=15,'Rate Card'!$AG$119,IF(139&lt;=20,'Rate Card'!$AH$119,IF(139&lt;=35,'Rate Card'!$AH$119+(139-20)*'Rate Card'!$AI$119,'Rate Card'!$AK$119+(139-35)*'Rate Card'!$AJ$119))))))</f>
        <v/>
      </c>
      <c r="O143" s="23">
        <f>ROUND((IF(139&lt;=2,'Rate Card'!$AD$119,IF(139&lt;=5,'Rate Card'!$AE$119,IF(139&lt;=10,'Rate Card'!$AF$119,IF(139&lt;=15,'Rate Card'!$AG$119,IF(139&lt;=20,'Rate Card'!$AH$119,IF(139&lt;=35,'Rate Card'!$AH$119+(139-20)*'Rate Card'!$AI$119,'Rate Card'!$AK$119+(139-35)*'Rate Card'!$AJ$119)))))))*(1+'Rate Card'!$C$6),2)+ROUND(ROUND((IF(139&lt;=2,'Rate Card'!$AD$119,IF(139&lt;=5,'Rate Card'!$AE$119,IF(139&lt;=10,'Rate Card'!$AF$119,IF(139&lt;=15,'Rate Card'!$AG$119,IF(139&lt;=20,'Rate Card'!$AH$119,IF(139&lt;=35,'Rate Card'!$AH$119+(139-20)*'Rate Card'!$AI$119,'Rate Card'!$AK$119+(139-35)*'Rate Card'!$AJ$119)))))))*(1+'Rate Card'!$C$6),2)*(IF('Rate Card'!$G$6="YES",'Rate Card'!$E$6,0)+IF('Rate Card'!$K$6="YES",'Rate Card'!$I$6,0)),2)</f>
        <v/>
      </c>
      <c r="P143" s="23">
        <f>IF(139&lt;=2,'Rate Card'!$AD$120,IF(139&lt;=5,'Rate Card'!$AE$120,IF(139&lt;=10,'Rate Card'!$AF$120,IF(139&lt;=15,'Rate Card'!$AG$120,IF(139&lt;=20,'Rate Card'!$AH$120,IF(139&lt;=35,'Rate Card'!$AH$120+(139-20)*'Rate Card'!$AI$120,'Rate Card'!$AK$120+(139-35)*'Rate Card'!$AJ$120))))))</f>
        <v/>
      </c>
      <c r="Q143" s="12">
        <f>ROUND((IF(139&lt;=2,'Rate Card'!$AD$120,IF(139&lt;=5,'Rate Card'!$AE$120,IF(139&lt;=10,'Rate Card'!$AF$120,IF(139&lt;=15,'Rate Card'!$AG$120,IF(139&lt;=20,'Rate Card'!$AH$120,IF(139&lt;=35,'Rate Card'!$AH$120+(139-20)*'Rate Card'!$AI$120,'Rate Card'!$AK$120+(139-35)*'Rate Card'!$AJ$120)))))))*(1+'Rate Card'!$C$6),2)+ROUND(ROUND((IF(139&lt;=2,'Rate Card'!$AD$120,IF(139&lt;=5,'Rate Card'!$AE$120,IF(139&lt;=10,'Rate Card'!$AF$120,IF(139&lt;=15,'Rate Card'!$AG$120,IF(139&lt;=20,'Rate Card'!$AH$120,IF(139&lt;=35,'Rate Card'!$AH$120+(139-20)*'Rate Card'!$AI$120,'Rate Card'!$AK$120+(139-35)*'Rate Card'!$AJ$120)))))))*(1+'Rate Card'!$C$6),2)*(IF('Rate Card'!$G$6="YES",'Rate Card'!$E$6,0)+IF('Rate Card'!$K$6="YES",'Rate Card'!$I$6,0)),2)</f>
        <v/>
      </c>
    </row>
    <row r="144">
      <c r="A144" s="75" t="n">
        <v>140</v>
      </c>
      <c r="B144" s="10">
        <f>""</f>
        <v/>
      </c>
      <c r="C144" s="10">
        <f>""</f>
        <v/>
      </c>
      <c r="D144" s="10">
        <f>""</f>
        <v/>
      </c>
      <c r="E144" s="10">
        <f>""</f>
        <v/>
      </c>
      <c r="F144" s="23">
        <f>IF(140&lt;=2,'Rate Card'!$AD$22,IF(140&lt;=5,'Rate Card'!$AE$22,IF(140&lt;=10,'Rate Card'!$AF$22,IF(140&lt;=15,'Rate Card'!$AG$22,IF(140&lt;=20,'Rate Card'!$AH$22,IF(140&lt;=35,'Rate Card'!$AH$22+(140-20)*'Rate Card'!$AI$22,'Rate Card'!$AK$22+(140-35)*'Rate Card'!$AJ$22))))))</f>
        <v/>
      </c>
      <c r="G144" s="23">
        <f>ROUND((IF(140&lt;=2,'Rate Card'!$AD$22,IF(140&lt;=5,'Rate Card'!$AE$22,IF(140&lt;=10,'Rate Card'!$AF$22,IF(140&lt;=15,'Rate Card'!$AG$22,IF(140&lt;=20,'Rate Card'!$AH$22,IF(140&lt;=35,'Rate Card'!$AH$22+(140-20)*'Rate Card'!$AI$22,'Rate Card'!$AK$22+(140-35)*'Rate Card'!$AJ$22)))))))*(1+'Rate Card'!$C$6),2)+ROUND(ROUND((IF(140&lt;=2,'Rate Card'!$AD$22,IF(140&lt;=5,'Rate Card'!$AE$22,IF(140&lt;=10,'Rate Card'!$AF$22,IF(140&lt;=15,'Rate Card'!$AG$22,IF(140&lt;=20,'Rate Card'!$AH$22,IF(140&lt;=35,'Rate Card'!$AH$22+(140-20)*'Rate Card'!$AI$22,'Rate Card'!$AK$22+(140-35)*'Rate Card'!$AJ$22)))))))*(1+'Rate Card'!$C$6),2)*(IF('Rate Card'!$G$6="YES",'Rate Card'!$E$6,0)+IF('Rate Card'!$K$6="YES",'Rate Card'!$I$6,0)),2)</f>
        <v/>
      </c>
      <c r="H144" s="23">
        <f>IF(140&lt;=2,'Rate Card'!$AD$23,IF(140&lt;=5,'Rate Card'!$AE$23,IF(140&lt;=10,'Rate Card'!$AF$23,IF(140&lt;=15,'Rate Card'!$AG$23,IF(140&lt;=20,'Rate Card'!$AH$23,IF(140&lt;=35,'Rate Card'!$AH$23+(140-20)*'Rate Card'!$AI$23,'Rate Card'!$AK$23+(140-35)*'Rate Card'!$AJ$23))))))</f>
        <v/>
      </c>
      <c r="I144" s="23">
        <f>ROUND((IF(140&lt;=2,'Rate Card'!$AD$23,IF(140&lt;=5,'Rate Card'!$AE$23,IF(140&lt;=10,'Rate Card'!$AF$23,IF(140&lt;=15,'Rate Card'!$AG$23,IF(140&lt;=20,'Rate Card'!$AH$23,IF(140&lt;=35,'Rate Card'!$AH$23+(140-20)*'Rate Card'!$AI$23,'Rate Card'!$AK$23+(140-35)*'Rate Card'!$AJ$23)))))))*(1+'Rate Card'!$C$6),2)+ROUND(ROUND((IF(140&lt;=2,'Rate Card'!$AD$23,IF(140&lt;=5,'Rate Card'!$AE$23,IF(140&lt;=10,'Rate Card'!$AF$23,IF(140&lt;=15,'Rate Card'!$AG$23,IF(140&lt;=20,'Rate Card'!$AH$23,IF(140&lt;=35,'Rate Card'!$AH$23+(140-20)*'Rate Card'!$AI$23,'Rate Card'!$AK$23+(140-35)*'Rate Card'!$AJ$23)))))))*(1+'Rate Card'!$C$6),2)*(IF('Rate Card'!$G$6="YES",'Rate Card'!$E$6,0)+IF('Rate Card'!$K$6="YES",'Rate Card'!$I$6,0)),2)</f>
        <v/>
      </c>
      <c r="J144" s="10">
        <f>""</f>
        <v/>
      </c>
      <c r="K144" s="10">
        <f>""</f>
        <v/>
      </c>
      <c r="L144" s="10">
        <f>""</f>
        <v/>
      </c>
      <c r="M144" s="10">
        <f>""</f>
        <v/>
      </c>
      <c r="N144" s="23">
        <f>IF(140&lt;=2,'Rate Card'!$AD$119,IF(140&lt;=5,'Rate Card'!$AE$119,IF(140&lt;=10,'Rate Card'!$AF$119,IF(140&lt;=15,'Rate Card'!$AG$119,IF(140&lt;=20,'Rate Card'!$AH$119,IF(140&lt;=35,'Rate Card'!$AH$119+(140-20)*'Rate Card'!$AI$119,'Rate Card'!$AK$119+(140-35)*'Rate Card'!$AJ$119))))))</f>
        <v/>
      </c>
      <c r="O144" s="23">
        <f>ROUND((IF(140&lt;=2,'Rate Card'!$AD$119,IF(140&lt;=5,'Rate Card'!$AE$119,IF(140&lt;=10,'Rate Card'!$AF$119,IF(140&lt;=15,'Rate Card'!$AG$119,IF(140&lt;=20,'Rate Card'!$AH$119,IF(140&lt;=35,'Rate Card'!$AH$119+(140-20)*'Rate Card'!$AI$119,'Rate Card'!$AK$119+(140-35)*'Rate Card'!$AJ$119)))))))*(1+'Rate Card'!$C$6),2)+ROUND(ROUND((IF(140&lt;=2,'Rate Card'!$AD$119,IF(140&lt;=5,'Rate Card'!$AE$119,IF(140&lt;=10,'Rate Card'!$AF$119,IF(140&lt;=15,'Rate Card'!$AG$119,IF(140&lt;=20,'Rate Card'!$AH$119,IF(140&lt;=35,'Rate Card'!$AH$119+(140-20)*'Rate Card'!$AI$119,'Rate Card'!$AK$119+(140-35)*'Rate Card'!$AJ$119)))))))*(1+'Rate Card'!$C$6),2)*(IF('Rate Card'!$G$6="YES",'Rate Card'!$E$6,0)+IF('Rate Card'!$K$6="YES",'Rate Card'!$I$6,0)),2)</f>
        <v/>
      </c>
      <c r="P144" s="23">
        <f>IF(140&lt;=2,'Rate Card'!$AD$120,IF(140&lt;=5,'Rate Card'!$AE$120,IF(140&lt;=10,'Rate Card'!$AF$120,IF(140&lt;=15,'Rate Card'!$AG$120,IF(140&lt;=20,'Rate Card'!$AH$120,IF(140&lt;=35,'Rate Card'!$AH$120+(140-20)*'Rate Card'!$AI$120,'Rate Card'!$AK$120+(140-35)*'Rate Card'!$AJ$120))))))</f>
        <v/>
      </c>
      <c r="Q144" s="12">
        <f>ROUND((IF(140&lt;=2,'Rate Card'!$AD$120,IF(140&lt;=5,'Rate Card'!$AE$120,IF(140&lt;=10,'Rate Card'!$AF$120,IF(140&lt;=15,'Rate Card'!$AG$120,IF(140&lt;=20,'Rate Card'!$AH$120,IF(140&lt;=35,'Rate Card'!$AH$120+(140-20)*'Rate Card'!$AI$120,'Rate Card'!$AK$120+(140-35)*'Rate Card'!$AJ$120)))))))*(1+'Rate Card'!$C$6),2)+ROUND(ROUND((IF(140&lt;=2,'Rate Card'!$AD$120,IF(140&lt;=5,'Rate Card'!$AE$120,IF(140&lt;=10,'Rate Card'!$AF$120,IF(140&lt;=15,'Rate Card'!$AG$120,IF(140&lt;=20,'Rate Card'!$AH$120,IF(140&lt;=35,'Rate Card'!$AH$120+(140-20)*'Rate Card'!$AI$120,'Rate Card'!$AK$120+(140-35)*'Rate Card'!$AJ$120)))))))*(1+'Rate Card'!$C$6),2)*(IF('Rate Card'!$G$6="YES",'Rate Card'!$E$6,0)+IF('Rate Card'!$K$6="YES",'Rate Card'!$I$6,0)),2)</f>
        <v/>
      </c>
    </row>
    <row r="145">
      <c r="A145" s="75" t="n">
        <v>141</v>
      </c>
      <c r="B145" s="10">
        <f>""</f>
        <v/>
      </c>
      <c r="C145" s="10">
        <f>""</f>
        <v/>
      </c>
      <c r="D145" s="10">
        <f>""</f>
        <v/>
      </c>
      <c r="E145" s="10">
        <f>""</f>
        <v/>
      </c>
      <c r="F145" s="23">
        <f>IF(141&lt;=2,'Rate Card'!$AD$22,IF(141&lt;=5,'Rate Card'!$AE$22,IF(141&lt;=10,'Rate Card'!$AF$22,IF(141&lt;=15,'Rate Card'!$AG$22,IF(141&lt;=20,'Rate Card'!$AH$22,IF(141&lt;=35,'Rate Card'!$AH$22+(141-20)*'Rate Card'!$AI$22,'Rate Card'!$AK$22+(141-35)*'Rate Card'!$AJ$22))))))</f>
        <v/>
      </c>
      <c r="G145" s="23">
        <f>ROUND((IF(141&lt;=2,'Rate Card'!$AD$22,IF(141&lt;=5,'Rate Card'!$AE$22,IF(141&lt;=10,'Rate Card'!$AF$22,IF(141&lt;=15,'Rate Card'!$AG$22,IF(141&lt;=20,'Rate Card'!$AH$22,IF(141&lt;=35,'Rate Card'!$AH$22+(141-20)*'Rate Card'!$AI$22,'Rate Card'!$AK$22+(141-35)*'Rate Card'!$AJ$22)))))))*(1+'Rate Card'!$C$6),2)+ROUND(ROUND((IF(141&lt;=2,'Rate Card'!$AD$22,IF(141&lt;=5,'Rate Card'!$AE$22,IF(141&lt;=10,'Rate Card'!$AF$22,IF(141&lt;=15,'Rate Card'!$AG$22,IF(141&lt;=20,'Rate Card'!$AH$22,IF(141&lt;=35,'Rate Card'!$AH$22+(141-20)*'Rate Card'!$AI$22,'Rate Card'!$AK$22+(141-35)*'Rate Card'!$AJ$22)))))))*(1+'Rate Card'!$C$6),2)*(IF('Rate Card'!$G$6="YES",'Rate Card'!$E$6,0)+IF('Rate Card'!$K$6="YES",'Rate Card'!$I$6,0)),2)</f>
        <v/>
      </c>
      <c r="H145" s="23">
        <f>IF(141&lt;=2,'Rate Card'!$AD$23,IF(141&lt;=5,'Rate Card'!$AE$23,IF(141&lt;=10,'Rate Card'!$AF$23,IF(141&lt;=15,'Rate Card'!$AG$23,IF(141&lt;=20,'Rate Card'!$AH$23,IF(141&lt;=35,'Rate Card'!$AH$23+(141-20)*'Rate Card'!$AI$23,'Rate Card'!$AK$23+(141-35)*'Rate Card'!$AJ$23))))))</f>
        <v/>
      </c>
      <c r="I145" s="23">
        <f>ROUND((IF(141&lt;=2,'Rate Card'!$AD$23,IF(141&lt;=5,'Rate Card'!$AE$23,IF(141&lt;=10,'Rate Card'!$AF$23,IF(141&lt;=15,'Rate Card'!$AG$23,IF(141&lt;=20,'Rate Card'!$AH$23,IF(141&lt;=35,'Rate Card'!$AH$23+(141-20)*'Rate Card'!$AI$23,'Rate Card'!$AK$23+(141-35)*'Rate Card'!$AJ$23)))))))*(1+'Rate Card'!$C$6),2)+ROUND(ROUND((IF(141&lt;=2,'Rate Card'!$AD$23,IF(141&lt;=5,'Rate Card'!$AE$23,IF(141&lt;=10,'Rate Card'!$AF$23,IF(141&lt;=15,'Rate Card'!$AG$23,IF(141&lt;=20,'Rate Card'!$AH$23,IF(141&lt;=35,'Rate Card'!$AH$23+(141-20)*'Rate Card'!$AI$23,'Rate Card'!$AK$23+(141-35)*'Rate Card'!$AJ$23)))))))*(1+'Rate Card'!$C$6),2)*(IF('Rate Card'!$G$6="YES",'Rate Card'!$E$6,0)+IF('Rate Card'!$K$6="YES",'Rate Card'!$I$6,0)),2)</f>
        <v/>
      </c>
      <c r="J145" s="10">
        <f>""</f>
        <v/>
      </c>
      <c r="K145" s="10">
        <f>""</f>
        <v/>
      </c>
      <c r="L145" s="10">
        <f>""</f>
        <v/>
      </c>
      <c r="M145" s="10">
        <f>""</f>
        <v/>
      </c>
      <c r="N145" s="23">
        <f>IF(141&lt;=2,'Rate Card'!$AD$119,IF(141&lt;=5,'Rate Card'!$AE$119,IF(141&lt;=10,'Rate Card'!$AF$119,IF(141&lt;=15,'Rate Card'!$AG$119,IF(141&lt;=20,'Rate Card'!$AH$119,IF(141&lt;=35,'Rate Card'!$AH$119+(141-20)*'Rate Card'!$AI$119,'Rate Card'!$AK$119+(141-35)*'Rate Card'!$AJ$119))))))</f>
        <v/>
      </c>
      <c r="O145" s="23">
        <f>ROUND((IF(141&lt;=2,'Rate Card'!$AD$119,IF(141&lt;=5,'Rate Card'!$AE$119,IF(141&lt;=10,'Rate Card'!$AF$119,IF(141&lt;=15,'Rate Card'!$AG$119,IF(141&lt;=20,'Rate Card'!$AH$119,IF(141&lt;=35,'Rate Card'!$AH$119+(141-20)*'Rate Card'!$AI$119,'Rate Card'!$AK$119+(141-35)*'Rate Card'!$AJ$119)))))))*(1+'Rate Card'!$C$6),2)+ROUND(ROUND((IF(141&lt;=2,'Rate Card'!$AD$119,IF(141&lt;=5,'Rate Card'!$AE$119,IF(141&lt;=10,'Rate Card'!$AF$119,IF(141&lt;=15,'Rate Card'!$AG$119,IF(141&lt;=20,'Rate Card'!$AH$119,IF(141&lt;=35,'Rate Card'!$AH$119+(141-20)*'Rate Card'!$AI$119,'Rate Card'!$AK$119+(141-35)*'Rate Card'!$AJ$119)))))))*(1+'Rate Card'!$C$6),2)*(IF('Rate Card'!$G$6="YES",'Rate Card'!$E$6,0)+IF('Rate Card'!$K$6="YES",'Rate Card'!$I$6,0)),2)</f>
        <v/>
      </c>
      <c r="P145" s="23">
        <f>IF(141&lt;=2,'Rate Card'!$AD$120,IF(141&lt;=5,'Rate Card'!$AE$120,IF(141&lt;=10,'Rate Card'!$AF$120,IF(141&lt;=15,'Rate Card'!$AG$120,IF(141&lt;=20,'Rate Card'!$AH$120,IF(141&lt;=35,'Rate Card'!$AH$120+(141-20)*'Rate Card'!$AI$120,'Rate Card'!$AK$120+(141-35)*'Rate Card'!$AJ$120))))))</f>
        <v/>
      </c>
      <c r="Q145" s="12">
        <f>ROUND((IF(141&lt;=2,'Rate Card'!$AD$120,IF(141&lt;=5,'Rate Card'!$AE$120,IF(141&lt;=10,'Rate Card'!$AF$120,IF(141&lt;=15,'Rate Card'!$AG$120,IF(141&lt;=20,'Rate Card'!$AH$120,IF(141&lt;=35,'Rate Card'!$AH$120+(141-20)*'Rate Card'!$AI$120,'Rate Card'!$AK$120+(141-35)*'Rate Card'!$AJ$120)))))))*(1+'Rate Card'!$C$6),2)+ROUND(ROUND((IF(141&lt;=2,'Rate Card'!$AD$120,IF(141&lt;=5,'Rate Card'!$AE$120,IF(141&lt;=10,'Rate Card'!$AF$120,IF(141&lt;=15,'Rate Card'!$AG$120,IF(141&lt;=20,'Rate Card'!$AH$120,IF(141&lt;=35,'Rate Card'!$AH$120+(141-20)*'Rate Card'!$AI$120,'Rate Card'!$AK$120+(141-35)*'Rate Card'!$AJ$120)))))))*(1+'Rate Card'!$C$6),2)*(IF('Rate Card'!$G$6="YES",'Rate Card'!$E$6,0)+IF('Rate Card'!$K$6="YES",'Rate Card'!$I$6,0)),2)</f>
        <v/>
      </c>
    </row>
    <row r="146">
      <c r="A146" s="75" t="n">
        <v>142</v>
      </c>
      <c r="B146" s="10">
        <f>""</f>
        <v/>
      </c>
      <c r="C146" s="10">
        <f>""</f>
        <v/>
      </c>
      <c r="D146" s="10">
        <f>""</f>
        <v/>
      </c>
      <c r="E146" s="10">
        <f>""</f>
        <v/>
      </c>
      <c r="F146" s="23">
        <f>IF(142&lt;=2,'Rate Card'!$AD$22,IF(142&lt;=5,'Rate Card'!$AE$22,IF(142&lt;=10,'Rate Card'!$AF$22,IF(142&lt;=15,'Rate Card'!$AG$22,IF(142&lt;=20,'Rate Card'!$AH$22,IF(142&lt;=35,'Rate Card'!$AH$22+(142-20)*'Rate Card'!$AI$22,'Rate Card'!$AK$22+(142-35)*'Rate Card'!$AJ$22))))))</f>
        <v/>
      </c>
      <c r="G146" s="23">
        <f>ROUND((IF(142&lt;=2,'Rate Card'!$AD$22,IF(142&lt;=5,'Rate Card'!$AE$22,IF(142&lt;=10,'Rate Card'!$AF$22,IF(142&lt;=15,'Rate Card'!$AG$22,IF(142&lt;=20,'Rate Card'!$AH$22,IF(142&lt;=35,'Rate Card'!$AH$22+(142-20)*'Rate Card'!$AI$22,'Rate Card'!$AK$22+(142-35)*'Rate Card'!$AJ$22)))))))*(1+'Rate Card'!$C$6),2)+ROUND(ROUND((IF(142&lt;=2,'Rate Card'!$AD$22,IF(142&lt;=5,'Rate Card'!$AE$22,IF(142&lt;=10,'Rate Card'!$AF$22,IF(142&lt;=15,'Rate Card'!$AG$22,IF(142&lt;=20,'Rate Card'!$AH$22,IF(142&lt;=35,'Rate Card'!$AH$22+(142-20)*'Rate Card'!$AI$22,'Rate Card'!$AK$22+(142-35)*'Rate Card'!$AJ$22)))))))*(1+'Rate Card'!$C$6),2)*(IF('Rate Card'!$G$6="YES",'Rate Card'!$E$6,0)+IF('Rate Card'!$K$6="YES",'Rate Card'!$I$6,0)),2)</f>
        <v/>
      </c>
      <c r="H146" s="23">
        <f>IF(142&lt;=2,'Rate Card'!$AD$23,IF(142&lt;=5,'Rate Card'!$AE$23,IF(142&lt;=10,'Rate Card'!$AF$23,IF(142&lt;=15,'Rate Card'!$AG$23,IF(142&lt;=20,'Rate Card'!$AH$23,IF(142&lt;=35,'Rate Card'!$AH$23+(142-20)*'Rate Card'!$AI$23,'Rate Card'!$AK$23+(142-35)*'Rate Card'!$AJ$23))))))</f>
        <v/>
      </c>
      <c r="I146" s="23">
        <f>ROUND((IF(142&lt;=2,'Rate Card'!$AD$23,IF(142&lt;=5,'Rate Card'!$AE$23,IF(142&lt;=10,'Rate Card'!$AF$23,IF(142&lt;=15,'Rate Card'!$AG$23,IF(142&lt;=20,'Rate Card'!$AH$23,IF(142&lt;=35,'Rate Card'!$AH$23+(142-20)*'Rate Card'!$AI$23,'Rate Card'!$AK$23+(142-35)*'Rate Card'!$AJ$23)))))))*(1+'Rate Card'!$C$6),2)+ROUND(ROUND((IF(142&lt;=2,'Rate Card'!$AD$23,IF(142&lt;=5,'Rate Card'!$AE$23,IF(142&lt;=10,'Rate Card'!$AF$23,IF(142&lt;=15,'Rate Card'!$AG$23,IF(142&lt;=20,'Rate Card'!$AH$23,IF(142&lt;=35,'Rate Card'!$AH$23+(142-20)*'Rate Card'!$AI$23,'Rate Card'!$AK$23+(142-35)*'Rate Card'!$AJ$23)))))))*(1+'Rate Card'!$C$6),2)*(IF('Rate Card'!$G$6="YES",'Rate Card'!$E$6,0)+IF('Rate Card'!$K$6="YES",'Rate Card'!$I$6,0)),2)</f>
        <v/>
      </c>
      <c r="J146" s="10">
        <f>""</f>
        <v/>
      </c>
      <c r="K146" s="10">
        <f>""</f>
        <v/>
      </c>
      <c r="L146" s="10">
        <f>""</f>
        <v/>
      </c>
      <c r="M146" s="10">
        <f>""</f>
        <v/>
      </c>
      <c r="N146" s="23">
        <f>IF(142&lt;=2,'Rate Card'!$AD$119,IF(142&lt;=5,'Rate Card'!$AE$119,IF(142&lt;=10,'Rate Card'!$AF$119,IF(142&lt;=15,'Rate Card'!$AG$119,IF(142&lt;=20,'Rate Card'!$AH$119,IF(142&lt;=35,'Rate Card'!$AH$119+(142-20)*'Rate Card'!$AI$119,'Rate Card'!$AK$119+(142-35)*'Rate Card'!$AJ$119))))))</f>
        <v/>
      </c>
      <c r="O146" s="23">
        <f>ROUND((IF(142&lt;=2,'Rate Card'!$AD$119,IF(142&lt;=5,'Rate Card'!$AE$119,IF(142&lt;=10,'Rate Card'!$AF$119,IF(142&lt;=15,'Rate Card'!$AG$119,IF(142&lt;=20,'Rate Card'!$AH$119,IF(142&lt;=35,'Rate Card'!$AH$119+(142-20)*'Rate Card'!$AI$119,'Rate Card'!$AK$119+(142-35)*'Rate Card'!$AJ$119)))))))*(1+'Rate Card'!$C$6),2)+ROUND(ROUND((IF(142&lt;=2,'Rate Card'!$AD$119,IF(142&lt;=5,'Rate Card'!$AE$119,IF(142&lt;=10,'Rate Card'!$AF$119,IF(142&lt;=15,'Rate Card'!$AG$119,IF(142&lt;=20,'Rate Card'!$AH$119,IF(142&lt;=35,'Rate Card'!$AH$119+(142-20)*'Rate Card'!$AI$119,'Rate Card'!$AK$119+(142-35)*'Rate Card'!$AJ$119)))))))*(1+'Rate Card'!$C$6),2)*(IF('Rate Card'!$G$6="YES",'Rate Card'!$E$6,0)+IF('Rate Card'!$K$6="YES",'Rate Card'!$I$6,0)),2)</f>
        <v/>
      </c>
      <c r="P146" s="23">
        <f>IF(142&lt;=2,'Rate Card'!$AD$120,IF(142&lt;=5,'Rate Card'!$AE$120,IF(142&lt;=10,'Rate Card'!$AF$120,IF(142&lt;=15,'Rate Card'!$AG$120,IF(142&lt;=20,'Rate Card'!$AH$120,IF(142&lt;=35,'Rate Card'!$AH$120+(142-20)*'Rate Card'!$AI$120,'Rate Card'!$AK$120+(142-35)*'Rate Card'!$AJ$120))))))</f>
        <v/>
      </c>
      <c r="Q146" s="12">
        <f>ROUND((IF(142&lt;=2,'Rate Card'!$AD$120,IF(142&lt;=5,'Rate Card'!$AE$120,IF(142&lt;=10,'Rate Card'!$AF$120,IF(142&lt;=15,'Rate Card'!$AG$120,IF(142&lt;=20,'Rate Card'!$AH$120,IF(142&lt;=35,'Rate Card'!$AH$120+(142-20)*'Rate Card'!$AI$120,'Rate Card'!$AK$120+(142-35)*'Rate Card'!$AJ$120)))))))*(1+'Rate Card'!$C$6),2)+ROUND(ROUND((IF(142&lt;=2,'Rate Card'!$AD$120,IF(142&lt;=5,'Rate Card'!$AE$120,IF(142&lt;=10,'Rate Card'!$AF$120,IF(142&lt;=15,'Rate Card'!$AG$120,IF(142&lt;=20,'Rate Card'!$AH$120,IF(142&lt;=35,'Rate Card'!$AH$120+(142-20)*'Rate Card'!$AI$120,'Rate Card'!$AK$120+(142-35)*'Rate Card'!$AJ$120)))))))*(1+'Rate Card'!$C$6),2)*(IF('Rate Card'!$G$6="YES",'Rate Card'!$E$6,0)+IF('Rate Card'!$K$6="YES",'Rate Card'!$I$6,0)),2)</f>
        <v/>
      </c>
    </row>
    <row r="147">
      <c r="A147" s="75" t="n">
        <v>143</v>
      </c>
      <c r="B147" s="10">
        <f>""</f>
        <v/>
      </c>
      <c r="C147" s="10">
        <f>""</f>
        <v/>
      </c>
      <c r="D147" s="10">
        <f>""</f>
        <v/>
      </c>
      <c r="E147" s="10">
        <f>""</f>
        <v/>
      </c>
      <c r="F147" s="23">
        <f>IF(143&lt;=2,'Rate Card'!$AD$22,IF(143&lt;=5,'Rate Card'!$AE$22,IF(143&lt;=10,'Rate Card'!$AF$22,IF(143&lt;=15,'Rate Card'!$AG$22,IF(143&lt;=20,'Rate Card'!$AH$22,IF(143&lt;=35,'Rate Card'!$AH$22+(143-20)*'Rate Card'!$AI$22,'Rate Card'!$AK$22+(143-35)*'Rate Card'!$AJ$22))))))</f>
        <v/>
      </c>
      <c r="G147" s="23">
        <f>ROUND((IF(143&lt;=2,'Rate Card'!$AD$22,IF(143&lt;=5,'Rate Card'!$AE$22,IF(143&lt;=10,'Rate Card'!$AF$22,IF(143&lt;=15,'Rate Card'!$AG$22,IF(143&lt;=20,'Rate Card'!$AH$22,IF(143&lt;=35,'Rate Card'!$AH$22+(143-20)*'Rate Card'!$AI$22,'Rate Card'!$AK$22+(143-35)*'Rate Card'!$AJ$22)))))))*(1+'Rate Card'!$C$6),2)+ROUND(ROUND((IF(143&lt;=2,'Rate Card'!$AD$22,IF(143&lt;=5,'Rate Card'!$AE$22,IF(143&lt;=10,'Rate Card'!$AF$22,IF(143&lt;=15,'Rate Card'!$AG$22,IF(143&lt;=20,'Rate Card'!$AH$22,IF(143&lt;=35,'Rate Card'!$AH$22+(143-20)*'Rate Card'!$AI$22,'Rate Card'!$AK$22+(143-35)*'Rate Card'!$AJ$22)))))))*(1+'Rate Card'!$C$6),2)*(IF('Rate Card'!$G$6="YES",'Rate Card'!$E$6,0)+IF('Rate Card'!$K$6="YES",'Rate Card'!$I$6,0)),2)</f>
        <v/>
      </c>
      <c r="H147" s="23">
        <f>IF(143&lt;=2,'Rate Card'!$AD$23,IF(143&lt;=5,'Rate Card'!$AE$23,IF(143&lt;=10,'Rate Card'!$AF$23,IF(143&lt;=15,'Rate Card'!$AG$23,IF(143&lt;=20,'Rate Card'!$AH$23,IF(143&lt;=35,'Rate Card'!$AH$23+(143-20)*'Rate Card'!$AI$23,'Rate Card'!$AK$23+(143-35)*'Rate Card'!$AJ$23))))))</f>
        <v/>
      </c>
      <c r="I147" s="23">
        <f>ROUND((IF(143&lt;=2,'Rate Card'!$AD$23,IF(143&lt;=5,'Rate Card'!$AE$23,IF(143&lt;=10,'Rate Card'!$AF$23,IF(143&lt;=15,'Rate Card'!$AG$23,IF(143&lt;=20,'Rate Card'!$AH$23,IF(143&lt;=35,'Rate Card'!$AH$23+(143-20)*'Rate Card'!$AI$23,'Rate Card'!$AK$23+(143-35)*'Rate Card'!$AJ$23)))))))*(1+'Rate Card'!$C$6),2)+ROUND(ROUND((IF(143&lt;=2,'Rate Card'!$AD$23,IF(143&lt;=5,'Rate Card'!$AE$23,IF(143&lt;=10,'Rate Card'!$AF$23,IF(143&lt;=15,'Rate Card'!$AG$23,IF(143&lt;=20,'Rate Card'!$AH$23,IF(143&lt;=35,'Rate Card'!$AH$23+(143-20)*'Rate Card'!$AI$23,'Rate Card'!$AK$23+(143-35)*'Rate Card'!$AJ$23)))))))*(1+'Rate Card'!$C$6),2)*(IF('Rate Card'!$G$6="YES",'Rate Card'!$E$6,0)+IF('Rate Card'!$K$6="YES",'Rate Card'!$I$6,0)),2)</f>
        <v/>
      </c>
      <c r="J147" s="10">
        <f>""</f>
        <v/>
      </c>
      <c r="K147" s="10">
        <f>""</f>
        <v/>
      </c>
      <c r="L147" s="10">
        <f>""</f>
        <v/>
      </c>
      <c r="M147" s="10">
        <f>""</f>
        <v/>
      </c>
      <c r="N147" s="23">
        <f>IF(143&lt;=2,'Rate Card'!$AD$119,IF(143&lt;=5,'Rate Card'!$AE$119,IF(143&lt;=10,'Rate Card'!$AF$119,IF(143&lt;=15,'Rate Card'!$AG$119,IF(143&lt;=20,'Rate Card'!$AH$119,IF(143&lt;=35,'Rate Card'!$AH$119+(143-20)*'Rate Card'!$AI$119,'Rate Card'!$AK$119+(143-35)*'Rate Card'!$AJ$119))))))</f>
        <v/>
      </c>
      <c r="O147" s="23">
        <f>ROUND((IF(143&lt;=2,'Rate Card'!$AD$119,IF(143&lt;=5,'Rate Card'!$AE$119,IF(143&lt;=10,'Rate Card'!$AF$119,IF(143&lt;=15,'Rate Card'!$AG$119,IF(143&lt;=20,'Rate Card'!$AH$119,IF(143&lt;=35,'Rate Card'!$AH$119+(143-20)*'Rate Card'!$AI$119,'Rate Card'!$AK$119+(143-35)*'Rate Card'!$AJ$119)))))))*(1+'Rate Card'!$C$6),2)+ROUND(ROUND((IF(143&lt;=2,'Rate Card'!$AD$119,IF(143&lt;=5,'Rate Card'!$AE$119,IF(143&lt;=10,'Rate Card'!$AF$119,IF(143&lt;=15,'Rate Card'!$AG$119,IF(143&lt;=20,'Rate Card'!$AH$119,IF(143&lt;=35,'Rate Card'!$AH$119+(143-20)*'Rate Card'!$AI$119,'Rate Card'!$AK$119+(143-35)*'Rate Card'!$AJ$119)))))))*(1+'Rate Card'!$C$6),2)*(IF('Rate Card'!$G$6="YES",'Rate Card'!$E$6,0)+IF('Rate Card'!$K$6="YES",'Rate Card'!$I$6,0)),2)</f>
        <v/>
      </c>
      <c r="P147" s="23">
        <f>IF(143&lt;=2,'Rate Card'!$AD$120,IF(143&lt;=5,'Rate Card'!$AE$120,IF(143&lt;=10,'Rate Card'!$AF$120,IF(143&lt;=15,'Rate Card'!$AG$120,IF(143&lt;=20,'Rate Card'!$AH$120,IF(143&lt;=35,'Rate Card'!$AH$120+(143-20)*'Rate Card'!$AI$120,'Rate Card'!$AK$120+(143-35)*'Rate Card'!$AJ$120))))))</f>
        <v/>
      </c>
      <c r="Q147" s="12">
        <f>ROUND((IF(143&lt;=2,'Rate Card'!$AD$120,IF(143&lt;=5,'Rate Card'!$AE$120,IF(143&lt;=10,'Rate Card'!$AF$120,IF(143&lt;=15,'Rate Card'!$AG$120,IF(143&lt;=20,'Rate Card'!$AH$120,IF(143&lt;=35,'Rate Card'!$AH$120+(143-20)*'Rate Card'!$AI$120,'Rate Card'!$AK$120+(143-35)*'Rate Card'!$AJ$120)))))))*(1+'Rate Card'!$C$6),2)+ROUND(ROUND((IF(143&lt;=2,'Rate Card'!$AD$120,IF(143&lt;=5,'Rate Card'!$AE$120,IF(143&lt;=10,'Rate Card'!$AF$120,IF(143&lt;=15,'Rate Card'!$AG$120,IF(143&lt;=20,'Rate Card'!$AH$120,IF(143&lt;=35,'Rate Card'!$AH$120+(143-20)*'Rate Card'!$AI$120,'Rate Card'!$AK$120+(143-35)*'Rate Card'!$AJ$120)))))))*(1+'Rate Card'!$C$6),2)*(IF('Rate Card'!$G$6="YES",'Rate Card'!$E$6,0)+IF('Rate Card'!$K$6="YES",'Rate Card'!$I$6,0)),2)</f>
        <v/>
      </c>
    </row>
    <row r="148">
      <c r="A148" s="75" t="n">
        <v>144</v>
      </c>
      <c r="B148" s="10">
        <f>""</f>
        <v/>
      </c>
      <c r="C148" s="10">
        <f>""</f>
        <v/>
      </c>
      <c r="D148" s="10">
        <f>""</f>
        <v/>
      </c>
      <c r="E148" s="10">
        <f>""</f>
        <v/>
      </c>
      <c r="F148" s="23">
        <f>IF(144&lt;=2,'Rate Card'!$AD$22,IF(144&lt;=5,'Rate Card'!$AE$22,IF(144&lt;=10,'Rate Card'!$AF$22,IF(144&lt;=15,'Rate Card'!$AG$22,IF(144&lt;=20,'Rate Card'!$AH$22,IF(144&lt;=35,'Rate Card'!$AH$22+(144-20)*'Rate Card'!$AI$22,'Rate Card'!$AK$22+(144-35)*'Rate Card'!$AJ$22))))))</f>
        <v/>
      </c>
      <c r="G148" s="23">
        <f>ROUND((IF(144&lt;=2,'Rate Card'!$AD$22,IF(144&lt;=5,'Rate Card'!$AE$22,IF(144&lt;=10,'Rate Card'!$AF$22,IF(144&lt;=15,'Rate Card'!$AG$22,IF(144&lt;=20,'Rate Card'!$AH$22,IF(144&lt;=35,'Rate Card'!$AH$22+(144-20)*'Rate Card'!$AI$22,'Rate Card'!$AK$22+(144-35)*'Rate Card'!$AJ$22)))))))*(1+'Rate Card'!$C$6),2)+ROUND(ROUND((IF(144&lt;=2,'Rate Card'!$AD$22,IF(144&lt;=5,'Rate Card'!$AE$22,IF(144&lt;=10,'Rate Card'!$AF$22,IF(144&lt;=15,'Rate Card'!$AG$22,IF(144&lt;=20,'Rate Card'!$AH$22,IF(144&lt;=35,'Rate Card'!$AH$22+(144-20)*'Rate Card'!$AI$22,'Rate Card'!$AK$22+(144-35)*'Rate Card'!$AJ$22)))))))*(1+'Rate Card'!$C$6),2)*(IF('Rate Card'!$G$6="YES",'Rate Card'!$E$6,0)+IF('Rate Card'!$K$6="YES",'Rate Card'!$I$6,0)),2)</f>
        <v/>
      </c>
      <c r="H148" s="23">
        <f>IF(144&lt;=2,'Rate Card'!$AD$23,IF(144&lt;=5,'Rate Card'!$AE$23,IF(144&lt;=10,'Rate Card'!$AF$23,IF(144&lt;=15,'Rate Card'!$AG$23,IF(144&lt;=20,'Rate Card'!$AH$23,IF(144&lt;=35,'Rate Card'!$AH$23+(144-20)*'Rate Card'!$AI$23,'Rate Card'!$AK$23+(144-35)*'Rate Card'!$AJ$23))))))</f>
        <v/>
      </c>
      <c r="I148" s="23">
        <f>ROUND((IF(144&lt;=2,'Rate Card'!$AD$23,IF(144&lt;=5,'Rate Card'!$AE$23,IF(144&lt;=10,'Rate Card'!$AF$23,IF(144&lt;=15,'Rate Card'!$AG$23,IF(144&lt;=20,'Rate Card'!$AH$23,IF(144&lt;=35,'Rate Card'!$AH$23+(144-20)*'Rate Card'!$AI$23,'Rate Card'!$AK$23+(144-35)*'Rate Card'!$AJ$23)))))))*(1+'Rate Card'!$C$6),2)+ROUND(ROUND((IF(144&lt;=2,'Rate Card'!$AD$23,IF(144&lt;=5,'Rate Card'!$AE$23,IF(144&lt;=10,'Rate Card'!$AF$23,IF(144&lt;=15,'Rate Card'!$AG$23,IF(144&lt;=20,'Rate Card'!$AH$23,IF(144&lt;=35,'Rate Card'!$AH$23+(144-20)*'Rate Card'!$AI$23,'Rate Card'!$AK$23+(144-35)*'Rate Card'!$AJ$23)))))))*(1+'Rate Card'!$C$6),2)*(IF('Rate Card'!$G$6="YES",'Rate Card'!$E$6,0)+IF('Rate Card'!$K$6="YES",'Rate Card'!$I$6,0)),2)</f>
        <v/>
      </c>
      <c r="J148" s="10">
        <f>""</f>
        <v/>
      </c>
      <c r="K148" s="10">
        <f>""</f>
        <v/>
      </c>
      <c r="L148" s="10">
        <f>""</f>
        <v/>
      </c>
      <c r="M148" s="10">
        <f>""</f>
        <v/>
      </c>
      <c r="N148" s="23">
        <f>IF(144&lt;=2,'Rate Card'!$AD$119,IF(144&lt;=5,'Rate Card'!$AE$119,IF(144&lt;=10,'Rate Card'!$AF$119,IF(144&lt;=15,'Rate Card'!$AG$119,IF(144&lt;=20,'Rate Card'!$AH$119,IF(144&lt;=35,'Rate Card'!$AH$119+(144-20)*'Rate Card'!$AI$119,'Rate Card'!$AK$119+(144-35)*'Rate Card'!$AJ$119))))))</f>
        <v/>
      </c>
      <c r="O148" s="23">
        <f>ROUND((IF(144&lt;=2,'Rate Card'!$AD$119,IF(144&lt;=5,'Rate Card'!$AE$119,IF(144&lt;=10,'Rate Card'!$AF$119,IF(144&lt;=15,'Rate Card'!$AG$119,IF(144&lt;=20,'Rate Card'!$AH$119,IF(144&lt;=35,'Rate Card'!$AH$119+(144-20)*'Rate Card'!$AI$119,'Rate Card'!$AK$119+(144-35)*'Rate Card'!$AJ$119)))))))*(1+'Rate Card'!$C$6),2)+ROUND(ROUND((IF(144&lt;=2,'Rate Card'!$AD$119,IF(144&lt;=5,'Rate Card'!$AE$119,IF(144&lt;=10,'Rate Card'!$AF$119,IF(144&lt;=15,'Rate Card'!$AG$119,IF(144&lt;=20,'Rate Card'!$AH$119,IF(144&lt;=35,'Rate Card'!$AH$119+(144-20)*'Rate Card'!$AI$119,'Rate Card'!$AK$119+(144-35)*'Rate Card'!$AJ$119)))))))*(1+'Rate Card'!$C$6),2)*(IF('Rate Card'!$G$6="YES",'Rate Card'!$E$6,0)+IF('Rate Card'!$K$6="YES",'Rate Card'!$I$6,0)),2)</f>
        <v/>
      </c>
      <c r="P148" s="23">
        <f>IF(144&lt;=2,'Rate Card'!$AD$120,IF(144&lt;=5,'Rate Card'!$AE$120,IF(144&lt;=10,'Rate Card'!$AF$120,IF(144&lt;=15,'Rate Card'!$AG$120,IF(144&lt;=20,'Rate Card'!$AH$120,IF(144&lt;=35,'Rate Card'!$AH$120+(144-20)*'Rate Card'!$AI$120,'Rate Card'!$AK$120+(144-35)*'Rate Card'!$AJ$120))))))</f>
        <v/>
      </c>
      <c r="Q148" s="12">
        <f>ROUND((IF(144&lt;=2,'Rate Card'!$AD$120,IF(144&lt;=5,'Rate Card'!$AE$120,IF(144&lt;=10,'Rate Card'!$AF$120,IF(144&lt;=15,'Rate Card'!$AG$120,IF(144&lt;=20,'Rate Card'!$AH$120,IF(144&lt;=35,'Rate Card'!$AH$120+(144-20)*'Rate Card'!$AI$120,'Rate Card'!$AK$120+(144-35)*'Rate Card'!$AJ$120)))))))*(1+'Rate Card'!$C$6),2)+ROUND(ROUND((IF(144&lt;=2,'Rate Card'!$AD$120,IF(144&lt;=5,'Rate Card'!$AE$120,IF(144&lt;=10,'Rate Card'!$AF$120,IF(144&lt;=15,'Rate Card'!$AG$120,IF(144&lt;=20,'Rate Card'!$AH$120,IF(144&lt;=35,'Rate Card'!$AH$120+(144-20)*'Rate Card'!$AI$120,'Rate Card'!$AK$120+(144-35)*'Rate Card'!$AJ$120)))))))*(1+'Rate Card'!$C$6),2)*(IF('Rate Card'!$G$6="YES",'Rate Card'!$E$6,0)+IF('Rate Card'!$K$6="YES",'Rate Card'!$I$6,0)),2)</f>
        <v/>
      </c>
    </row>
    <row r="149">
      <c r="A149" s="75" t="n">
        <v>145</v>
      </c>
      <c r="B149" s="10">
        <f>""</f>
        <v/>
      </c>
      <c r="C149" s="10">
        <f>""</f>
        <v/>
      </c>
      <c r="D149" s="10">
        <f>""</f>
        <v/>
      </c>
      <c r="E149" s="10">
        <f>""</f>
        <v/>
      </c>
      <c r="F149" s="23">
        <f>IF(145&lt;=2,'Rate Card'!$AD$22,IF(145&lt;=5,'Rate Card'!$AE$22,IF(145&lt;=10,'Rate Card'!$AF$22,IF(145&lt;=15,'Rate Card'!$AG$22,IF(145&lt;=20,'Rate Card'!$AH$22,IF(145&lt;=35,'Rate Card'!$AH$22+(145-20)*'Rate Card'!$AI$22,'Rate Card'!$AK$22+(145-35)*'Rate Card'!$AJ$22))))))</f>
        <v/>
      </c>
      <c r="G149" s="23">
        <f>ROUND((IF(145&lt;=2,'Rate Card'!$AD$22,IF(145&lt;=5,'Rate Card'!$AE$22,IF(145&lt;=10,'Rate Card'!$AF$22,IF(145&lt;=15,'Rate Card'!$AG$22,IF(145&lt;=20,'Rate Card'!$AH$22,IF(145&lt;=35,'Rate Card'!$AH$22+(145-20)*'Rate Card'!$AI$22,'Rate Card'!$AK$22+(145-35)*'Rate Card'!$AJ$22)))))))*(1+'Rate Card'!$C$6),2)+ROUND(ROUND((IF(145&lt;=2,'Rate Card'!$AD$22,IF(145&lt;=5,'Rate Card'!$AE$22,IF(145&lt;=10,'Rate Card'!$AF$22,IF(145&lt;=15,'Rate Card'!$AG$22,IF(145&lt;=20,'Rate Card'!$AH$22,IF(145&lt;=35,'Rate Card'!$AH$22+(145-20)*'Rate Card'!$AI$22,'Rate Card'!$AK$22+(145-35)*'Rate Card'!$AJ$22)))))))*(1+'Rate Card'!$C$6),2)*(IF('Rate Card'!$G$6="YES",'Rate Card'!$E$6,0)+IF('Rate Card'!$K$6="YES",'Rate Card'!$I$6,0)),2)</f>
        <v/>
      </c>
      <c r="H149" s="23">
        <f>IF(145&lt;=2,'Rate Card'!$AD$23,IF(145&lt;=5,'Rate Card'!$AE$23,IF(145&lt;=10,'Rate Card'!$AF$23,IF(145&lt;=15,'Rate Card'!$AG$23,IF(145&lt;=20,'Rate Card'!$AH$23,IF(145&lt;=35,'Rate Card'!$AH$23+(145-20)*'Rate Card'!$AI$23,'Rate Card'!$AK$23+(145-35)*'Rate Card'!$AJ$23))))))</f>
        <v/>
      </c>
      <c r="I149" s="23">
        <f>ROUND((IF(145&lt;=2,'Rate Card'!$AD$23,IF(145&lt;=5,'Rate Card'!$AE$23,IF(145&lt;=10,'Rate Card'!$AF$23,IF(145&lt;=15,'Rate Card'!$AG$23,IF(145&lt;=20,'Rate Card'!$AH$23,IF(145&lt;=35,'Rate Card'!$AH$23+(145-20)*'Rate Card'!$AI$23,'Rate Card'!$AK$23+(145-35)*'Rate Card'!$AJ$23)))))))*(1+'Rate Card'!$C$6),2)+ROUND(ROUND((IF(145&lt;=2,'Rate Card'!$AD$23,IF(145&lt;=5,'Rate Card'!$AE$23,IF(145&lt;=10,'Rate Card'!$AF$23,IF(145&lt;=15,'Rate Card'!$AG$23,IF(145&lt;=20,'Rate Card'!$AH$23,IF(145&lt;=35,'Rate Card'!$AH$23+(145-20)*'Rate Card'!$AI$23,'Rate Card'!$AK$23+(145-35)*'Rate Card'!$AJ$23)))))))*(1+'Rate Card'!$C$6),2)*(IF('Rate Card'!$G$6="YES",'Rate Card'!$E$6,0)+IF('Rate Card'!$K$6="YES",'Rate Card'!$I$6,0)),2)</f>
        <v/>
      </c>
      <c r="J149" s="10">
        <f>""</f>
        <v/>
      </c>
      <c r="K149" s="10">
        <f>""</f>
        <v/>
      </c>
      <c r="L149" s="10">
        <f>""</f>
        <v/>
      </c>
      <c r="M149" s="10">
        <f>""</f>
        <v/>
      </c>
      <c r="N149" s="23">
        <f>IF(145&lt;=2,'Rate Card'!$AD$119,IF(145&lt;=5,'Rate Card'!$AE$119,IF(145&lt;=10,'Rate Card'!$AF$119,IF(145&lt;=15,'Rate Card'!$AG$119,IF(145&lt;=20,'Rate Card'!$AH$119,IF(145&lt;=35,'Rate Card'!$AH$119+(145-20)*'Rate Card'!$AI$119,'Rate Card'!$AK$119+(145-35)*'Rate Card'!$AJ$119))))))</f>
        <v/>
      </c>
      <c r="O149" s="23">
        <f>ROUND((IF(145&lt;=2,'Rate Card'!$AD$119,IF(145&lt;=5,'Rate Card'!$AE$119,IF(145&lt;=10,'Rate Card'!$AF$119,IF(145&lt;=15,'Rate Card'!$AG$119,IF(145&lt;=20,'Rate Card'!$AH$119,IF(145&lt;=35,'Rate Card'!$AH$119+(145-20)*'Rate Card'!$AI$119,'Rate Card'!$AK$119+(145-35)*'Rate Card'!$AJ$119)))))))*(1+'Rate Card'!$C$6),2)+ROUND(ROUND((IF(145&lt;=2,'Rate Card'!$AD$119,IF(145&lt;=5,'Rate Card'!$AE$119,IF(145&lt;=10,'Rate Card'!$AF$119,IF(145&lt;=15,'Rate Card'!$AG$119,IF(145&lt;=20,'Rate Card'!$AH$119,IF(145&lt;=35,'Rate Card'!$AH$119+(145-20)*'Rate Card'!$AI$119,'Rate Card'!$AK$119+(145-35)*'Rate Card'!$AJ$119)))))))*(1+'Rate Card'!$C$6),2)*(IF('Rate Card'!$G$6="YES",'Rate Card'!$E$6,0)+IF('Rate Card'!$K$6="YES",'Rate Card'!$I$6,0)),2)</f>
        <v/>
      </c>
      <c r="P149" s="23">
        <f>IF(145&lt;=2,'Rate Card'!$AD$120,IF(145&lt;=5,'Rate Card'!$AE$120,IF(145&lt;=10,'Rate Card'!$AF$120,IF(145&lt;=15,'Rate Card'!$AG$120,IF(145&lt;=20,'Rate Card'!$AH$120,IF(145&lt;=35,'Rate Card'!$AH$120+(145-20)*'Rate Card'!$AI$120,'Rate Card'!$AK$120+(145-35)*'Rate Card'!$AJ$120))))))</f>
        <v/>
      </c>
      <c r="Q149" s="12">
        <f>ROUND((IF(145&lt;=2,'Rate Card'!$AD$120,IF(145&lt;=5,'Rate Card'!$AE$120,IF(145&lt;=10,'Rate Card'!$AF$120,IF(145&lt;=15,'Rate Card'!$AG$120,IF(145&lt;=20,'Rate Card'!$AH$120,IF(145&lt;=35,'Rate Card'!$AH$120+(145-20)*'Rate Card'!$AI$120,'Rate Card'!$AK$120+(145-35)*'Rate Card'!$AJ$120)))))))*(1+'Rate Card'!$C$6),2)+ROUND(ROUND((IF(145&lt;=2,'Rate Card'!$AD$120,IF(145&lt;=5,'Rate Card'!$AE$120,IF(145&lt;=10,'Rate Card'!$AF$120,IF(145&lt;=15,'Rate Card'!$AG$120,IF(145&lt;=20,'Rate Card'!$AH$120,IF(145&lt;=35,'Rate Card'!$AH$120+(145-20)*'Rate Card'!$AI$120,'Rate Card'!$AK$120+(145-35)*'Rate Card'!$AJ$120)))))))*(1+'Rate Card'!$C$6),2)*(IF('Rate Card'!$G$6="YES",'Rate Card'!$E$6,0)+IF('Rate Card'!$K$6="YES",'Rate Card'!$I$6,0)),2)</f>
        <v/>
      </c>
    </row>
    <row r="150">
      <c r="A150" s="75" t="n">
        <v>146</v>
      </c>
      <c r="B150" s="10">
        <f>""</f>
        <v/>
      </c>
      <c r="C150" s="10">
        <f>""</f>
        <v/>
      </c>
      <c r="D150" s="10">
        <f>""</f>
        <v/>
      </c>
      <c r="E150" s="10">
        <f>""</f>
        <v/>
      </c>
      <c r="F150" s="23">
        <f>IF(146&lt;=2,'Rate Card'!$AD$22,IF(146&lt;=5,'Rate Card'!$AE$22,IF(146&lt;=10,'Rate Card'!$AF$22,IF(146&lt;=15,'Rate Card'!$AG$22,IF(146&lt;=20,'Rate Card'!$AH$22,IF(146&lt;=35,'Rate Card'!$AH$22+(146-20)*'Rate Card'!$AI$22,'Rate Card'!$AK$22+(146-35)*'Rate Card'!$AJ$22))))))</f>
        <v/>
      </c>
      <c r="G150" s="23">
        <f>ROUND((IF(146&lt;=2,'Rate Card'!$AD$22,IF(146&lt;=5,'Rate Card'!$AE$22,IF(146&lt;=10,'Rate Card'!$AF$22,IF(146&lt;=15,'Rate Card'!$AG$22,IF(146&lt;=20,'Rate Card'!$AH$22,IF(146&lt;=35,'Rate Card'!$AH$22+(146-20)*'Rate Card'!$AI$22,'Rate Card'!$AK$22+(146-35)*'Rate Card'!$AJ$22)))))))*(1+'Rate Card'!$C$6),2)+ROUND(ROUND((IF(146&lt;=2,'Rate Card'!$AD$22,IF(146&lt;=5,'Rate Card'!$AE$22,IF(146&lt;=10,'Rate Card'!$AF$22,IF(146&lt;=15,'Rate Card'!$AG$22,IF(146&lt;=20,'Rate Card'!$AH$22,IF(146&lt;=35,'Rate Card'!$AH$22+(146-20)*'Rate Card'!$AI$22,'Rate Card'!$AK$22+(146-35)*'Rate Card'!$AJ$22)))))))*(1+'Rate Card'!$C$6),2)*(IF('Rate Card'!$G$6="YES",'Rate Card'!$E$6,0)+IF('Rate Card'!$K$6="YES",'Rate Card'!$I$6,0)),2)</f>
        <v/>
      </c>
      <c r="H150" s="23">
        <f>IF(146&lt;=2,'Rate Card'!$AD$23,IF(146&lt;=5,'Rate Card'!$AE$23,IF(146&lt;=10,'Rate Card'!$AF$23,IF(146&lt;=15,'Rate Card'!$AG$23,IF(146&lt;=20,'Rate Card'!$AH$23,IF(146&lt;=35,'Rate Card'!$AH$23+(146-20)*'Rate Card'!$AI$23,'Rate Card'!$AK$23+(146-35)*'Rate Card'!$AJ$23))))))</f>
        <v/>
      </c>
      <c r="I150" s="23">
        <f>ROUND((IF(146&lt;=2,'Rate Card'!$AD$23,IF(146&lt;=5,'Rate Card'!$AE$23,IF(146&lt;=10,'Rate Card'!$AF$23,IF(146&lt;=15,'Rate Card'!$AG$23,IF(146&lt;=20,'Rate Card'!$AH$23,IF(146&lt;=35,'Rate Card'!$AH$23+(146-20)*'Rate Card'!$AI$23,'Rate Card'!$AK$23+(146-35)*'Rate Card'!$AJ$23)))))))*(1+'Rate Card'!$C$6),2)+ROUND(ROUND((IF(146&lt;=2,'Rate Card'!$AD$23,IF(146&lt;=5,'Rate Card'!$AE$23,IF(146&lt;=10,'Rate Card'!$AF$23,IF(146&lt;=15,'Rate Card'!$AG$23,IF(146&lt;=20,'Rate Card'!$AH$23,IF(146&lt;=35,'Rate Card'!$AH$23+(146-20)*'Rate Card'!$AI$23,'Rate Card'!$AK$23+(146-35)*'Rate Card'!$AJ$23)))))))*(1+'Rate Card'!$C$6),2)*(IF('Rate Card'!$G$6="YES",'Rate Card'!$E$6,0)+IF('Rate Card'!$K$6="YES",'Rate Card'!$I$6,0)),2)</f>
        <v/>
      </c>
      <c r="J150" s="10">
        <f>""</f>
        <v/>
      </c>
      <c r="K150" s="10">
        <f>""</f>
        <v/>
      </c>
      <c r="L150" s="10">
        <f>""</f>
        <v/>
      </c>
      <c r="M150" s="10">
        <f>""</f>
        <v/>
      </c>
      <c r="N150" s="23">
        <f>IF(146&lt;=2,'Rate Card'!$AD$119,IF(146&lt;=5,'Rate Card'!$AE$119,IF(146&lt;=10,'Rate Card'!$AF$119,IF(146&lt;=15,'Rate Card'!$AG$119,IF(146&lt;=20,'Rate Card'!$AH$119,IF(146&lt;=35,'Rate Card'!$AH$119+(146-20)*'Rate Card'!$AI$119,'Rate Card'!$AK$119+(146-35)*'Rate Card'!$AJ$119))))))</f>
        <v/>
      </c>
      <c r="O150" s="23">
        <f>ROUND((IF(146&lt;=2,'Rate Card'!$AD$119,IF(146&lt;=5,'Rate Card'!$AE$119,IF(146&lt;=10,'Rate Card'!$AF$119,IF(146&lt;=15,'Rate Card'!$AG$119,IF(146&lt;=20,'Rate Card'!$AH$119,IF(146&lt;=35,'Rate Card'!$AH$119+(146-20)*'Rate Card'!$AI$119,'Rate Card'!$AK$119+(146-35)*'Rate Card'!$AJ$119)))))))*(1+'Rate Card'!$C$6),2)+ROUND(ROUND((IF(146&lt;=2,'Rate Card'!$AD$119,IF(146&lt;=5,'Rate Card'!$AE$119,IF(146&lt;=10,'Rate Card'!$AF$119,IF(146&lt;=15,'Rate Card'!$AG$119,IF(146&lt;=20,'Rate Card'!$AH$119,IF(146&lt;=35,'Rate Card'!$AH$119+(146-20)*'Rate Card'!$AI$119,'Rate Card'!$AK$119+(146-35)*'Rate Card'!$AJ$119)))))))*(1+'Rate Card'!$C$6),2)*(IF('Rate Card'!$G$6="YES",'Rate Card'!$E$6,0)+IF('Rate Card'!$K$6="YES",'Rate Card'!$I$6,0)),2)</f>
        <v/>
      </c>
      <c r="P150" s="23">
        <f>IF(146&lt;=2,'Rate Card'!$AD$120,IF(146&lt;=5,'Rate Card'!$AE$120,IF(146&lt;=10,'Rate Card'!$AF$120,IF(146&lt;=15,'Rate Card'!$AG$120,IF(146&lt;=20,'Rate Card'!$AH$120,IF(146&lt;=35,'Rate Card'!$AH$120+(146-20)*'Rate Card'!$AI$120,'Rate Card'!$AK$120+(146-35)*'Rate Card'!$AJ$120))))))</f>
        <v/>
      </c>
      <c r="Q150" s="12">
        <f>ROUND((IF(146&lt;=2,'Rate Card'!$AD$120,IF(146&lt;=5,'Rate Card'!$AE$120,IF(146&lt;=10,'Rate Card'!$AF$120,IF(146&lt;=15,'Rate Card'!$AG$120,IF(146&lt;=20,'Rate Card'!$AH$120,IF(146&lt;=35,'Rate Card'!$AH$120+(146-20)*'Rate Card'!$AI$120,'Rate Card'!$AK$120+(146-35)*'Rate Card'!$AJ$120)))))))*(1+'Rate Card'!$C$6),2)+ROUND(ROUND((IF(146&lt;=2,'Rate Card'!$AD$120,IF(146&lt;=5,'Rate Card'!$AE$120,IF(146&lt;=10,'Rate Card'!$AF$120,IF(146&lt;=15,'Rate Card'!$AG$120,IF(146&lt;=20,'Rate Card'!$AH$120,IF(146&lt;=35,'Rate Card'!$AH$120+(146-20)*'Rate Card'!$AI$120,'Rate Card'!$AK$120+(146-35)*'Rate Card'!$AJ$120)))))))*(1+'Rate Card'!$C$6),2)*(IF('Rate Card'!$G$6="YES",'Rate Card'!$E$6,0)+IF('Rate Card'!$K$6="YES",'Rate Card'!$I$6,0)),2)</f>
        <v/>
      </c>
    </row>
    <row r="151">
      <c r="A151" s="75" t="n">
        <v>147</v>
      </c>
      <c r="B151" s="10">
        <f>""</f>
        <v/>
      </c>
      <c r="C151" s="10">
        <f>""</f>
        <v/>
      </c>
      <c r="D151" s="10">
        <f>""</f>
        <v/>
      </c>
      <c r="E151" s="10">
        <f>""</f>
        <v/>
      </c>
      <c r="F151" s="23">
        <f>IF(147&lt;=2,'Rate Card'!$AD$22,IF(147&lt;=5,'Rate Card'!$AE$22,IF(147&lt;=10,'Rate Card'!$AF$22,IF(147&lt;=15,'Rate Card'!$AG$22,IF(147&lt;=20,'Rate Card'!$AH$22,IF(147&lt;=35,'Rate Card'!$AH$22+(147-20)*'Rate Card'!$AI$22,'Rate Card'!$AK$22+(147-35)*'Rate Card'!$AJ$22))))))</f>
        <v/>
      </c>
      <c r="G151" s="23">
        <f>ROUND((IF(147&lt;=2,'Rate Card'!$AD$22,IF(147&lt;=5,'Rate Card'!$AE$22,IF(147&lt;=10,'Rate Card'!$AF$22,IF(147&lt;=15,'Rate Card'!$AG$22,IF(147&lt;=20,'Rate Card'!$AH$22,IF(147&lt;=35,'Rate Card'!$AH$22+(147-20)*'Rate Card'!$AI$22,'Rate Card'!$AK$22+(147-35)*'Rate Card'!$AJ$22)))))))*(1+'Rate Card'!$C$6),2)+ROUND(ROUND((IF(147&lt;=2,'Rate Card'!$AD$22,IF(147&lt;=5,'Rate Card'!$AE$22,IF(147&lt;=10,'Rate Card'!$AF$22,IF(147&lt;=15,'Rate Card'!$AG$22,IF(147&lt;=20,'Rate Card'!$AH$22,IF(147&lt;=35,'Rate Card'!$AH$22+(147-20)*'Rate Card'!$AI$22,'Rate Card'!$AK$22+(147-35)*'Rate Card'!$AJ$22)))))))*(1+'Rate Card'!$C$6),2)*(IF('Rate Card'!$G$6="YES",'Rate Card'!$E$6,0)+IF('Rate Card'!$K$6="YES",'Rate Card'!$I$6,0)),2)</f>
        <v/>
      </c>
      <c r="H151" s="23">
        <f>IF(147&lt;=2,'Rate Card'!$AD$23,IF(147&lt;=5,'Rate Card'!$AE$23,IF(147&lt;=10,'Rate Card'!$AF$23,IF(147&lt;=15,'Rate Card'!$AG$23,IF(147&lt;=20,'Rate Card'!$AH$23,IF(147&lt;=35,'Rate Card'!$AH$23+(147-20)*'Rate Card'!$AI$23,'Rate Card'!$AK$23+(147-35)*'Rate Card'!$AJ$23))))))</f>
        <v/>
      </c>
      <c r="I151" s="23">
        <f>ROUND((IF(147&lt;=2,'Rate Card'!$AD$23,IF(147&lt;=5,'Rate Card'!$AE$23,IF(147&lt;=10,'Rate Card'!$AF$23,IF(147&lt;=15,'Rate Card'!$AG$23,IF(147&lt;=20,'Rate Card'!$AH$23,IF(147&lt;=35,'Rate Card'!$AH$23+(147-20)*'Rate Card'!$AI$23,'Rate Card'!$AK$23+(147-35)*'Rate Card'!$AJ$23)))))))*(1+'Rate Card'!$C$6),2)+ROUND(ROUND((IF(147&lt;=2,'Rate Card'!$AD$23,IF(147&lt;=5,'Rate Card'!$AE$23,IF(147&lt;=10,'Rate Card'!$AF$23,IF(147&lt;=15,'Rate Card'!$AG$23,IF(147&lt;=20,'Rate Card'!$AH$23,IF(147&lt;=35,'Rate Card'!$AH$23+(147-20)*'Rate Card'!$AI$23,'Rate Card'!$AK$23+(147-35)*'Rate Card'!$AJ$23)))))))*(1+'Rate Card'!$C$6),2)*(IF('Rate Card'!$G$6="YES",'Rate Card'!$E$6,0)+IF('Rate Card'!$K$6="YES",'Rate Card'!$I$6,0)),2)</f>
        <v/>
      </c>
      <c r="J151" s="10">
        <f>""</f>
        <v/>
      </c>
      <c r="K151" s="10">
        <f>""</f>
        <v/>
      </c>
      <c r="L151" s="10">
        <f>""</f>
        <v/>
      </c>
      <c r="M151" s="10">
        <f>""</f>
        <v/>
      </c>
      <c r="N151" s="23">
        <f>IF(147&lt;=2,'Rate Card'!$AD$119,IF(147&lt;=5,'Rate Card'!$AE$119,IF(147&lt;=10,'Rate Card'!$AF$119,IF(147&lt;=15,'Rate Card'!$AG$119,IF(147&lt;=20,'Rate Card'!$AH$119,IF(147&lt;=35,'Rate Card'!$AH$119+(147-20)*'Rate Card'!$AI$119,'Rate Card'!$AK$119+(147-35)*'Rate Card'!$AJ$119))))))</f>
        <v/>
      </c>
      <c r="O151" s="23">
        <f>ROUND((IF(147&lt;=2,'Rate Card'!$AD$119,IF(147&lt;=5,'Rate Card'!$AE$119,IF(147&lt;=10,'Rate Card'!$AF$119,IF(147&lt;=15,'Rate Card'!$AG$119,IF(147&lt;=20,'Rate Card'!$AH$119,IF(147&lt;=35,'Rate Card'!$AH$119+(147-20)*'Rate Card'!$AI$119,'Rate Card'!$AK$119+(147-35)*'Rate Card'!$AJ$119)))))))*(1+'Rate Card'!$C$6),2)+ROUND(ROUND((IF(147&lt;=2,'Rate Card'!$AD$119,IF(147&lt;=5,'Rate Card'!$AE$119,IF(147&lt;=10,'Rate Card'!$AF$119,IF(147&lt;=15,'Rate Card'!$AG$119,IF(147&lt;=20,'Rate Card'!$AH$119,IF(147&lt;=35,'Rate Card'!$AH$119+(147-20)*'Rate Card'!$AI$119,'Rate Card'!$AK$119+(147-35)*'Rate Card'!$AJ$119)))))))*(1+'Rate Card'!$C$6),2)*(IF('Rate Card'!$G$6="YES",'Rate Card'!$E$6,0)+IF('Rate Card'!$K$6="YES",'Rate Card'!$I$6,0)),2)</f>
        <v/>
      </c>
      <c r="P151" s="23">
        <f>IF(147&lt;=2,'Rate Card'!$AD$120,IF(147&lt;=5,'Rate Card'!$AE$120,IF(147&lt;=10,'Rate Card'!$AF$120,IF(147&lt;=15,'Rate Card'!$AG$120,IF(147&lt;=20,'Rate Card'!$AH$120,IF(147&lt;=35,'Rate Card'!$AH$120+(147-20)*'Rate Card'!$AI$120,'Rate Card'!$AK$120+(147-35)*'Rate Card'!$AJ$120))))))</f>
        <v/>
      </c>
      <c r="Q151" s="12">
        <f>ROUND((IF(147&lt;=2,'Rate Card'!$AD$120,IF(147&lt;=5,'Rate Card'!$AE$120,IF(147&lt;=10,'Rate Card'!$AF$120,IF(147&lt;=15,'Rate Card'!$AG$120,IF(147&lt;=20,'Rate Card'!$AH$120,IF(147&lt;=35,'Rate Card'!$AH$120+(147-20)*'Rate Card'!$AI$120,'Rate Card'!$AK$120+(147-35)*'Rate Card'!$AJ$120)))))))*(1+'Rate Card'!$C$6),2)+ROUND(ROUND((IF(147&lt;=2,'Rate Card'!$AD$120,IF(147&lt;=5,'Rate Card'!$AE$120,IF(147&lt;=10,'Rate Card'!$AF$120,IF(147&lt;=15,'Rate Card'!$AG$120,IF(147&lt;=20,'Rate Card'!$AH$120,IF(147&lt;=35,'Rate Card'!$AH$120+(147-20)*'Rate Card'!$AI$120,'Rate Card'!$AK$120+(147-35)*'Rate Card'!$AJ$120)))))))*(1+'Rate Card'!$C$6),2)*(IF('Rate Card'!$G$6="YES",'Rate Card'!$E$6,0)+IF('Rate Card'!$K$6="YES",'Rate Card'!$I$6,0)),2)</f>
        <v/>
      </c>
    </row>
    <row r="152">
      <c r="A152" s="75" t="n">
        <v>148</v>
      </c>
      <c r="B152" s="10">
        <f>""</f>
        <v/>
      </c>
      <c r="C152" s="10">
        <f>""</f>
        <v/>
      </c>
      <c r="D152" s="10">
        <f>""</f>
        <v/>
      </c>
      <c r="E152" s="10">
        <f>""</f>
        <v/>
      </c>
      <c r="F152" s="23">
        <f>IF(148&lt;=2,'Rate Card'!$AD$22,IF(148&lt;=5,'Rate Card'!$AE$22,IF(148&lt;=10,'Rate Card'!$AF$22,IF(148&lt;=15,'Rate Card'!$AG$22,IF(148&lt;=20,'Rate Card'!$AH$22,IF(148&lt;=35,'Rate Card'!$AH$22+(148-20)*'Rate Card'!$AI$22,'Rate Card'!$AK$22+(148-35)*'Rate Card'!$AJ$22))))))</f>
        <v/>
      </c>
      <c r="G152" s="23">
        <f>ROUND((IF(148&lt;=2,'Rate Card'!$AD$22,IF(148&lt;=5,'Rate Card'!$AE$22,IF(148&lt;=10,'Rate Card'!$AF$22,IF(148&lt;=15,'Rate Card'!$AG$22,IF(148&lt;=20,'Rate Card'!$AH$22,IF(148&lt;=35,'Rate Card'!$AH$22+(148-20)*'Rate Card'!$AI$22,'Rate Card'!$AK$22+(148-35)*'Rate Card'!$AJ$22)))))))*(1+'Rate Card'!$C$6),2)+ROUND(ROUND((IF(148&lt;=2,'Rate Card'!$AD$22,IF(148&lt;=5,'Rate Card'!$AE$22,IF(148&lt;=10,'Rate Card'!$AF$22,IF(148&lt;=15,'Rate Card'!$AG$22,IF(148&lt;=20,'Rate Card'!$AH$22,IF(148&lt;=35,'Rate Card'!$AH$22+(148-20)*'Rate Card'!$AI$22,'Rate Card'!$AK$22+(148-35)*'Rate Card'!$AJ$22)))))))*(1+'Rate Card'!$C$6),2)*(IF('Rate Card'!$G$6="YES",'Rate Card'!$E$6,0)+IF('Rate Card'!$K$6="YES",'Rate Card'!$I$6,0)),2)</f>
        <v/>
      </c>
      <c r="H152" s="23">
        <f>IF(148&lt;=2,'Rate Card'!$AD$23,IF(148&lt;=5,'Rate Card'!$AE$23,IF(148&lt;=10,'Rate Card'!$AF$23,IF(148&lt;=15,'Rate Card'!$AG$23,IF(148&lt;=20,'Rate Card'!$AH$23,IF(148&lt;=35,'Rate Card'!$AH$23+(148-20)*'Rate Card'!$AI$23,'Rate Card'!$AK$23+(148-35)*'Rate Card'!$AJ$23))))))</f>
        <v/>
      </c>
      <c r="I152" s="23">
        <f>ROUND((IF(148&lt;=2,'Rate Card'!$AD$23,IF(148&lt;=5,'Rate Card'!$AE$23,IF(148&lt;=10,'Rate Card'!$AF$23,IF(148&lt;=15,'Rate Card'!$AG$23,IF(148&lt;=20,'Rate Card'!$AH$23,IF(148&lt;=35,'Rate Card'!$AH$23+(148-20)*'Rate Card'!$AI$23,'Rate Card'!$AK$23+(148-35)*'Rate Card'!$AJ$23)))))))*(1+'Rate Card'!$C$6),2)+ROUND(ROUND((IF(148&lt;=2,'Rate Card'!$AD$23,IF(148&lt;=5,'Rate Card'!$AE$23,IF(148&lt;=10,'Rate Card'!$AF$23,IF(148&lt;=15,'Rate Card'!$AG$23,IF(148&lt;=20,'Rate Card'!$AH$23,IF(148&lt;=35,'Rate Card'!$AH$23+(148-20)*'Rate Card'!$AI$23,'Rate Card'!$AK$23+(148-35)*'Rate Card'!$AJ$23)))))))*(1+'Rate Card'!$C$6),2)*(IF('Rate Card'!$G$6="YES",'Rate Card'!$E$6,0)+IF('Rate Card'!$K$6="YES",'Rate Card'!$I$6,0)),2)</f>
        <v/>
      </c>
      <c r="J152" s="10">
        <f>""</f>
        <v/>
      </c>
      <c r="K152" s="10">
        <f>""</f>
        <v/>
      </c>
      <c r="L152" s="10">
        <f>""</f>
        <v/>
      </c>
      <c r="M152" s="10">
        <f>""</f>
        <v/>
      </c>
      <c r="N152" s="23">
        <f>IF(148&lt;=2,'Rate Card'!$AD$119,IF(148&lt;=5,'Rate Card'!$AE$119,IF(148&lt;=10,'Rate Card'!$AF$119,IF(148&lt;=15,'Rate Card'!$AG$119,IF(148&lt;=20,'Rate Card'!$AH$119,IF(148&lt;=35,'Rate Card'!$AH$119+(148-20)*'Rate Card'!$AI$119,'Rate Card'!$AK$119+(148-35)*'Rate Card'!$AJ$119))))))</f>
        <v/>
      </c>
      <c r="O152" s="23">
        <f>ROUND((IF(148&lt;=2,'Rate Card'!$AD$119,IF(148&lt;=5,'Rate Card'!$AE$119,IF(148&lt;=10,'Rate Card'!$AF$119,IF(148&lt;=15,'Rate Card'!$AG$119,IF(148&lt;=20,'Rate Card'!$AH$119,IF(148&lt;=35,'Rate Card'!$AH$119+(148-20)*'Rate Card'!$AI$119,'Rate Card'!$AK$119+(148-35)*'Rate Card'!$AJ$119)))))))*(1+'Rate Card'!$C$6),2)+ROUND(ROUND((IF(148&lt;=2,'Rate Card'!$AD$119,IF(148&lt;=5,'Rate Card'!$AE$119,IF(148&lt;=10,'Rate Card'!$AF$119,IF(148&lt;=15,'Rate Card'!$AG$119,IF(148&lt;=20,'Rate Card'!$AH$119,IF(148&lt;=35,'Rate Card'!$AH$119+(148-20)*'Rate Card'!$AI$119,'Rate Card'!$AK$119+(148-35)*'Rate Card'!$AJ$119)))))))*(1+'Rate Card'!$C$6),2)*(IF('Rate Card'!$G$6="YES",'Rate Card'!$E$6,0)+IF('Rate Card'!$K$6="YES",'Rate Card'!$I$6,0)),2)</f>
        <v/>
      </c>
      <c r="P152" s="23">
        <f>IF(148&lt;=2,'Rate Card'!$AD$120,IF(148&lt;=5,'Rate Card'!$AE$120,IF(148&lt;=10,'Rate Card'!$AF$120,IF(148&lt;=15,'Rate Card'!$AG$120,IF(148&lt;=20,'Rate Card'!$AH$120,IF(148&lt;=35,'Rate Card'!$AH$120+(148-20)*'Rate Card'!$AI$120,'Rate Card'!$AK$120+(148-35)*'Rate Card'!$AJ$120))))))</f>
        <v/>
      </c>
      <c r="Q152" s="12">
        <f>ROUND((IF(148&lt;=2,'Rate Card'!$AD$120,IF(148&lt;=5,'Rate Card'!$AE$120,IF(148&lt;=10,'Rate Card'!$AF$120,IF(148&lt;=15,'Rate Card'!$AG$120,IF(148&lt;=20,'Rate Card'!$AH$120,IF(148&lt;=35,'Rate Card'!$AH$120+(148-20)*'Rate Card'!$AI$120,'Rate Card'!$AK$120+(148-35)*'Rate Card'!$AJ$120)))))))*(1+'Rate Card'!$C$6),2)+ROUND(ROUND((IF(148&lt;=2,'Rate Card'!$AD$120,IF(148&lt;=5,'Rate Card'!$AE$120,IF(148&lt;=10,'Rate Card'!$AF$120,IF(148&lt;=15,'Rate Card'!$AG$120,IF(148&lt;=20,'Rate Card'!$AH$120,IF(148&lt;=35,'Rate Card'!$AH$120+(148-20)*'Rate Card'!$AI$120,'Rate Card'!$AK$120+(148-35)*'Rate Card'!$AJ$120)))))))*(1+'Rate Card'!$C$6),2)*(IF('Rate Card'!$G$6="YES",'Rate Card'!$E$6,0)+IF('Rate Card'!$K$6="YES",'Rate Card'!$I$6,0)),2)</f>
        <v/>
      </c>
    </row>
    <row r="153">
      <c r="A153" s="75" t="n">
        <v>149</v>
      </c>
      <c r="B153" s="10">
        <f>""</f>
        <v/>
      </c>
      <c r="C153" s="10">
        <f>""</f>
        <v/>
      </c>
      <c r="D153" s="10">
        <f>""</f>
        <v/>
      </c>
      <c r="E153" s="10">
        <f>""</f>
        <v/>
      </c>
      <c r="F153" s="23">
        <f>IF(149&lt;=2,'Rate Card'!$AD$22,IF(149&lt;=5,'Rate Card'!$AE$22,IF(149&lt;=10,'Rate Card'!$AF$22,IF(149&lt;=15,'Rate Card'!$AG$22,IF(149&lt;=20,'Rate Card'!$AH$22,IF(149&lt;=35,'Rate Card'!$AH$22+(149-20)*'Rate Card'!$AI$22,'Rate Card'!$AK$22+(149-35)*'Rate Card'!$AJ$22))))))</f>
        <v/>
      </c>
      <c r="G153" s="23">
        <f>ROUND((IF(149&lt;=2,'Rate Card'!$AD$22,IF(149&lt;=5,'Rate Card'!$AE$22,IF(149&lt;=10,'Rate Card'!$AF$22,IF(149&lt;=15,'Rate Card'!$AG$22,IF(149&lt;=20,'Rate Card'!$AH$22,IF(149&lt;=35,'Rate Card'!$AH$22+(149-20)*'Rate Card'!$AI$22,'Rate Card'!$AK$22+(149-35)*'Rate Card'!$AJ$22)))))))*(1+'Rate Card'!$C$6),2)+ROUND(ROUND((IF(149&lt;=2,'Rate Card'!$AD$22,IF(149&lt;=5,'Rate Card'!$AE$22,IF(149&lt;=10,'Rate Card'!$AF$22,IF(149&lt;=15,'Rate Card'!$AG$22,IF(149&lt;=20,'Rate Card'!$AH$22,IF(149&lt;=35,'Rate Card'!$AH$22+(149-20)*'Rate Card'!$AI$22,'Rate Card'!$AK$22+(149-35)*'Rate Card'!$AJ$22)))))))*(1+'Rate Card'!$C$6),2)*(IF('Rate Card'!$G$6="YES",'Rate Card'!$E$6,0)+IF('Rate Card'!$K$6="YES",'Rate Card'!$I$6,0)),2)</f>
        <v/>
      </c>
      <c r="H153" s="23">
        <f>IF(149&lt;=2,'Rate Card'!$AD$23,IF(149&lt;=5,'Rate Card'!$AE$23,IF(149&lt;=10,'Rate Card'!$AF$23,IF(149&lt;=15,'Rate Card'!$AG$23,IF(149&lt;=20,'Rate Card'!$AH$23,IF(149&lt;=35,'Rate Card'!$AH$23+(149-20)*'Rate Card'!$AI$23,'Rate Card'!$AK$23+(149-35)*'Rate Card'!$AJ$23))))))</f>
        <v/>
      </c>
      <c r="I153" s="23">
        <f>ROUND((IF(149&lt;=2,'Rate Card'!$AD$23,IF(149&lt;=5,'Rate Card'!$AE$23,IF(149&lt;=10,'Rate Card'!$AF$23,IF(149&lt;=15,'Rate Card'!$AG$23,IF(149&lt;=20,'Rate Card'!$AH$23,IF(149&lt;=35,'Rate Card'!$AH$23+(149-20)*'Rate Card'!$AI$23,'Rate Card'!$AK$23+(149-35)*'Rate Card'!$AJ$23)))))))*(1+'Rate Card'!$C$6),2)+ROUND(ROUND((IF(149&lt;=2,'Rate Card'!$AD$23,IF(149&lt;=5,'Rate Card'!$AE$23,IF(149&lt;=10,'Rate Card'!$AF$23,IF(149&lt;=15,'Rate Card'!$AG$23,IF(149&lt;=20,'Rate Card'!$AH$23,IF(149&lt;=35,'Rate Card'!$AH$23+(149-20)*'Rate Card'!$AI$23,'Rate Card'!$AK$23+(149-35)*'Rate Card'!$AJ$23)))))))*(1+'Rate Card'!$C$6),2)*(IF('Rate Card'!$G$6="YES",'Rate Card'!$E$6,0)+IF('Rate Card'!$K$6="YES",'Rate Card'!$I$6,0)),2)</f>
        <v/>
      </c>
      <c r="J153" s="10">
        <f>""</f>
        <v/>
      </c>
      <c r="K153" s="10">
        <f>""</f>
        <v/>
      </c>
      <c r="L153" s="10">
        <f>""</f>
        <v/>
      </c>
      <c r="M153" s="10">
        <f>""</f>
        <v/>
      </c>
      <c r="N153" s="23">
        <f>IF(149&lt;=2,'Rate Card'!$AD$119,IF(149&lt;=5,'Rate Card'!$AE$119,IF(149&lt;=10,'Rate Card'!$AF$119,IF(149&lt;=15,'Rate Card'!$AG$119,IF(149&lt;=20,'Rate Card'!$AH$119,IF(149&lt;=35,'Rate Card'!$AH$119+(149-20)*'Rate Card'!$AI$119,'Rate Card'!$AK$119+(149-35)*'Rate Card'!$AJ$119))))))</f>
        <v/>
      </c>
      <c r="O153" s="23">
        <f>ROUND((IF(149&lt;=2,'Rate Card'!$AD$119,IF(149&lt;=5,'Rate Card'!$AE$119,IF(149&lt;=10,'Rate Card'!$AF$119,IF(149&lt;=15,'Rate Card'!$AG$119,IF(149&lt;=20,'Rate Card'!$AH$119,IF(149&lt;=35,'Rate Card'!$AH$119+(149-20)*'Rate Card'!$AI$119,'Rate Card'!$AK$119+(149-35)*'Rate Card'!$AJ$119)))))))*(1+'Rate Card'!$C$6),2)+ROUND(ROUND((IF(149&lt;=2,'Rate Card'!$AD$119,IF(149&lt;=5,'Rate Card'!$AE$119,IF(149&lt;=10,'Rate Card'!$AF$119,IF(149&lt;=15,'Rate Card'!$AG$119,IF(149&lt;=20,'Rate Card'!$AH$119,IF(149&lt;=35,'Rate Card'!$AH$119+(149-20)*'Rate Card'!$AI$119,'Rate Card'!$AK$119+(149-35)*'Rate Card'!$AJ$119)))))))*(1+'Rate Card'!$C$6),2)*(IF('Rate Card'!$G$6="YES",'Rate Card'!$E$6,0)+IF('Rate Card'!$K$6="YES",'Rate Card'!$I$6,0)),2)</f>
        <v/>
      </c>
      <c r="P153" s="23">
        <f>IF(149&lt;=2,'Rate Card'!$AD$120,IF(149&lt;=5,'Rate Card'!$AE$120,IF(149&lt;=10,'Rate Card'!$AF$120,IF(149&lt;=15,'Rate Card'!$AG$120,IF(149&lt;=20,'Rate Card'!$AH$120,IF(149&lt;=35,'Rate Card'!$AH$120+(149-20)*'Rate Card'!$AI$120,'Rate Card'!$AK$120+(149-35)*'Rate Card'!$AJ$120))))))</f>
        <v/>
      </c>
      <c r="Q153" s="12">
        <f>ROUND((IF(149&lt;=2,'Rate Card'!$AD$120,IF(149&lt;=5,'Rate Card'!$AE$120,IF(149&lt;=10,'Rate Card'!$AF$120,IF(149&lt;=15,'Rate Card'!$AG$120,IF(149&lt;=20,'Rate Card'!$AH$120,IF(149&lt;=35,'Rate Card'!$AH$120+(149-20)*'Rate Card'!$AI$120,'Rate Card'!$AK$120+(149-35)*'Rate Card'!$AJ$120)))))))*(1+'Rate Card'!$C$6),2)+ROUND(ROUND((IF(149&lt;=2,'Rate Card'!$AD$120,IF(149&lt;=5,'Rate Card'!$AE$120,IF(149&lt;=10,'Rate Card'!$AF$120,IF(149&lt;=15,'Rate Card'!$AG$120,IF(149&lt;=20,'Rate Card'!$AH$120,IF(149&lt;=35,'Rate Card'!$AH$120+(149-20)*'Rate Card'!$AI$120,'Rate Card'!$AK$120+(149-35)*'Rate Card'!$AJ$120)))))))*(1+'Rate Card'!$C$6),2)*(IF('Rate Card'!$G$6="YES",'Rate Card'!$E$6,0)+IF('Rate Card'!$K$6="YES",'Rate Card'!$I$6,0)),2)</f>
        <v/>
      </c>
    </row>
    <row r="154">
      <c r="A154" s="75" t="n">
        <v>150</v>
      </c>
      <c r="B154" s="10">
        <f>""</f>
        <v/>
      </c>
      <c r="C154" s="10">
        <f>""</f>
        <v/>
      </c>
      <c r="D154" s="10">
        <f>""</f>
        <v/>
      </c>
      <c r="E154" s="10">
        <f>""</f>
        <v/>
      </c>
      <c r="F154" s="23">
        <f>IF(150&lt;=2,'Rate Card'!$AD$22,IF(150&lt;=5,'Rate Card'!$AE$22,IF(150&lt;=10,'Rate Card'!$AF$22,IF(150&lt;=15,'Rate Card'!$AG$22,IF(150&lt;=20,'Rate Card'!$AH$22,IF(150&lt;=35,'Rate Card'!$AH$22+(150-20)*'Rate Card'!$AI$22,'Rate Card'!$AK$22+(150-35)*'Rate Card'!$AJ$22))))))</f>
        <v/>
      </c>
      <c r="G154" s="23">
        <f>ROUND((IF(150&lt;=2,'Rate Card'!$AD$22,IF(150&lt;=5,'Rate Card'!$AE$22,IF(150&lt;=10,'Rate Card'!$AF$22,IF(150&lt;=15,'Rate Card'!$AG$22,IF(150&lt;=20,'Rate Card'!$AH$22,IF(150&lt;=35,'Rate Card'!$AH$22+(150-20)*'Rate Card'!$AI$22,'Rate Card'!$AK$22+(150-35)*'Rate Card'!$AJ$22)))))))*(1+'Rate Card'!$C$6),2)+ROUND(ROUND((IF(150&lt;=2,'Rate Card'!$AD$22,IF(150&lt;=5,'Rate Card'!$AE$22,IF(150&lt;=10,'Rate Card'!$AF$22,IF(150&lt;=15,'Rate Card'!$AG$22,IF(150&lt;=20,'Rate Card'!$AH$22,IF(150&lt;=35,'Rate Card'!$AH$22+(150-20)*'Rate Card'!$AI$22,'Rate Card'!$AK$22+(150-35)*'Rate Card'!$AJ$22)))))))*(1+'Rate Card'!$C$6),2)*(IF('Rate Card'!$G$6="YES",'Rate Card'!$E$6,0)+IF('Rate Card'!$K$6="YES",'Rate Card'!$I$6,0)),2)</f>
        <v/>
      </c>
      <c r="H154" s="23">
        <f>IF(150&lt;=2,'Rate Card'!$AD$23,IF(150&lt;=5,'Rate Card'!$AE$23,IF(150&lt;=10,'Rate Card'!$AF$23,IF(150&lt;=15,'Rate Card'!$AG$23,IF(150&lt;=20,'Rate Card'!$AH$23,IF(150&lt;=35,'Rate Card'!$AH$23+(150-20)*'Rate Card'!$AI$23,'Rate Card'!$AK$23+(150-35)*'Rate Card'!$AJ$23))))))</f>
        <v/>
      </c>
      <c r="I154" s="23">
        <f>ROUND((IF(150&lt;=2,'Rate Card'!$AD$23,IF(150&lt;=5,'Rate Card'!$AE$23,IF(150&lt;=10,'Rate Card'!$AF$23,IF(150&lt;=15,'Rate Card'!$AG$23,IF(150&lt;=20,'Rate Card'!$AH$23,IF(150&lt;=35,'Rate Card'!$AH$23+(150-20)*'Rate Card'!$AI$23,'Rate Card'!$AK$23+(150-35)*'Rate Card'!$AJ$23)))))))*(1+'Rate Card'!$C$6),2)+ROUND(ROUND((IF(150&lt;=2,'Rate Card'!$AD$23,IF(150&lt;=5,'Rate Card'!$AE$23,IF(150&lt;=10,'Rate Card'!$AF$23,IF(150&lt;=15,'Rate Card'!$AG$23,IF(150&lt;=20,'Rate Card'!$AH$23,IF(150&lt;=35,'Rate Card'!$AH$23+(150-20)*'Rate Card'!$AI$23,'Rate Card'!$AK$23+(150-35)*'Rate Card'!$AJ$23)))))))*(1+'Rate Card'!$C$6),2)*(IF('Rate Card'!$G$6="YES",'Rate Card'!$E$6,0)+IF('Rate Card'!$K$6="YES",'Rate Card'!$I$6,0)),2)</f>
        <v/>
      </c>
      <c r="J154" s="10">
        <f>""</f>
        <v/>
      </c>
      <c r="K154" s="10">
        <f>""</f>
        <v/>
      </c>
      <c r="L154" s="10">
        <f>""</f>
        <v/>
      </c>
      <c r="M154" s="10">
        <f>""</f>
        <v/>
      </c>
      <c r="N154" s="23">
        <f>IF(150&lt;=2,'Rate Card'!$AD$119,IF(150&lt;=5,'Rate Card'!$AE$119,IF(150&lt;=10,'Rate Card'!$AF$119,IF(150&lt;=15,'Rate Card'!$AG$119,IF(150&lt;=20,'Rate Card'!$AH$119,IF(150&lt;=35,'Rate Card'!$AH$119+(150-20)*'Rate Card'!$AI$119,'Rate Card'!$AK$119+(150-35)*'Rate Card'!$AJ$119))))))</f>
        <v/>
      </c>
      <c r="O154" s="23">
        <f>ROUND((IF(150&lt;=2,'Rate Card'!$AD$119,IF(150&lt;=5,'Rate Card'!$AE$119,IF(150&lt;=10,'Rate Card'!$AF$119,IF(150&lt;=15,'Rate Card'!$AG$119,IF(150&lt;=20,'Rate Card'!$AH$119,IF(150&lt;=35,'Rate Card'!$AH$119+(150-20)*'Rate Card'!$AI$119,'Rate Card'!$AK$119+(150-35)*'Rate Card'!$AJ$119)))))))*(1+'Rate Card'!$C$6),2)+ROUND(ROUND((IF(150&lt;=2,'Rate Card'!$AD$119,IF(150&lt;=5,'Rate Card'!$AE$119,IF(150&lt;=10,'Rate Card'!$AF$119,IF(150&lt;=15,'Rate Card'!$AG$119,IF(150&lt;=20,'Rate Card'!$AH$119,IF(150&lt;=35,'Rate Card'!$AH$119+(150-20)*'Rate Card'!$AI$119,'Rate Card'!$AK$119+(150-35)*'Rate Card'!$AJ$119)))))))*(1+'Rate Card'!$C$6),2)*(IF('Rate Card'!$G$6="YES",'Rate Card'!$E$6,0)+IF('Rate Card'!$K$6="YES",'Rate Card'!$I$6,0)),2)</f>
        <v/>
      </c>
      <c r="P154" s="23">
        <f>IF(150&lt;=2,'Rate Card'!$AD$120,IF(150&lt;=5,'Rate Card'!$AE$120,IF(150&lt;=10,'Rate Card'!$AF$120,IF(150&lt;=15,'Rate Card'!$AG$120,IF(150&lt;=20,'Rate Card'!$AH$120,IF(150&lt;=35,'Rate Card'!$AH$120+(150-20)*'Rate Card'!$AI$120,'Rate Card'!$AK$120+(150-35)*'Rate Card'!$AJ$120))))))</f>
        <v/>
      </c>
      <c r="Q154" s="12">
        <f>ROUND((IF(150&lt;=2,'Rate Card'!$AD$120,IF(150&lt;=5,'Rate Card'!$AE$120,IF(150&lt;=10,'Rate Card'!$AF$120,IF(150&lt;=15,'Rate Card'!$AG$120,IF(150&lt;=20,'Rate Card'!$AH$120,IF(150&lt;=35,'Rate Card'!$AH$120+(150-20)*'Rate Card'!$AI$120,'Rate Card'!$AK$120+(150-35)*'Rate Card'!$AJ$120)))))))*(1+'Rate Card'!$C$6),2)+ROUND(ROUND((IF(150&lt;=2,'Rate Card'!$AD$120,IF(150&lt;=5,'Rate Card'!$AE$120,IF(150&lt;=10,'Rate Card'!$AF$120,IF(150&lt;=15,'Rate Card'!$AG$120,IF(150&lt;=20,'Rate Card'!$AH$120,IF(150&lt;=35,'Rate Card'!$AH$120+(150-20)*'Rate Card'!$AI$120,'Rate Card'!$AK$120+(150-35)*'Rate Card'!$AJ$120)))))))*(1+'Rate Card'!$C$6),2)*(IF('Rate Card'!$G$6="YES",'Rate Card'!$E$6,0)+IF('Rate Card'!$K$6="YES",'Rate Card'!$I$6,0)),2)</f>
        <v/>
      </c>
    </row>
    <row r="155">
      <c r="A155" s="75" t="n">
        <v>151</v>
      </c>
      <c r="B155" s="10">
        <f>""</f>
        <v/>
      </c>
      <c r="C155" s="10">
        <f>""</f>
        <v/>
      </c>
      <c r="D155" s="10">
        <f>""</f>
        <v/>
      </c>
      <c r="E155" s="10">
        <f>""</f>
        <v/>
      </c>
      <c r="F155" s="23">
        <f>IF(151&lt;=2,'Rate Card'!$AD$22,IF(151&lt;=5,'Rate Card'!$AE$22,IF(151&lt;=10,'Rate Card'!$AF$22,IF(151&lt;=15,'Rate Card'!$AG$22,IF(151&lt;=20,'Rate Card'!$AH$22,IF(151&lt;=35,'Rate Card'!$AH$22+(151-20)*'Rate Card'!$AI$22,'Rate Card'!$AK$22+(151-35)*'Rate Card'!$AJ$22))))))</f>
        <v/>
      </c>
      <c r="G155" s="23">
        <f>ROUND((IF(151&lt;=2,'Rate Card'!$AD$22,IF(151&lt;=5,'Rate Card'!$AE$22,IF(151&lt;=10,'Rate Card'!$AF$22,IF(151&lt;=15,'Rate Card'!$AG$22,IF(151&lt;=20,'Rate Card'!$AH$22,IF(151&lt;=35,'Rate Card'!$AH$22+(151-20)*'Rate Card'!$AI$22,'Rate Card'!$AK$22+(151-35)*'Rate Card'!$AJ$22)))))))*(1+'Rate Card'!$C$6),2)+ROUND(ROUND((IF(151&lt;=2,'Rate Card'!$AD$22,IF(151&lt;=5,'Rate Card'!$AE$22,IF(151&lt;=10,'Rate Card'!$AF$22,IF(151&lt;=15,'Rate Card'!$AG$22,IF(151&lt;=20,'Rate Card'!$AH$22,IF(151&lt;=35,'Rate Card'!$AH$22+(151-20)*'Rate Card'!$AI$22,'Rate Card'!$AK$22+(151-35)*'Rate Card'!$AJ$22)))))))*(1+'Rate Card'!$C$6),2)*(IF('Rate Card'!$G$6="YES",'Rate Card'!$E$6,0)+IF('Rate Card'!$K$6="YES",'Rate Card'!$I$6,0)),2)</f>
        <v/>
      </c>
      <c r="H155" s="23">
        <f>IF(151&lt;=2,'Rate Card'!$AD$23,IF(151&lt;=5,'Rate Card'!$AE$23,IF(151&lt;=10,'Rate Card'!$AF$23,IF(151&lt;=15,'Rate Card'!$AG$23,IF(151&lt;=20,'Rate Card'!$AH$23,IF(151&lt;=35,'Rate Card'!$AH$23+(151-20)*'Rate Card'!$AI$23,'Rate Card'!$AK$23+(151-35)*'Rate Card'!$AJ$23))))))</f>
        <v/>
      </c>
      <c r="I155" s="23">
        <f>ROUND((IF(151&lt;=2,'Rate Card'!$AD$23,IF(151&lt;=5,'Rate Card'!$AE$23,IF(151&lt;=10,'Rate Card'!$AF$23,IF(151&lt;=15,'Rate Card'!$AG$23,IF(151&lt;=20,'Rate Card'!$AH$23,IF(151&lt;=35,'Rate Card'!$AH$23+(151-20)*'Rate Card'!$AI$23,'Rate Card'!$AK$23+(151-35)*'Rate Card'!$AJ$23)))))))*(1+'Rate Card'!$C$6),2)+ROUND(ROUND((IF(151&lt;=2,'Rate Card'!$AD$23,IF(151&lt;=5,'Rate Card'!$AE$23,IF(151&lt;=10,'Rate Card'!$AF$23,IF(151&lt;=15,'Rate Card'!$AG$23,IF(151&lt;=20,'Rate Card'!$AH$23,IF(151&lt;=35,'Rate Card'!$AH$23+(151-20)*'Rate Card'!$AI$23,'Rate Card'!$AK$23+(151-35)*'Rate Card'!$AJ$23)))))))*(1+'Rate Card'!$C$6),2)*(IF('Rate Card'!$G$6="YES",'Rate Card'!$E$6,0)+IF('Rate Card'!$K$6="YES",'Rate Card'!$I$6,0)),2)</f>
        <v/>
      </c>
      <c r="J155" s="10">
        <f>""</f>
        <v/>
      </c>
      <c r="K155" s="10">
        <f>""</f>
        <v/>
      </c>
      <c r="L155" s="10">
        <f>""</f>
        <v/>
      </c>
      <c r="M155" s="10">
        <f>""</f>
        <v/>
      </c>
      <c r="N155" s="23">
        <f>IF(151&lt;=2,'Rate Card'!$AD$119,IF(151&lt;=5,'Rate Card'!$AE$119,IF(151&lt;=10,'Rate Card'!$AF$119,IF(151&lt;=15,'Rate Card'!$AG$119,IF(151&lt;=20,'Rate Card'!$AH$119,IF(151&lt;=35,'Rate Card'!$AH$119+(151-20)*'Rate Card'!$AI$119,'Rate Card'!$AK$119+(151-35)*'Rate Card'!$AJ$119))))))</f>
        <v/>
      </c>
      <c r="O155" s="23">
        <f>ROUND((IF(151&lt;=2,'Rate Card'!$AD$119,IF(151&lt;=5,'Rate Card'!$AE$119,IF(151&lt;=10,'Rate Card'!$AF$119,IF(151&lt;=15,'Rate Card'!$AG$119,IF(151&lt;=20,'Rate Card'!$AH$119,IF(151&lt;=35,'Rate Card'!$AH$119+(151-20)*'Rate Card'!$AI$119,'Rate Card'!$AK$119+(151-35)*'Rate Card'!$AJ$119)))))))*(1+'Rate Card'!$C$6),2)+ROUND(ROUND((IF(151&lt;=2,'Rate Card'!$AD$119,IF(151&lt;=5,'Rate Card'!$AE$119,IF(151&lt;=10,'Rate Card'!$AF$119,IF(151&lt;=15,'Rate Card'!$AG$119,IF(151&lt;=20,'Rate Card'!$AH$119,IF(151&lt;=35,'Rate Card'!$AH$119+(151-20)*'Rate Card'!$AI$119,'Rate Card'!$AK$119+(151-35)*'Rate Card'!$AJ$119)))))))*(1+'Rate Card'!$C$6),2)*(IF('Rate Card'!$G$6="YES",'Rate Card'!$E$6,0)+IF('Rate Card'!$K$6="YES",'Rate Card'!$I$6,0)),2)</f>
        <v/>
      </c>
      <c r="P155" s="23">
        <f>IF(151&lt;=2,'Rate Card'!$AD$120,IF(151&lt;=5,'Rate Card'!$AE$120,IF(151&lt;=10,'Rate Card'!$AF$120,IF(151&lt;=15,'Rate Card'!$AG$120,IF(151&lt;=20,'Rate Card'!$AH$120,IF(151&lt;=35,'Rate Card'!$AH$120+(151-20)*'Rate Card'!$AI$120,'Rate Card'!$AK$120+(151-35)*'Rate Card'!$AJ$120))))))</f>
        <v/>
      </c>
      <c r="Q155" s="12">
        <f>ROUND((IF(151&lt;=2,'Rate Card'!$AD$120,IF(151&lt;=5,'Rate Card'!$AE$120,IF(151&lt;=10,'Rate Card'!$AF$120,IF(151&lt;=15,'Rate Card'!$AG$120,IF(151&lt;=20,'Rate Card'!$AH$120,IF(151&lt;=35,'Rate Card'!$AH$120+(151-20)*'Rate Card'!$AI$120,'Rate Card'!$AK$120+(151-35)*'Rate Card'!$AJ$120)))))))*(1+'Rate Card'!$C$6),2)+ROUND(ROUND((IF(151&lt;=2,'Rate Card'!$AD$120,IF(151&lt;=5,'Rate Card'!$AE$120,IF(151&lt;=10,'Rate Card'!$AF$120,IF(151&lt;=15,'Rate Card'!$AG$120,IF(151&lt;=20,'Rate Card'!$AH$120,IF(151&lt;=35,'Rate Card'!$AH$120+(151-20)*'Rate Card'!$AI$120,'Rate Card'!$AK$120+(151-35)*'Rate Card'!$AJ$120)))))))*(1+'Rate Card'!$C$6),2)*(IF('Rate Card'!$G$6="YES",'Rate Card'!$E$6,0)+IF('Rate Card'!$K$6="YES",'Rate Card'!$I$6,0)),2)</f>
        <v/>
      </c>
    </row>
    <row r="156">
      <c r="A156" s="75" t="n">
        <v>152</v>
      </c>
      <c r="B156" s="10">
        <f>""</f>
        <v/>
      </c>
      <c r="C156" s="10">
        <f>""</f>
        <v/>
      </c>
      <c r="D156" s="10">
        <f>""</f>
        <v/>
      </c>
      <c r="E156" s="10">
        <f>""</f>
        <v/>
      </c>
      <c r="F156" s="23">
        <f>IF(152&lt;=2,'Rate Card'!$AD$22,IF(152&lt;=5,'Rate Card'!$AE$22,IF(152&lt;=10,'Rate Card'!$AF$22,IF(152&lt;=15,'Rate Card'!$AG$22,IF(152&lt;=20,'Rate Card'!$AH$22,IF(152&lt;=35,'Rate Card'!$AH$22+(152-20)*'Rate Card'!$AI$22,'Rate Card'!$AK$22+(152-35)*'Rate Card'!$AJ$22))))))</f>
        <v/>
      </c>
      <c r="G156" s="23">
        <f>ROUND((IF(152&lt;=2,'Rate Card'!$AD$22,IF(152&lt;=5,'Rate Card'!$AE$22,IF(152&lt;=10,'Rate Card'!$AF$22,IF(152&lt;=15,'Rate Card'!$AG$22,IF(152&lt;=20,'Rate Card'!$AH$22,IF(152&lt;=35,'Rate Card'!$AH$22+(152-20)*'Rate Card'!$AI$22,'Rate Card'!$AK$22+(152-35)*'Rate Card'!$AJ$22)))))))*(1+'Rate Card'!$C$6),2)+ROUND(ROUND((IF(152&lt;=2,'Rate Card'!$AD$22,IF(152&lt;=5,'Rate Card'!$AE$22,IF(152&lt;=10,'Rate Card'!$AF$22,IF(152&lt;=15,'Rate Card'!$AG$22,IF(152&lt;=20,'Rate Card'!$AH$22,IF(152&lt;=35,'Rate Card'!$AH$22+(152-20)*'Rate Card'!$AI$22,'Rate Card'!$AK$22+(152-35)*'Rate Card'!$AJ$22)))))))*(1+'Rate Card'!$C$6),2)*(IF('Rate Card'!$G$6="YES",'Rate Card'!$E$6,0)+IF('Rate Card'!$K$6="YES",'Rate Card'!$I$6,0)),2)</f>
        <v/>
      </c>
      <c r="H156" s="23">
        <f>IF(152&lt;=2,'Rate Card'!$AD$23,IF(152&lt;=5,'Rate Card'!$AE$23,IF(152&lt;=10,'Rate Card'!$AF$23,IF(152&lt;=15,'Rate Card'!$AG$23,IF(152&lt;=20,'Rate Card'!$AH$23,IF(152&lt;=35,'Rate Card'!$AH$23+(152-20)*'Rate Card'!$AI$23,'Rate Card'!$AK$23+(152-35)*'Rate Card'!$AJ$23))))))</f>
        <v/>
      </c>
      <c r="I156" s="23">
        <f>ROUND((IF(152&lt;=2,'Rate Card'!$AD$23,IF(152&lt;=5,'Rate Card'!$AE$23,IF(152&lt;=10,'Rate Card'!$AF$23,IF(152&lt;=15,'Rate Card'!$AG$23,IF(152&lt;=20,'Rate Card'!$AH$23,IF(152&lt;=35,'Rate Card'!$AH$23+(152-20)*'Rate Card'!$AI$23,'Rate Card'!$AK$23+(152-35)*'Rate Card'!$AJ$23)))))))*(1+'Rate Card'!$C$6),2)+ROUND(ROUND((IF(152&lt;=2,'Rate Card'!$AD$23,IF(152&lt;=5,'Rate Card'!$AE$23,IF(152&lt;=10,'Rate Card'!$AF$23,IF(152&lt;=15,'Rate Card'!$AG$23,IF(152&lt;=20,'Rate Card'!$AH$23,IF(152&lt;=35,'Rate Card'!$AH$23+(152-20)*'Rate Card'!$AI$23,'Rate Card'!$AK$23+(152-35)*'Rate Card'!$AJ$23)))))))*(1+'Rate Card'!$C$6),2)*(IF('Rate Card'!$G$6="YES",'Rate Card'!$E$6,0)+IF('Rate Card'!$K$6="YES",'Rate Card'!$I$6,0)),2)</f>
        <v/>
      </c>
      <c r="J156" s="10">
        <f>""</f>
        <v/>
      </c>
      <c r="K156" s="10">
        <f>""</f>
        <v/>
      </c>
      <c r="L156" s="10">
        <f>""</f>
        <v/>
      </c>
      <c r="M156" s="10">
        <f>""</f>
        <v/>
      </c>
      <c r="N156" s="23">
        <f>IF(152&lt;=2,'Rate Card'!$AD$119,IF(152&lt;=5,'Rate Card'!$AE$119,IF(152&lt;=10,'Rate Card'!$AF$119,IF(152&lt;=15,'Rate Card'!$AG$119,IF(152&lt;=20,'Rate Card'!$AH$119,IF(152&lt;=35,'Rate Card'!$AH$119+(152-20)*'Rate Card'!$AI$119,'Rate Card'!$AK$119+(152-35)*'Rate Card'!$AJ$119))))))</f>
        <v/>
      </c>
      <c r="O156" s="23">
        <f>ROUND((IF(152&lt;=2,'Rate Card'!$AD$119,IF(152&lt;=5,'Rate Card'!$AE$119,IF(152&lt;=10,'Rate Card'!$AF$119,IF(152&lt;=15,'Rate Card'!$AG$119,IF(152&lt;=20,'Rate Card'!$AH$119,IF(152&lt;=35,'Rate Card'!$AH$119+(152-20)*'Rate Card'!$AI$119,'Rate Card'!$AK$119+(152-35)*'Rate Card'!$AJ$119)))))))*(1+'Rate Card'!$C$6),2)+ROUND(ROUND((IF(152&lt;=2,'Rate Card'!$AD$119,IF(152&lt;=5,'Rate Card'!$AE$119,IF(152&lt;=10,'Rate Card'!$AF$119,IF(152&lt;=15,'Rate Card'!$AG$119,IF(152&lt;=20,'Rate Card'!$AH$119,IF(152&lt;=35,'Rate Card'!$AH$119+(152-20)*'Rate Card'!$AI$119,'Rate Card'!$AK$119+(152-35)*'Rate Card'!$AJ$119)))))))*(1+'Rate Card'!$C$6),2)*(IF('Rate Card'!$G$6="YES",'Rate Card'!$E$6,0)+IF('Rate Card'!$K$6="YES",'Rate Card'!$I$6,0)),2)</f>
        <v/>
      </c>
      <c r="P156" s="23">
        <f>IF(152&lt;=2,'Rate Card'!$AD$120,IF(152&lt;=5,'Rate Card'!$AE$120,IF(152&lt;=10,'Rate Card'!$AF$120,IF(152&lt;=15,'Rate Card'!$AG$120,IF(152&lt;=20,'Rate Card'!$AH$120,IF(152&lt;=35,'Rate Card'!$AH$120+(152-20)*'Rate Card'!$AI$120,'Rate Card'!$AK$120+(152-35)*'Rate Card'!$AJ$120))))))</f>
        <v/>
      </c>
      <c r="Q156" s="12">
        <f>ROUND((IF(152&lt;=2,'Rate Card'!$AD$120,IF(152&lt;=5,'Rate Card'!$AE$120,IF(152&lt;=10,'Rate Card'!$AF$120,IF(152&lt;=15,'Rate Card'!$AG$120,IF(152&lt;=20,'Rate Card'!$AH$120,IF(152&lt;=35,'Rate Card'!$AH$120+(152-20)*'Rate Card'!$AI$120,'Rate Card'!$AK$120+(152-35)*'Rate Card'!$AJ$120)))))))*(1+'Rate Card'!$C$6),2)+ROUND(ROUND((IF(152&lt;=2,'Rate Card'!$AD$120,IF(152&lt;=5,'Rate Card'!$AE$120,IF(152&lt;=10,'Rate Card'!$AF$120,IF(152&lt;=15,'Rate Card'!$AG$120,IF(152&lt;=20,'Rate Card'!$AH$120,IF(152&lt;=35,'Rate Card'!$AH$120+(152-20)*'Rate Card'!$AI$120,'Rate Card'!$AK$120+(152-35)*'Rate Card'!$AJ$120)))))))*(1+'Rate Card'!$C$6),2)*(IF('Rate Card'!$G$6="YES",'Rate Card'!$E$6,0)+IF('Rate Card'!$K$6="YES",'Rate Card'!$I$6,0)),2)</f>
        <v/>
      </c>
    </row>
    <row r="157">
      <c r="A157" s="75" t="n">
        <v>153</v>
      </c>
      <c r="B157" s="10">
        <f>""</f>
        <v/>
      </c>
      <c r="C157" s="10">
        <f>""</f>
        <v/>
      </c>
      <c r="D157" s="10">
        <f>""</f>
        <v/>
      </c>
      <c r="E157" s="10">
        <f>""</f>
        <v/>
      </c>
      <c r="F157" s="23">
        <f>IF(153&lt;=2,'Rate Card'!$AD$22,IF(153&lt;=5,'Rate Card'!$AE$22,IF(153&lt;=10,'Rate Card'!$AF$22,IF(153&lt;=15,'Rate Card'!$AG$22,IF(153&lt;=20,'Rate Card'!$AH$22,IF(153&lt;=35,'Rate Card'!$AH$22+(153-20)*'Rate Card'!$AI$22,'Rate Card'!$AK$22+(153-35)*'Rate Card'!$AJ$22))))))</f>
        <v/>
      </c>
      <c r="G157" s="23">
        <f>ROUND((IF(153&lt;=2,'Rate Card'!$AD$22,IF(153&lt;=5,'Rate Card'!$AE$22,IF(153&lt;=10,'Rate Card'!$AF$22,IF(153&lt;=15,'Rate Card'!$AG$22,IF(153&lt;=20,'Rate Card'!$AH$22,IF(153&lt;=35,'Rate Card'!$AH$22+(153-20)*'Rate Card'!$AI$22,'Rate Card'!$AK$22+(153-35)*'Rate Card'!$AJ$22)))))))*(1+'Rate Card'!$C$6),2)+ROUND(ROUND((IF(153&lt;=2,'Rate Card'!$AD$22,IF(153&lt;=5,'Rate Card'!$AE$22,IF(153&lt;=10,'Rate Card'!$AF$22,IF(153&lt;=15,'Rate Card'!$AG$22,IF(153&lt;=20,'Rate Card'!$AH$22,IF(153&lt;=35,'Rate Card'!$AH$22+(153-20)*'Rate Card'!$AI$22,'Rate Card'!$AK$22+(153-35)*'Rate Card'!$AJ$22)))))))*(1+'Rate Card'!$C$6),2)*(IF('Rate Card'!$G$6="YES",'Rate Card'!$E$6,0)+IF('Rate Card'!$K$6="YES",'Rate Card'!$I$6,0)),2)</f>
        <v/>
      </c>
      <c r="H157" s="23">
        <f>IF(153&lt;=2,'Rate Card'!$AD$23,IF(153&lt;=5,'Rate Card'!$AE$23,IF(153&lt;=10,'Rate Card'!$AF$23,IF(153&lt;=15,'Rate Card'!$AG$23,IF(153&lt;=20,'Rate Card'!$AH$23,IF(153&lt;=35,'Rate Card'!$AH$23+(153-20)*'Rate Card'!$AI$23,'Rate Card'!$AK$23+(153-35)*'Rate Card'!$AJ$23))))))</f>
        <v/>
      </c>
      <c r="I157" s="23">
        <f>ROUND((IF(153&lt;=2,'Rate Card'!$AD$23,IF(153&lt;=5,'Rate Card'!$AE$23,IF(153&lt;=10,'Rate Card'!$AF$23,IF(153&lt;=15,'Rate Card'!$AG$23,IF(153&lt;=20,'Rate Card'!$AH$23,IF(153&lt;=35,'Rate Card'!$AH$23+(153-20)*'Rate Card'!$AI$23,'Rate Card'!$AK$23+(153-35)*'Rate Card'!$AJ$23)))))))*(1+'Rate Card'!$C$6),2)+ROUND(ROUND((IF(153&lt;=2,'Rate Card'!$AD$23,IF(153&lt;=5,'Rate Card'!$AE$23,IF(153&lt;=10,'Rate Card'!$AF$23,IF(153&lt;=15,'Rate Card'!$AG$23,IF(153&lt;=20,'Rate Card'!$AH$23,IF(153&lt;=35,'Rate Card'!$AH$23+(153-20)*'Rate Card'!$AI$23,'Rate Card'!$AK$23+(153-35)*'Rate Card'!$AJ$23)))))))*(1+'Rate Card'!$C$6),2)*(IF('Rate Card'!$G$6="YES",'Rate Card'!$E$6,0)+IF('Rate Card'!$K$6="YES",'Rate Card'!$I$6,0)),2)</f>
        <v/>
      </c>
      <c r="J157" s="10">
        <f>""</f>
        <v/>
      </c>
      <c r="K157" s="10">
        <f>""</f>
        <v/>
      </c>
      <c r="L157" s="10">
        <f>""</f>
        <v/>
      </c>
      <c r="M157" s="10">
        <f>""</f>
        <v/>
      </c>
      <c r="N157" s="23">
        <f>IF(153&lt;=2,'Rate Card'!$AD$119,IF(153&lt;=5,'Rate Card'!$AE$119,IF(153&lt;=10,'Rate Card'!$AF$119,IF(153&lt;=15,'Rate Card'!$AG$119,IF(153&lt;=20,'Rate Card'!$AH$119,IF(153&lt;=35,'Rate Card'!$AH$119+(153-20)*'Rate Card'!$AI$119,'Rate Card'!$AK$119+(153-35)*'Rate Card'!$AJ$119))))))</f>
        <v/>
      </c>
      <c r="O157" s="23">
        <f>ROUND((IF(153&lt;=2,'Rate Card'!$AD$119,IF(153&lt;=5,'Rate Card'!$AE$119,IF(153&lt;=10,'Rate Card'!$AF$119,IF(153&lt;=15,'Rate Card'!$AG$119,IF(153&lt;=20,'Rate Card'!$AH$119,IF(153&lt;=35,'Rate Card'!$AH$119+(153-20)*'Rate Card'!$AI$119,'Rate Card'!$AK$119+(153-35)*'Rate Card'!$AJ$119)))))))*(1+'Rate Card'!$C$6),2)+ROUND(ROUND((IF(153&lt;=2,'Rate Card'!$AD$119,IF(153&lt;=5,'Rate Card'!$AE$119,IF(153&lt;=10,'Rate Card'!$AF$119,IF(153&lt;=15,'Rate Card'!$AG$119,IF(153&lt;=20,'Rate Card'!$AH$119,IF(153&lt;=35,'Rate Card'!$AH$119+(153-20)*'Rate Card'!$AI$119,'Rate Card'!$AK$119+(153-35)*'Rate Card'!$AJ$119)))))))*(1+'Rate Card'!$C$6),2)*(IF('Rate Card'!$G$6="YES",'Rate Card'!$E$6,0)+IF('Rate Card'!$K$6="YES",'Rate Card'!$I$6,0)),2)</f>
        <v/>
      </c>
      <c r="P157" s="23">
        <f>IF(153&lt;=2,'Rate Card'!$AD$120,IF(153&lt;=5,'Rate Card'!$AE$120,IF(153&lt;=10,'Rate Card'!$AF$120,IF(153&lt;=15,'Rate Card'!$AG$120,IF(153&lt;=20,'Rate Card'!$AH$120,IF(153&lt;=35,'Rate Card'!$AH$120+(153-20)*'Rate Card'!$AI$120,'Rate Card'!$AK$120+(153-35)*'Rate Card'!$AJ$120))))))</f>
        <v/>
      </c>
      <c r="Q157" s="12">
        <f>ROUND((IF(153&lt;=2,'Rate Card'!$AD$120,IF(153&lt;=5,'Rate Card'!$AE$120,IF(153&lt;=10,'Rate Card'!$AF$120,IF(153&lt;=15,'Rate Card'!$AG$120,IF(153&lt;=20,'Rate Card'!$AH$120,IF(153&lt;=35,'Rate Card'!$AH$120+(153-20)*'Rate Card'!$AI$120,'Rate Card'!$AK$120+(153-35)*'Rate Card'!$AJ$120)))))))*(1+'Rate Card'!$C$6),2)+ROUND(ROUND((IF(153&lt;=2,'Rate Card'!$AD$120,IF(153&lt;=5,'Rate Card'!$AE$120,IF(153&lt;=10,'Rate Card'!$AF$120,IF(153&lt;=15,'Rate Card'!$AG$120,IF(153&lt;=20,'Rate Card'!$AH$120,IF(153&lt;=35,'Rate Card'!$AH$120+(153-20)*'Rate Card'!$AI$120,'Rate Card'!$AK$120+(153-35)*'Rate Card'!$AJ$120)))))))*(1+'Rate Card'!$C$6),2)*(IF('Rate Card'!$G$6="YES",'Rate Card'!$E$6,0)+IF('Rate Card'!$K$6="YES",'Rate Card'!$I$6,0)),2)</f>
        <v/>
      </c>
    </row>
    <row r="158">
      <c r="A158" s="75" t="n">
        <v>154</v>
      </c>
      <c r="B158" s="10">
        <f>""</f>
        <v/>
      </c>
      <c r="C158" s="10">
        <f>""</f>
        <v/>
      </c>
      <c r="D158" s="10">
        <f>""</f>
        <v/>
      </c>
      <c r="E158" s="10">
        <f>""</f>
        <v/>
      </c>
      <c r="F158" s="23">
        <f>IF(154&lt;=2,'Rate Card'!$AD$22,IF(154&lt;=5,'Rate Card'!$AE$22,IF(154&lt;=10,'Rate Card'!$AF$22,IF(154&lt;=15,'Rate Card'!$AG$22,IF(154&lt;=20,'Rate Card'!$AH$22,IF(154&lt;=35,'Rate Card'!$AH$22+(154-20)*'Rate Card'!$AI$22,'Rate Card'!$AK$22+(154-35)*'Rate Card'!$AJ$22))))))</f>
        <v/>
      </c>
      <c r="G158" s="23">
        <f>ROUND((IF(154&lt;=2,'Rate Card'!$AD$22,IF(154&lt;=5,'Rate Card'!$AE$22,IF(154&lt;=10,'Rate Card'!$AF$22,IF(154&lt;=15,'Rate Card'!$AG$22,IF(154&lt;=20,'Rate Card'!$AH$22,IF(154&lt;=35,'Rate Card'!$AH$22+(154-20)*'Rate Card'!$AI$22,'Rate Card'!$AK$22+(154-35)*'Rate Card'!$AJ$22)))))))*(1+'Rate Card'!$C$6),2)+ROUND(ROUND((IF(154&lt;=2,'Rate Card'!$AD$22,IF(154&lt;=5,'Rate Card'!$AE$22,IF(154&lt;=10,'Rate Card'!$AF$22,IF(154&lt;=15,'Rate Card'!$AG$22,IF(154&lt;=20,'Rate Card'!$AH$22,IF(154&lt;=35,'Rate Card'!$AH$22+(154-20)*'Rate Card'!$AI$22,'Rate Card'!$AK$22+(154-35)*'Rate Card'!$AJ$22)))))))*(1+'Rate Card'!$C$6),2)*(IF('Rate Card'!$G$6="YES",'Rate Card'!$E$6,0)+IF('Rate Card'!$K$6="YES",'Rate Card'!$I$6,0)),2)</f>
        <v/>
      </c>
      <c r="H158" s="23">
        <f>IF(154&lt;=2,'Rate Card'!$AD$23,IF(154&lt;=5,'Rate Card'!$AE$23,IF(154&lt;=10,'Rate Card'!$AF$23,IF(154&lt;=15,'Rate Card'!$AG$23,IF(154&lt;=20,'Rate Card'!$AH$23,IF(154&lt;=35,'Rate Card'!$AH$23+(154-20)*'Rate Card'!$AI$23,'Rate Card'!$AK$23+(154-35)*'Rate Card'!$AJ$23))))))</f>
        <v/>
      </c>
      <c r="I158" s="23">
        <f>ROUND((IF(154&lt;=2,'Rate Card'!$AD$23,IF(154&lt;=5,'Rate Card'!$AE$23,IF(154&lt;=10,'Rate Card'!$AF$23,IF(154&lt;=15,'Rate Card'!$AG$23,IF(154&lt;=20,'Rate Card'!$AH$23,IF(154&lt;=35,'Rate Card'!$AH$23+(154-20)*'Rate Card'!$AI$23,'Rate Card'!$AK$23+(154-35)*'Rate Card'!$AJ$23)))))))*(1+'Rate Card'!$C$6),2)+ROUND(ROUND((IF(154&lt;=2,'Rate Card'!$AD$23,IF(154&lt;=5,'Rate Card'!$AE$23,IF(154&lt;=10,'Rate Card'!$AF$23,IF(154&lt;=15,'Rate Card'!$AG$23,IF(154&lt;=20,'Rate Card'!$AH$23,IF(154&lt;=35,'Rate Card'!$AH$23+(154-20)*'Rate Card'!$AI$23,'Rate Card'!$AK$23+(154-35)*'Rate Card'!$AJ$23)))))))*(1+'Rate Card'!$C$6),2)*(IF('Rate Card'!$G$6="YES",'Rate Card'!$E$6,0)+IF('Rate Card'!$K$6="YES",'Rate Card'!$I$6,0)),2)</f>
        <v/>
      </c>
      <c r="J158" s="10">
        <f>""</f>
        <v/>
      </c>
      <c r="K158" s="10">
        <f>""</f>
        <v/>
      </c>
      <c r="L158" s="10">
        <f>""</f>
        <v/>
      </c>
      <c r="M158" s="10">
        <f>""</f>
        <v/>
      </c>
      <c r="N158" s="23">
        <f>IF(154&lt;=2,'Rate Card'!$AD$119,IF(154&lt;=5,'Rate Card'!$AE$119,IF(154&lt;=10,'Rate Card'!$AF$119,IF(154&lt;=15,'Rate Card'!$AG$119,IF(154&lt;=20,'Rate Card'!$AH$119,IF(154&lt;=35,'Rate Card'!$AH$119+(154-20)*'Rate Card'!$AI$119,'Rate Card'!$AK$119+(154-35)*'Rate Card'!$AJ$119))))))</f>
        <v/>
      </c>
      <c r="O158" s="23">
        <f>ROUND((IF(154&lt;=2,'Rate Card'!$AD$119,IF(154&lt;=5,'Rate Card'!$AE$119,IF(154&lt;=10,'Rate Card'!$AF$119,IF(154&lt;=15,'Rate Card'!$AG$119,IF(154&lt;=20,'Rate Card'!$AH$119,IF(154&lt;=35,'Rate Card'!$AH$119+(154-20)*'Rate Card'!$AI$119,'Rate Card'!$AK$119+(154-35)*'Rate Card'!$AJ$119)))))))*(1+'Rate Card'!$C$6),2)+ROUND(ROUND((IF(154&lt;=2,'Rate Card'!$AD$119,IF(154&lt;=5,'Rate Card'!$AE$119,IF(154&lt;=10,'Rate Card'!$AF$119,IF(154&lt;=15,'Rate Card'!$AG$119,IF(154&lt;=20,'Rate Card'!$AH$119,IF(154&lt;=35,'Rate Card'!$AH$119+(154-20)*'Rate Card'!$AI$119,'Rate Card'!$AK$119+(154-35)*'Rate Card'!$AJ$119)))))))*(1+'Rate Card'!$C$6),2)*(IF('Rate Card'!$G$6="YES",'Rate Card'!$E$6,0)+IF('Rate Card'!$K$6="YES",'Rate Card'!$I$6,0)),2)</f>
        <v/>
      </c>
      <c r="P158" s="23">
        <f>IF(154&lt;=2,'Rate Card'!$AD$120,IF(154&lt;=5,'Rate Card'!$AE$120,IF(154&lt;=10,'Rate Card'!$AF$120,IF(154&lt;=15,'Rate Card'!$AG$120,IF(154&lt;=20,'Rate Card'!$AH$120,IF(154&lt;=35,'Rate Card'!$AH$120+(154-20)*'Rate Card'!$AI$120,'Rate Card'!$AK$120+(154-35)*'Rate Card'!$AJ$120))))))</f>
        <v/>
      </c>
      <c r="Q158" s="12">
        <f>ROUND((IF(154&lt;=2,'Rate Card'!$AD$120,IF(154&lt;=5,'Rate Card'!$AE$120,IF(154&lt;=10,'Rate Card'!$AF$120,IF(154&lt;=15,'Rate Card'!$AG$120,IF(154&lt;=20,'Rate Card'!$AH$120,IF(154&lt;=35,'Rate Card'!$AH$120+(154-20)*'Rate Card'!$AI$120,'Rate Card'!$AK$120+(154-35)*'Rate Card'!$AJ$120)))))))*(1+'Rate Card'!$C$6),2)+ROUND(ROUND((IF(154&lt;=2,'Rate Card'!$AD$120,IF(154&lt;=5,'Rate Card'!$AE$120,IF(154&lt;=10,'Rate Card'!$AF$120,IF(154&lt;=15,'Rate Card'!$AG$120,IF(154&lt;=20,'Rate Card'!$AH$120,IF(154&lt;=35,'Rate Card'!$AH$120+(154-20)*'Rate Card'!$AI$120,'Rate Card'!$AK$120+(154-35)*'Rate Card'!$AJ$120)))))))*(1+'Rate Card'!$C$6),2)*(IF('Rate Card'!$G$6="YES",'Rate Card'!$E$6,0)+IF('Rate Card'!$K$6="YES",'Rate Card'!$I$6,0)),2)</f>
        <v/>
      </c>
    </row>
    <row r="159">
      <c r="A159" s="75" t="n">
        <v>155</v>
      </c>
      <c r="B159" s="10">
        <f>""</f>
        <v/>
      </c>
      <c r="C159" s="10">
        <f>""</f>
        <v/>
      </c>
      <c r="D159" s="10">
        <f>""</f>
        <v/>
      </c>
      <c r="E159" s="10">
        <f>""</f>
        <v/>
      </c>
      <c r="F159" s="23">
        <f>IF(155&lt;=2,'Rate Card'!$AD$22,IF(155&lt;=5,'Rate Card'!$AE$22,IF(155&lt;=10,'Rate Card'!$AF$22,IF(155&lt;=15,'Rate Card'!$AG$22,IF(155&lt;=20,'Rate Card'!$AH$22,IF(155&lt;=35,'Rate Card'!$AH$22+(155-20)*'Rate Card'!$AI$22,'Rate Card'!$AK$22+(155-35)*'Rate Card'!$AJ$22))))))</f>
        <v/>
      </c>
      <c r="G159" s="23">
        <f>ROUND((IF(155&lt;=2,'Rate Card'!$AD$22,IF(155&lt;=5,'Rate Card'!$AE$22,IF(155&lt;=10,'Rate Card'!$AF$22,IF(155&lt;=15,'Rate Card'!$AG$22,IF(155&lt;=20,'Rate Card'!$AH$22,IF(155&lt;=35,'Rate Card'!$AH$22+(155-20)*'Rate Card'!$AI$22,'Rate Card'!$AK$22+(155-35)*'Rate Card'!$AJ$22)))))))*(1+'Rate Card'!$C$6),2)+ROUND(ROUND((IF(155&lt;=2,'Rate Card'!$AD$22,IF(155&lt;=5,'Rate Card'!$AE$22,IF(155&lt;=10,'Rate Card'!$AF$22,IF(155&lt;=15,'Rate Card'!$AG$22,IF(155&lt;=20,'Rate Card'!$AH$22,IF(155&lt;=35,'Rate Card'!$AH$22+(155-20)*'Rate Card'!$AI$22,'Rate Card'!$AK$22+(155-35)*'Rate Card'!$AJ$22)))))))*(1+'Rate Card'!$C$6),2)*(IF('Rate Card'!$G$6="YES",'Rate Card'!$E$6,0)+IF('Rate Card'!$K$6="YES",'Rate Card'!$I$6,0)),2)</f>
        <v/>
      </c>
      <c r="H159" s="23">
        <f>IF(155&lt;=2,'Rate Card'!$AD$23,IF(155&lt;=5,'Rate Card'!$AE$23,IF(155&lt;=10,'Rate Card'!$AF$23,IF(155&lt;=15,'Rate Card'!$AG$23,IF(155&lt;=20,'Rate Card'!$AH$23,IF(155&lt;=35,'Rate Card'!$AH$23+(155-20)*'Rate Card'!$AI$23,'Rate Card'!$AK$23+(155-35)*'Rate Card'!$AJ$23))))))</f>
        <v/>
      </c>
      <c r="I159" s="23">
        <f>ROUND((IF(155&lt;=2,'Rate Card'!$AD$23,IF(155&lt;=5,'Rate Card'!$AE$23,IF(155&lt;=10,'Rate Card'!$AF$23,IF(155&lt;=15,'Rate Card'!$AG$23,IF(155&lt;=20,'Rate Card'!$AH$23,IF(155&lt;=35,'Rate Card'!$AH$23+(155-20)*'Rate Card'!$AI$23,'Rate Card'!$AK$23+(155-35)*'Rate Card'!$AJ$23)))))))*(1+'Rate Card'!$C$6),2)+ROUND(ROUND((IF(155&lt;=2,'Rate Card'!$AD$23,IF(155&lt;=5,'Rate Card'!$AE$23,IF(155&lt;=10,'Rate Card'!$AF$23,IF(155&lt;=15,'Rate Card'!$AG$23,IF(155&lt;=20,'Rate Card'!$AH$23,IF(155&lt;=35,'Rate Card'!$AH$23+(155-20)*'Rate Card'!$AI$23,'Rate Card'!$AK$23+(155-35)*'Rate Card'!$AJ$23)))))))*(1+'Rate Card'!$C$6),2)*(IF('Rate Card'!$G$6="YES",'Rate Card'!$E$6,0)+IF('Rate Card'!$K$6="YES",'Rate Card'!$I$6,0)),2)</f>
        <v/>
      </c>
      <c r="J159" s="10">
        <f>""</f>
        <v/>
      </c>
      <c r="K159" s="10">
        <f>""</f>
        <v/>
      </c>
      <c r="L159" s="10">
        <f>""</f>
        <v/>
      </c>
      <c r="M159" s="10">
        <f>""</f>
        <v/>
      </c>
      <c r="N159" s="23">
        <f>IF(155&lt;=2,'Rate Card'!$AD$119,IF(155&lt;=5,'Rate Card'!$AE$119,IF(155&lt;=10,'Rate Card'!$AF$119,IF(155&lt;=15,'Rate Card'!$AG$119,IF(155&lt;=20,'Rate Card'!$AH$119,IF(155&lt;=35,'Rate Card'!$AH$119+(155-20)*'Rate Card'!$AI$119,'Rate Card'!$AK$119+(155-35)*'Rate Card'!$AJ$119))))))</f>
        <v/>
      </c>
      <c r="O159" s="23">
        <f>ROUND((IF(155&lt;=2,'Rate Card'!$AD$119,IF(155&lt;=5,'Rate Card'!$AE$119,IF(155&lt;=10,'Rate Card'!$AF$119,IF(155&lt;=15,'Rate Card'!$AG$119,IF(155&lt;=20,'Rate Card'!$AH$119,IF(155&lt;=35,'Rate Card'!$AH$119+(155-20)*'Rate Card'!$AI$119,'Rate Card'!$AK$119+(155-35)*'Rate Card'!$AJ$119)))))))*(1+'Rate Card'!$C$6),2)+ROUND(ROUND((IF(155&lt;=2,'Rate Card'!$AD$119,IF(155&lt;=5,'Rate Card'!$AE$119,IF(155&lt;=10,'Rate Card'!$AF$119,IF(155&lt;=15,'Rate Card'!$AG$119,IF(155&lt;=20,'Rate Card'!$AH$119,IF(155&lt;=35,'Rate Card'!$AH$119+(155-20)*'Rate Card'!$AI$119,'Rate Card'!$AK$119+(155-35)*'Rate Card'!$AJ$119)))))))*(1+'Rate Card'!$C$6),2)*(IF('Rate Card'!$G$6="YES",'Rate Card'!$E$6,0)+IF('Rate Card'!$K$6="YES",'Rate Card'!$I$6,0)),2)</f>
        <v/>
      </c>
      <c r="P159" s="23">
        <f>IF(155&lt;=2,'Rate Card'!$AD$120,IF(155&lt;=5,'Rate Card'!$AE$120,IF(155&lt;=10,'Rate Card'!$AF$120,IF(155&lt;=15,'Rate Card'!$AG$120,IF(155&lt;=20,'Rate Card'!$AH$120,IF(155&lt;=35,'Rate Card'!$AH$120+(155-20)*'Rate Card'!$AI$120,'Rate Card'!$AK$120+(155-35)*'Rate Card'!$AJ$120))))))</f>
        <v/>
      </c>
      <c r="Q159" s="12">
        <f>ROUND((IF(155&lt;=2,'Rate Card'!$AD$120,IF(155&lt;=5,'Rate Card'!$AE$120,IF(155&lt;=10,'Rate Card'!$AF$120,IF(155&lt;=15,'Rate Card'!$AG$120,IF(155&lt;=20,'Rate Card'!$AH$120,IF(155&lt;=35,'Rate Card'!$AH$120+(155-20)*'Rate Card'!$AI$120,'Rate Card'!$AK$120+(155-35)*'Rate Card'!$AJ$120)))))))*(1+'Rate Card'!$C$6),2)+ROUND(ROUND((IF(155&lt;=2,'Rate Card'!$AD$120,IF(155&lt;=5,'Rate Card'!$AE$120,IF(155&lt;=10,'Rate Card'!$AF$120,IF(155&lt;=15,'Rate Card'!$AG$120,IF(155&lt;=20,'Rate Card'!$AH$120,IF(155&lt;=35,'Rate Card'!$AH$120+(155-20)*'Rate Card'!$AI$120,'Rate Card'!$AK$120+(155-35)*'Rate Card'!$AJ$120)))))))*(1+'Rate Card'!$C$6),2)*(IF('Rate Card'!$G$6="YES",'Rate Card'!$E$6,0)+IF('Rate Card'!$K$6="YES",'Rate Card'!$I$6,0)),2)</f>
        <v/>
      </c>
    </row>
    <row r="160">
      <c r="A160" s="75" t="n">
        <v>156</v>
      </c>
      <c r="B160" s="10">
        <f>""</f>
        <v/>
      </c>
      <c r="C160" s="10">
        <f>""</f>
        <v/>
      </c>
      <c r="D160" s="10">
        <f>""</f>
        <v/>
      </c>
      <c r="E160" s="10">
        <f>""</f>
        <v/>
      </c>
      <c r="F160" s="23">
        <f>IF(156&lt;=2,'Rate Card'!$AD$22,IF(156&lt;=5,'Rate Card'!$AE$22,IF(156&lt;=10,'Rate Card'!$AF$22,IF(156&lt;=15,'Rate Card'!$AG$22,IF(156&lt;=20,'Rate Card'!$AH$22,IF(156&lt;=35,'Rate Card'!$AH$22+(156-20)*'Rate Card'!$AI$22,'Rate Card'!$AK$22+(156-35)*'Rate Card'!$AJ$22))))))</f>
        <v/>
      </c>
      <c r="G160" s="23">
        <f>ROUND((IF(156&lt;=2,'Rate Card'!$AD$22,IF(156&lt;=5,'Rate Card'!$AE$22,IF(156&lt;=10,'Rate Card'!$AF$22,IF(156&lt;=15,'Rate Card'!$AG$22,IF(156&lt;=20,'Rate Card'!$AH$22,IF(156&lt;=35,'Rate Card'!$AH$22+(156-20)*'Rate Card'!$AI$22,'Rate Card'!$AK$22+(156-35)*'Rate Card'!$AJ$22)))))))*(1+'Rate Card'!$C$6),2)+ROUND(ROUND((IF(156&lt;=2,'Rate Card'!$AD$22,IF(156&lt;=5,'Rate Card'!$AE$22,IF(156&lt;=10,'Rate Card'!$AF$22,IF(156&lt;=15,'Rate Card'!$AG$22,IF(156&lt;=20,'Rate Card'!$AH$22,IF(156&lt;=35,'Rate Card'!$AH$22+(156-20)*'Rate Card'!$AI$22,'Rate Card'!$AK$22+(156-35)*'Rate Card'!$AJ$22)))))))*(1+'Rate Card'!$C$6),2)*(IF('Rate Card'!$G$6="YES",'Rate Card'!$E$6,0)+IF('Rate Card'!$K$6="YES",'Rate Card'!$I$6,0)),2)</f>
        <v/>
      </c>
      <c r="H160" s="23">
        <f>IF(156&lt;=2,'Rate Card'!$AD$23,IF(156&lt;=5,'Rate Card'!$AE$23,IF(156&lt;=10,'Rate Card'!$AF$23,IF(156&lt;=15,'Rate Card'!$AG$23,IF(156&lt;=20,'Rate Card'!$AH$23,IF(156&lt;=35,'Rate Card'!$AH$23+(156-20)*'Rate Card'!$AI$23,'Rate Card'!$AK$23+(156-35)*'Rate Card'!$AJ$23))))))</f>
        <v/>
      </c>
      <c r="I160" s="23">
        <f>ROUND((IF(156&lt;=2,'Rate Card'!$AD$23,IF(156&lt;=5,'Rate Card'!$AE$23,IF(156&lt;=10,'Rate Card'!$AF$23,IF(156&lt;=15,'Rate Card'!$AG$23,IF(156&lt;=20,'Rate Card'!$AH$23,IF(156&lt;=35,'Rate Card'!$AH$23+(156-20)*'Rate Card'!$AI$23,'Rate Card'!$AK$23+(156-35)*'Rate Card'!$AJ$23)))))))*(1+'Rate Card'!$C$6),2)+ROUND(ROUND((IF(156&lt;=2,'Rate Card'!$AD$23,IF(156&lt;=5,'Rate Card'!$AE$23,IF(156&lt;=10,'Rate Card'!$AF$23,IF(156&lt;=15,'Rate Card'!$AG$23,IF(156&lt;=20,'Rate Card'!$AH$23,IF(156&lt;=35,'Rate Card'!$AH$23+(156-20)*'Rate Card'!$AI$23,'Rate Card'!$AK$23+(156-35)*'Rate Card'!$AJ$23)))))))*(1+'Rate Card'!$C$6),2)*(IF('Rate Card'!$G$6="YES",'Rate Card'!$E$6,0)+IF('Rate Card'!$K$6="YES",'Rate Card'!$I$6,0)),2)</f>
        <v/>
      </c>
      <c r="J160" s="10">
        <f>""</f>
        <v/>
      </c>
      <c r="K160" s="10">
        <f>""</f>
        <v/>
      </c>
      <c r="L160" s="10">
        <f>""</f>
        <v/>
      </c>
      <c r="M160" s="10">
        <f>""</f>
        <v/>
      </c>
      <c r="N160" s="23">
        <f>IF(156&lt;=2,'Rate Card'!$AD$119,IF(156&lt;=5,'Rate Card'!$AE$119,IF(156&lt;=10,'Rate Card'!$AF$119,IF(156&lt;=15,'Rate Card'!$AG$119,IF(156&lt;=20,'Rate Card'!$AH$119,IF(156&lt;=35,'Rate Card'!$AH$119+(156-20)*'Rate Card'!$AI$119,'Rate Card'!$AK$119+(156-35)*'Rate Card'!$AJ$119))))))</f>
        <v/>
      </c>
      <c r="O160" s="23">
        <f>ROUND((IF(156&lt;=2,'Rate Card'!$AD$119,IF(156&lt;=5,'Rate Card'!$AE$119,IF(156&lt;=10,'Rate Card'!$AF$119,IF(156&lt;=15,'Rate Card'!$AG$119,IF(156&lt;=20,'Rate Card'!$AH$119,IF(156&lt;=35,'Rate Card'!$AH$119+(156-20)*'Rate Card'!$AI$119,'Rate Card'!$AK$119+(156-35)*'Rate Card'!$AJ$119)))))))*(1+'Rate Card'!$C$6),2)+ROUND(ROUND((IF(156&lt;=2,'Rate Card'!$AD$119,IF(156&lt;=5,'Rate Card'!$AE$119,IF(156&lt;=10,'Rate Card'!$AF$119,IF(156&lt;=15,'Rate Card'!$AG$119,IF(156&lt;=20,'Rate Card'!$AH$119,IF(156&lt;=35,'Rate Card'!$AH$119+(156-20)*'Rate Card'!$AI$119,'Rate Card'!$AK$119+(156-35)*'Rate Card'!$AJ$119)))))))*(1+'Rate Card'!$C$6),2)*(IF('Rate Card'!$G$6="YES",'Rate Card'!$E$6,0)+IF('Rate Card'!$K$6="YES",'Rate Card'!$I$6,0)),2)</f>
        <v/>
      </c>
      <c r="P160" s="23">
        <f>IF(156&lt;=2,'Rate Card'!$AD$120,IF(156&lt;=5,'Rate Card'!$AE$120,IF(156&lt;=10,'Rate Card'!$AF$120,IF(156&lt;=15,'Rate Card'!$AG$120,IF(156&lt;=20,'Rate Card'!$AH$120,IF(156&lt;=35,'Rate Card'!$AH$120+(156-20)*'Rate Card'!$AI$120,'Rate Card'!$AK$120+(156-35)*'Rate Card'!$AJ$120))))))</f>
        <v/>
      </c>
      <c r="Q160" s="12">
        <f>ROUND((IF(156&lt;=2,'Rate Card'!$AD$120,IF(156&lt;=5,'Rate Card'!$AE$120,IF(156&lt;=10,'Rate Card'!$AF$120,IF(156&lt;=15,'Rate Card'!$AG$120,IF(156&lt;=20,'Rate Card'!$AH$120,IF(156&lt;=35,'Rate Card'!$AH$120+(156-20)*'Rate Card'!$AI$120,'Rate Card'!$AK$120+(156-35)*'Rate Card'!$AJ$120)))))))*(1+'Rate Card'!$C$6),2)+ROUND(ROUND((IF(156&lt;=2,'Rate Card'!$AD$120,IF(156&lt;=5,'Rate Card'!$AE$120,IF(156&lt;=10,'Rate Card'!$AF$120,IF(156&lt;=15,'Rate Card'!$AG$120,IF(156&lt;=20,'Rate Card'!$AH$120,IF(156&lt;=35,'Rate Card'!$AH$120+(156-20)*'Rate Card'!$AI$120,'Rate Card'!$AK$120+(156-35)*'Rate Card'!$AJ$120)))))))*(1+'Rate Card'!$C$6),2)*(IF('Rate Card'!$G$6="YES",'Rate Card'!$E$6,0)+IF('Rate Card'!$K$6="YES",'Rate Card'!$I$6,0)),2)</f>
        <v/>
      </c>
    </row>
    <row r="161">
      <c r="A161" s="75" t="n">
        <v>157</v>
      </c>
      <c r="B161" s="10">
        <f>""</f>
        <v/>
      </c>
      <c r="C161" s="10">
        <f>""</f>
        <v/>
      </c>
      <c r="D161" s="10">
        <f>""</f>
        <v/>
      </c>
      <c r="E161" s="10">
        <f>""</f>
        <v/>
      </c>
      <c r="F161" s="23">
        <f>IF(157&lt;=2,'Rate Card'!$AD$22,IF(157&lt;=5,'Rate Card'!$AE$22,IF(157&lt;=10,'Rate Card'!$AF$22,IF(157&lt;=15,'Rate Card'!$AG$22,IF(157&lt;=20,'Rate Card'!$AH$22,IF(157&lt;=35,'Rate Card'!$AH$22+(157-20)*'Rate Card'!$AI$22,'Rate Card'!$AK$22+(157-35)*'Rate Card'!$AJ$22))))))</f>
        <v/>
      </c>
      <c r="G161" s="23">
        <f>ROUND((IF(157&lt;=2,'Rate Card'!$AD$22,IF(157&lt;=5,'Rate Card'!$AE$22,IF(157&lt;=10,'Rate Card'!$AF$22,IF(157&lt;=15,'Rate Card'!$AG$22,IF(157&lt;=20,'Rate Card'!$AH$22,IF(157&lt;=35,'Rate Card'!$AH$22+(157-20)*'Rate Card'!$AI$22,'Rate Card'!$AK$22+(157-35)*'Rate Card'!$AJ$22)))))))*(1+'Rate Card'!$C$6),2)+ROUND(ROUND((IF(157&lt;=2,'Rate Card'!$AD$22,IF(157&lt;=5,'Rate Card'!$AE$22,IF(157&lt;=10,'Rate Card'!$AF$22,IF(157&lt;=15,'Rate Card'!$AG$22,IF(157&lt;=20,'Rate Card'!$AH$22,IF(157&lt;=35,'Rate Card'!$AH$22+(157-20)*'Rate Card'!$AI$22,'Rate Card'!$AK$22+(157-35)*'Rate Card'!$AJ$22)))))))*(1+'Rate Card'!$C$6),2)*(IF('Rate Card'!$G$6="YES",'Rate Card'!$E$6,0)+IF('Rate Card'!$K$6="YES",'Rate Card'!$I$6,0)),2)</f>
        <v/>
      </c>
      <c r="H161" s="23">
        <f>IF(157&lt;=2,'Rate Card'!$AD$23,IF(157&lt;=5,'Rate Card'!$AE$23,IF(157&lt;=10,'Rate Card'!$AF$23,IF(157&lt;=15,'Rate Card'!$AG$23,IF(157&lt;=20,'Rate Card'!$AH$23,IF(157&lt;=35,'Rate Card'!$AH$23+(157-20)*'Rate Card'!$AI$23,'Rate Card'!$AK$23+(157-35)*'Rate Card'!$AJ$23))))))</f>
        <v/>
      </c>
      <c r="I161" s="23">
        <f>ROUND((IF(157&lt;=2,'Rate Card'!$AD$23,IF(157&lt;=5,'Rate Card'!$AE$23,IF(157&lt;=10,'Rate Card'!$AF$23,IF(157&lt;=15,'Rate Card'!$AG$23,IF(157&lt;=20,'Rate Card'!$AH$23,IF(157&lt;=35,'Rate Card'!$AH$23+(157-20)*'Rate Card'!$AI$23,'Rate Card'!$AK$23+(157-35)*'Rate Card'!$AJ$23)))))))*(1+'Rate Card'!$C$6),2)+ROUND(ROUND((IF(157&lt;=2,'Rate Card'!$AD$23,IF(157&lt;=5,'Rate Card'!$AE$23,IF(157&lt;=10,'Rate Card'!$AF$23,IF(157&lt;=15,'Rate Card'!$AG$23,IF(157&lt;=20,'Rate Card'!$AH$23,IF(157&lt;=35,'Rate Card'!$AH$23+(157-20)*'Rate Card'!$AI$23,'Rate Card'!$AK$23+(157-35)*'Rate Card'!$AJ$23)))))))*(1+'Rate Card'!$C$6),2)*(IF('Rate Card'!$G$6="YES",'Rate Card'!$E$6,0)+IF('Rate Card'!$K$6="YES",'Rate Card'!$I$6,0)),2)</f>
        <v/>
      </c>
      <c r="J161" s="10">
        <f>""</f>
        <v/>
      </c>
      <c r="K161" s="10">
        <f>""</f>
        <v/>
      </c>
      <c r="L161" s="10">
        <f>""</f>
        <v/>
      </c>
      <c r="M161" s="10">
        <f>""</f>
        <v/>
      </c>
      <c r="N161" s="23">
        <f>IF(157&lt;=2,'Rate Card'!$AD$119,IF(157&lt;=5,'Rate Card'!$AE$119,IF(157&lt;=10,'Rate Card'!$AF$119,IF(157&lt;=15,'Rate Card'!$AG$119,IF(157&lt;=20,'Rate Card'!$AH$119,IF(157&lt;=35,'Rate Card'!$AH$119+(157-20)*'Rate Card'!$AI$119,'Rate Card'!$AK$119+(157-35)*'Rate Card'!$AJ$119))))))</f>
        <v/>
      </c>
      <c r="O161" s="23">
        <f>ROUND((IF(157&lt;=2,'Rate Card'!$AD$119,IF(157&lt;=5,'Rate Card'!$AE$119,IF(157&lt;=10,'Rate Card'!$AF$119,IF(157&lt;=15,'Rate Card'!$AG$119,IF(157&lt;=20,'Rate Card'!$AH$119,IF(157&lt;=35,'Rate Card'!$AH$119+(157-20)*'Rate Card'!$AI$119,'Rate Card'!$AK$119+(157-35)*'Rate Card'!$AJ$119)))))))*(1+'Rate Card'!$C$6),2)+ROUND(ROUND((IF(157&lt;=2,'Rate Card'!$AD$119,IF(157&lt;=5,'Rate Card'!$AE$119,IF(157&lt;=10,'Rate Card'!$AF$119,IF(157&lt;=15,'Rate Card'!$AG$119,IF(157&lt;=20,'Rate Card'!$AH$119,IF(157&lt;=35,'Rate Card'!$AH$119+(157-20)*'Rate Card'!$AI$119,'Rate Card'!$AK$119+(157-35)*'Rate Card'!$AJ$119)))))))*(1+'Rate Card'!$C$6),2)*(IF('Rate Card'!$G$6="YES",'Rate Card'!$E$6,0)+IF('Rate Card'!$K$6="YES",'Rate Card'!$I$6,0)),2)</f>
        <v/>
      </c>
      <c r="P161" s="23">
        <f>IF(157&lt;=2,'Rate Card'!$AD$120,IF(157&lt;=5,'Rate Card'!$AE$120,IF(157&lt;=10,'Rate Card'!$AF$120,IF(157&lt;=15,'Rate Card'!$AG$120,IF(157&lt;=20,'Rate Card'!$AH$120,IF(157&lt;=35,'Rate Card'!$AH$120+(157-20)*'Rate Card'!$AI$120,'Rate Card'!$AK$120+(157-35)*'Rate Card'!$AJ$120))))))</f>
        <v/>
      </c>
      <c r="Q161" s="12">
        <f>ROUND((IF(157&lt;=2,'Rate Card'!$AD$120,IF(157&lt;=5,'Rate Card'!$AE$120,IF(157&lt;=10,'Rate Card'!$AF$120,IF(157&lt;=15,'Rate Card'!$AG$120,IF(157&lt;=20,'Rate Card'!$AH$120,IF(157&lt;=35,'Rate Card'!$AH$120+(157-20)*'Rate Card'!$AI$120,'Rate Card'!$AK$120+(157-35)*'Rate Card'!$AJ$120)))))))*(1+'Rate Card'!$C$6),2)+ROUND(ROUND((IF(157&lt;=2,'Rate Card'!$AD$120,IF(157&lt;=5,'Rate Card'!$AE$120,IF(157&lt;=10,'Rate Card'!$AF$120,IF(157&lt;=15,'Rate Card'!$AG$120,IF(157&lt;=20,'Rate Card'!$AH$120,IF(157&lt;=35,'Rate Card'!$AH$120+(157-20)*'Rate Card'!$AI$120,'Rate Card'!$AK$120+(157-35)*'Rate Card'!$AJ$120)))))))*(1+'Rate Card'!$C$6),2)*(IF('Rate Card'!$G$6="YES",'Rate Card'!$E$6,0)+IF('Rate Card'!$K$6="YES",'Rate Card'!$I$6,0)),2)</f>
        <v/>
      </c>
    </row>
    <row r="162">
      <c r="A162" s="75" t="n">
        <v>158</v>
      </c>
      <c r="B162" s="10">
        <f>""</f>
        <v/>
      </c>
      <c r="C162" s="10">
        <f>""</f>
        <v/>
      </c>
      <c r="D162" s="10">
        <f>""</f>
        <v/>
      </c>
      <c r="E162" s="10">
        <f>""</f>
        <v/>
      </c>
      <c r="F162" s="23">
        <f>IF(158&lt;=2,'Rate Card'!$AD$22,IF(158&lt;=5,'Rate Card'!$AE$22,IF(158&lt;=10,'Rate Card'!$AF$22,IF(158&lt;=15,'Rate Card'!$AG$22,IF(158&lt;=20,'Rate Card'!$AH$22,IF(158&lt;=35,'Rate Card'!$AH$22+(158-20)*'Rate Card'!$AI$22,'Rate Card'!$AK$22+(158-35)*'Rate Card'!$AJ$22))))))</f>
        <v/>
      </c>
      <c r="G162" s="23">
        <f>ROUND((IF(158&lt;=2,'Rate Card'!$AD$22,IF(158&lt;=5,'Rate Card'!$AE$22,IF(158&lt;=10,'Rate Card'!$AF$22,IF(158&lt;=15,'Rate Card'!$AG$22,IF(158&lt;=20,'Rate Card'!$AH$22,IF(158&lt;=35,'Rate Card'!$AH$22+(158-20)*'Rate Card'!$AI$22,'Rate Card'!$AK$22+(158-35)*'Rate Card'!$AJ$22)))))))*(1+'Rate Card'!$C$6),2)+ROUND(ROUND((IF(158&lt;=2,'Rate Card'!$AD$22,IF(158&lt;=5,'Rate Card'!$AE$22,IF(158&lt;=10,'Rate Card'!$AF$22,IF(158&lt;=15,'Rate Card'!$AG$22,IF(158&lt;=20,'Rate Card'!$AH$22,IF(158&lt;=35,'Rate Card'!$AH$22+(158-20)*'Rate Card'!$AI$22,'Rate Card'!$AK$22+(158-35)*'Rate Card'!$AJ$22)))))))*(1+'Rate Card'!$C$6),2)*(IF('Rate Card'!$G$6="YES",'Rate Card'!$E$6,0)+IF('Rate Card'!$K$6="YES",'Rate Card'!$I$6,0)),2)</f>
        <v/>
      </c>
      <c r="H162" s="23">
        <f>IF(158&lt;=2,'Rate Card'!$AD$23,IF(158&lt;=5,'Rate Card'!$AE$23,IF(158&lt;=10,'Rate Card'!$AF$23,IF(158&lt;=15,'Rate Card'!$AG$23,IF(158&lt;=20,'Rate Card'!$AH$23,IF(158&lt;=35,'Rate Card'!$AH$23+(158-20)*'Rate Card'!$AI$23,'Rate Card'!$AK$23+(158-35)*'Rate Card'!$AJ$23))))))</f>
        <v/>
      </c>
      <c r="I162" s="23">
        <f>ROUND((IF(158&lt;=2,'Rate Card'!$AD$23,IF(158&lt;=5,'Rate Card'!$AE$23,IF(158&lt;=10,'Rate Card'!$AF$23,IF(158&lt;=15,'Rate Card'!$AG$23,IF(158&lt;=20,'Rate Card'!$AH$23,IF(158&lt;=35,'Rate Card'!$AH$23+(158-20)*'Rate Card'!$AI$23,'Rate Card'!$AK$23+(158-35)*'Rate Card'!$AJ$23)))))))*(1+'Rate Card'!$C$6),2)+ROUND(ROUND((IF(158&lt;=2,'Rate Card'!$AD$23,IF(158&lt;=5,'Rate Card'!$AE$23,IF(158&lt;=10,'Rate Card'!$AF$23,IF(158&lt;=15,'Rate Card'!$AG$23,IF(158&lt;=20,'Rate Card'!$AH$23,IF(158&lt;=35,'Rate Card'!$AH$23+(158-20)*'Rate Card'!$AI$23,'Rate Card'!$AK$23+(158-35)*'Rate Card'!$AJ$23)))))))*(1+'Rate Card'!$C$6),2)*(IF('Rate Card'!$G$6="YES",'Rate Card'!$E$6,0)+IF('Rate Card'!$K$6="YES",'Rate Card'!$I$6,0)),2)</f>
        <v/>
      </c>
      <c r="J162" s="10">
        <f>""</f>
        <v/>
      </c>
      <c r="K162" s="10">
        <f>""</f>
        <v/>
      </c>
      <c r="L162" s="10">
        <f>""</f>
        <v/>
      </c>
      <c r="M162" s="10">
        <f>""</f>
        <v/>
      </c>
      <c r="N162" s="23">
        <f>IF(158&lt;=2,'Rate Card'!$AD$119,IF(158&lt;=5,'Rate Card'!$AE$119,IF(158&lt;=10,'Rate Card'!$AF$119,IF(158&lt;=15,'Rate Card'!$AG$119,IF(158&lt;=20,'Rate Card'!$AH$119,IF(158&lt;=35,'Rate Card'!$AH$119+(158-20)*'Rate Card'!$AI$119,'Rate Card'!$AK$119+(158-35)*'Rate Card'!$AJ$119))))))</f>
        <v/>
      </c>
      <c r="O162" s="23">
        <f>ROUND((IF(158&lt;=2,'Rate Card'!$AD$119,IF(158&lt;=5,'Rate Card'!$AE$119,IF(158&lt;=10,'Rate Card'!$AF$119,IF(158&lt;=15,'Rate Card'!$AG$119,IF(158&lt;=20,'Rate Card'!$AH$119,IF(158&lt;=35,'Rate Card'!$AH$119+(158-20)*'Rate Card'!$AI$119,'Rate Card'!$AK$119+(158-35)*'Rate Card'!$AJ$119)))))))*(1+'Rate Card'!$C$6),2)+ROUND(ROUND((IF(158&lt;=2,'Rate Card'!$AD$119,IF(158&lt;=5,'Rate Card'!$AE$119,IF(158&lt;=10,'Rate Card'!$AF$119,IF(158&lt;=15,'Rate Card'!$AG$119,IF(158&lt;=20,'Rate Card'!$AH$119,IF(158&lt;=35,'Rate Card'!$AH$119+(158-20)*'Rate Card'!$AI$119,'Rate Card'!$AK$119+(158-35)*'Rate Card'!$AJ$119)))))))*(1+'Rate Card'!$C$6),2)*(IF('Rate Card'!$G$6="YES",'Rate Card'!$E$6,0)+IF('Rate Card'!$K$6="YES",'Rate Card'!$I$6,0)),2)</f>
        <v/>
      </c>
      <c r="P162" s="23">
        <f>IF(158&lt;=2,'Rate Card'!$AD$120,IF(158&lt;=5,'Rate Card'!$AE$120,IF(158&lt;=10,'Rate Card'!$AF$120,IF(158&lt;=15,'Rate Card'!$AG$120,IF(158&lt;=20,'Rate Card'!$AH$120,IF(158&lt;=35,'Rate Card'!$AH$120+(158-20)*'Rate Card'!$AI$120,'Rate Card'!$AK$120+(158-35)*'Rate Card'!$AJ$120))))))</f>
        <v/>
      </c>
      <c r="Q162" s="12">
        <f>ROUND((IF(158&lt;=2,'Rate Card'!$AD$120,IF(158&lt;=5,'Rate Card'!$AE$120,IF(158&lt;=10,'Rate Card'!$AF$120,IF(158&lt;=15,'Rate Card'!$AG$120,IF(158&lt;=20,'Rate Card'!$AH$120,IF(158&lt;=35,'Rate Card'!$AH$120+(158-20)*'Rate Card'!$AI$120,'Rate Card'!$AK$120+(158-35)*'Rate Card'!$AJ$120)))))))*(1+'Rate Card'!$C$6),2)+ROUND(ROUND((IF(158&lt;=2,'Rate Card'!$AD$120,IF(158&lt;=5,'Rate Card'!$AE$120,IF(158&lt;=10,'Rate Card'!$AF$120,IF(158&lt;=15,'Rate Card'!$AG$120,IF(158&lt;=20,'Rate Card'!$AH$120,IF(158&lt;=35,'Rate Card'!$AH$120+(158-20)*'Rate Card'!$AI$120,'Rate Card'!$AK$120+(158-35)*'Rate Card'!$AJ$120)))))))*(1+'Rate Card'!$C$6),2)*(IF('Rate Card'!$G$6="YES",'Rate Card'!$E$6,0)+IF('Rate Card'!$K$6="YES",'Rate Card'!$I$6,0)),2)</f>
        <v/>
      </c>
    </row>
    <row r="163">
      <c r="A163" s="75" t="n">
        <v>159</v>
      </c>
      <c r="B163" s="10">
        <f>""</f>
        <v/>
      </c>
      <c r="C163" s="10">
        <f>""</f>
        <v/>
      </c>
      <c r="D163" s="10">
        <f>""</f>
        <v/>
      </c>
      <c r="E163" s="10">
        <f>""</f>
        <v/>
      </c>
      <c r="F163" s="23">
        <f>IF(159&lt;=2,'Rate Card'!$AD$22,IF(159&lt;=5,'Rate Card'!$AE$22,IF(159&lt;=10,'Rate Card'!$AF$22,IF(159&lt;=15,'Rate Card'!$AG$22,IF(159&lt;=20,'Rate Card'!$AH$22,IF(159&lt;=35,'Rate Card'!$AH$22+(159-20)*'Rate Card'!$AI$22,'Rate Card'!$AK$22+(159-35)*'Rate Card'!$AJ$22))))))</f>
        <v/>
      </c>
      <c r="G163" s="23">
        <f>ROUND((IF(159&lt;=2,'Rate Card'!$AD$22,IF(159&lt;=5,'Rate Card'!$AE$22,IF(159&lt;=10,'Rate Card'!$AF$22,IF(159&lt;=15,'Rate Card'!$AG$22,IF(159&lt;=20,'Rate Card'!$AH$22,IF(159&lt;=35,'Rate Card'!$AH$22+(159-20)*'Rate Card'!$AI$22,'Rate Card'!$AK$22+(159-35)*'Rate Card'!$AJ$22)))))))*(1+'Rate Card'!$C$6),2)+ROUND(ROUND((IF(159&lt;=2,'Rate Card'!$AD$22,IF(159&lt;=5,'Rate Card'!$AE$22,IF(159&lt;=10,'Rate Card'!$AF$22,IF(159&lt;=15,'Rate Card'!$AG$22,IF(159&lt;=20,'Rate Card'!$AH$22,IF(159&lt;=35,'Rate Card'!$AH$22+(159-20)*'Rate Card'!$AI$22,'Rate Card'!$AK$22+(159-35)*'Rate Card'!$AJ$22)))))))*(1+'Rate Card'!$C$6),2)*(IF('Rate Card'!$G$6="YES",'Rate Card'!$E$6,0)+IF('Rate Card'!$K$6="YES",'Rate Card'!$I$6,0)),2)</f>
        <v/>
      </c>
      <c r="H163" s="23">
        <f>IF(159&lt;=2,'Rate Card'!$AD$23,IF(159&lt;=5,'Rate Card'!$AE$23,IF(159&lt;=10,'Rate Card'!$AF$23,IF(159&lt;=15,'Rate Card'!$AG$23,IF(159&lt;=20,'Rate Card'!$AH$23,IF(159&lt;=35,'Rate Card'!$AH$23+(159-20)*'Rate Card'!$AI$23,'Rate Card'!$AK$23+(159-35)*'Rate Card'!$AJ$23))))))</f>
        <v/>
      </c>
      <c r="I163" s="23">
        <f>ROUND((IF(159&lt;=2,'Rate Card'!$AD$23,IF(159&lt;=5,'Rate Card'!$AE$23,IF(159&lt;=10,'Rate Card'!$AF$23,IF(159&lt;=15,'Rate Card'!$AG$23,IF(159&lt;=20,'Rate Card'!$AH$23,IF(159&lt;=35,'Rate Card'!$AH$23+(159-20)*'Rate Card'!$AI$23,'Rate Card'!$AK$23+(159-35)*'Rate Card'!$AJ$23)))))))*(1+'Rate Card'!$C$6),2)+ROUND(ROUND((IF(159&lt;=2,'Rate Card'!$AD$23,IF(159&lt;=5,'Rate Card'!$AE$23,IF(159&lt;=10,'Rate Card'!$AF$23,IF(159&lt;=15,'Rate Card'!$AG$23,IF(159&lt;=20,'Rate Card'!$AH$23,IF(159&lt;=35,'Rate Card'!$AH$23+(159-20)*'Rate Card'!$AI$23,'Rate Card'!$AK$23+(159-35)*'Rate Card'!$AJ$23)))))))*(1+'Rate Card'!$C$6),2)*(IF('Rate Card'!$G$6="YES",'Rate Card'!$E$6,0)+IF('Rate Card'!$K$6="YES",'Rate Card'!$I$6,0)),2)</f>
        <v/>
      </c>
      <c r="J163" s="10">
        <f>""</f>
        <v/>
      </c>
      <c r="K163" s="10">
        <f>""</f>
        <v/>
      </c>
      <c r="L163" s="10">
        <f>""</f>
        <v/>
      </c>
      <c r="M163" s="10">
        <f>""</f>
        <v/>
      </c>
      <c r="N163" s="23">
        <f>IF(159&lt;=2,'Rate Card'!$AD$119,IF(159&lt;=5,'Rate Card'!$AE$119,IF(159&lt;=10,'Rate Card'!$AF$119,IF(159&lt;=15,'Rate Card'!$AG$119,IF(159&lt;=20,'Rate Card'!$AH$119,IF(159&lt;=35,'Rate Card'!$AH$119+(159-20)*'Rate Card'!$AI$119,'Rate Card'!$AK$119+(159-35)*'Rate Card'!$AJ$119))))))</f>
        <v/>
      </c>
      <c r="O163" s="23">
        <f>ROUND((IF(159&lt;=2,'Rate Card'!$AD$119,IF(159&lt;=5,'Rate Card'!$AE$119,IF(159&lt;=10,'Rate Card'!$AF$119,IF(159&lt;=15,'Rate Card'!$AG$119,IF(159&lt;=20,'Rate Card'!$AH$119,IF(159&lt;=35,'Rate Card'!$AH$119+(159-20)*'Rate Card'!$AI$119,'Rate Card'!$AK$119+(159-35)*'Rate Card'!$AJ$119)))))))*(1+'Rate Card'!$C$6),2)+ROUND(ROUND((IF(159&lt;=2,'Rate Card'!$AD$119,IF(159&lt;=5,'Rate Card'!$AE$119,IF(159&lt;=10,'Rate Card'!$AF$119,IF(159&lt;=15,'Rate Card'!$AG$119,IF(159&lt;=20,'Rate Card'!$AH$119,IF(159&lt;=35,'Rate Card'!$AH$119+(159-20)*'Rate Card'!$AI$119,'Rate Card'!$AK$119+(159-35)*'Rate Card'!$AJ$119)))))))*(1+'Rate Card'!$C$6),2)*(IF('Rate Card'!$G$6="YES",'Rate Card'!$E$6,0)+IF('Rate Card'!$K$6="YES",'Rate Card'!$I$6,0)),2)</f>
        <v/>
      </c>
      <c r="P163" s="23">
        <f>IF(159&lt;=2,'Rate Card'!$AD$120,IF(159&lt;=5,'Rate Card'!$AE$120,IF(159&lt;=10,'Rate Card'!$AF$120,IF(159&lt;=15,'Rate Card'!$AG$120,IF(159&lt;=20,'Rate Card'!$AH$120,IF(159&lt;=35,'Rate Card'!$AH$120+(159-20)*'Rate Card'!$AI$120,'Rate Card'!$AK$120+(159-35)*'Rate Card'!$AJ$120))))))</f>
        <v/>
      </c>
      <c r="Q163" s="12">
        <f>ROUND((IF(159&lt;=2,'Rate Card'!$AD$120,IF(159&lt;=5,'Rate Card'!$AE$120,IF(159&lt;=10,'Rate Card'!$AF$120,IF(159&lt;=15,'Rate Card'!$AG$120,IF(159&lt;=20,'Rate Card'!$AH$120,IF(159&lt;=35,'Rate Card'!$AH$120+(159-20)*'Rate Card'!$AI$120,'Rate Card'!$AK$120+(159-35)*'Rate Card'!$AJ$120)))))))*(1+'Rate Card'!$C$6),2)+ROUND(ROUND((IF(159&lt;=2,'Rate Card'!$AD$120,IF(159&lt;=5,'Rate Card'!$AE$120,IF(159&lt;=10,'Rate Card'!$AF$120,IF(159&lt;=15,'Rate Card'!$AG$120,IF(159&lt;=20,'Rate Card'!$AH$120,IF(159&lt;=35,'Rate Card'!$AH$120+(159-20)*'Rate Card'!$AI$120,'Rate Card'!$AK$120+(159-35)*'Rate Card'!$AJ$120)))))))*(1+'Rate Card'!$C$6),2)*(IF('Rate Card'!$G$6="YES",'Rate Card'!$E$6,0)+IF('Rate Card'!$K$6="YES",'Rate Card'!$I$6,0)),2)</f>
        <v/>
      </c>
    </row>
    <row r="164">
      <c r="A164" s="75" t="n">
        <v>160</v>
      </c>
      <c r="B164" s="10">
        <f>""</f>
        <v/>
      </c>
      <c r="C164" s="10">
        <f>""</f>
        <v/>
      </c>
      <c r="D164" s="10">
        <f>""</f>
        <v/>
      </c>
      <c r="E164" s="10">
        <f>""</f>
        <v/>
      </c>
      <c r="F164" s="23">
        <f>IF(160&lt;=2,'Rate Card'!$AD$22,IF(160&lt;=5,'Rate Card'!$AE$22,IF(160&lt;=10,'Rate Card'!$AF$22,IF(160&lt;=15,'Rate Card'!$AG$22,IF(160&lt;=20,'Rate Card'!$AH$22,IF(160&lt;=35,'Rate Card'!$AH$22+(160-20)*'Rate Card'!$AI$22,'Rate Card'!$AK$22+(160-35)*'Rate Card'!$AJ$22))))))</f>
        <v/>
      </c>
      <c r="G164" s="23">
        <f>ROUND((IF(160&lt;=2,'Rate Card'!$AD$22,IF(160&lt;=5,'Rate Card'!$AE$22,IF(160&lt;=10,'Rate Card'!$AF$22,IF(160&lt;=15,'Rate Card'!$AG$22,IF(160&lt;=20,'Rate Card'!$AH$22,IF(160&lt;=35,'Rate Card'!$AH$22+(160-20)*'Rate Card'!$AI$22,'Rate Card'!$AK$22+(160-35)*'Rate Card'!$AJ$22)))))))*(1+'Rate Card'!$C$6),2)+ROUND(ROUND((IF(160&lt;=2,'Rate Card'!$AD$22,IF(160&lt;=5,'Rate Card'!$AE$22,IF(160&lt;=10,'Rate Card'!$AF$22,IF(160&lt;=15,'Rate Card'!$AG$22,IF(160&lt;=20,'Rate Card'!$AH$22,IF(160&lt;=35,'Rate Card'!$AH$22+(160-20)*'Rate Card'!$AI$22,'Rate Card'!$AK$22+(160-35)*'Rate Card'!$AJ$22)))))))*(1+'Rate Card'!$C$6),2)*(IF('Rate Card'!$G$6="YES",'Rate Card'!$E$6,0)+IF('Rate Card'!$K$6="YES",'Rate Card'!$I$6,0)),2)</f>
        <v/>
      </c>
      <c r="H164" s="23">
        <f>IF(160&lt;=2,'Rate Card'!$AD$23,IF(160&lt;=5,'Rate Card'!$AE$23,IF(160&lt;=10,'Rate Card'!$AF$23,IF(160&lt;=15,'Rate Card'!$AG$23,IF(160&lt;=20,'Rate Card'!$AH$23,IF(160&lt;=35,'Rate Card'!$AH$23+(160-20)*'Rate Card'!$AI$23,'Rate Card'!$AK$23+(160-35)*'Rate Card'!$AJ$23))))))</f>
        <v/>
      </c>
      <c r="I164" s="23">
        <f>ROUND((IF(160&lt;=2,'Rate Card'!$AD$23,IF(160&lt;=5,'Rate Card'!$AE$23,IF(160&lt;=10,'Rate Card'!$AF$23,IF(160&lt;=15,'Rate Card'!$AG$23,IF(160&lt;=20,'Rate Card'!$AH$23,IF(160&lt;=35,'Rate Card'!$AH$23+(160-20)*'Rate Card'!$AI$23,'Rate Card'!$AK$23+(160-35)*'Rate Card'!$AJ$23)))))))*(1+'Rate Card'!$C$6),2)+ROUND(ROUND((IF(160&lt;=2,'Rate Card'!$AD$23,IF(160&lt;=5,'Rate Card'!$AE$23,IF(160&lt;=10,'Rate Card'!$AF$23,IF(160&lt;=15,'Rate Card'!$AG$23,IF(160&lt;=20,'Rate Card'!$AH$23,IF(160&lt;=35,'Rate Card'!$AH$23+(160-20)*'Rate Card'!$AI$23,'Rate Card'!$AK$23+(160-35)*'Rate Card'!$AJ$23)))))))*(1+'Rate Card'!$C$6),2)*(IF('Rate Card'!$G$6="YES",'Rate Card'!$E$6,0)+IF('Rate Card'!$K$6="YES",'Rate Card'!$I$6,0)),2)</f>
        <v/>
      </c>
      <c r="J164" s="10">
        <f>""</f>
        <v/>
      </c>
      <c r="K164" s="10">
        <f>""</f>
        <v/>
      </c>
      <c r="L164" s="10">
        <f>""</f>
        <v/>
      </c>
      <c r="M164" s="10">
        <f>""</f>
        <v/>
      </c>
      <c r="N164" s="23">
        <f>IF(160&lt;=2,'Rate Card'!$AD$119,IF(160&lt;=5,'Rate Card'!$AE$119,IF(160&lt;=10,'Rate Card'!$AF$119,IF(160&lt;=15,'Rate Card'!$AG$119,IF(160&lt;=20,'Rate Card'!$AH$119,IF(160&lt;=35,'Rate Card'!$AH$119+(160-20)*'Rate Card'!$AI$119,'Rate Card'!$AK$119+(160-35)*'Rate Card'!$AJ$119))))))</f>
        <v/>
      </c>
      <c r="O164" s="23">
        <f>ROUND((IF(160&lt;=2,'Rate Card'!$AD$119,IF(160&lt;=5,'Rate Card'!$AE$119,IF(160&lt;=10,'Rate Card'!$AF$119,IF(160&lt;=15,'Rate Card'!$AG$119,IF(160&lt;=20,'Rate Card'!$AH$119,IF(160&lt;=35,'Rate Card'!$AH$119+(160-20)*'Rate Card'!$AI$119,'Rate Card'!$AK$119+(160-35)*'Rate Card'!$AJ$119)))))))*(1+'Rate Card'!$C$6),2)+ROUND(ROUND((IF(160&lt;=2,'Rate Card'!$AD$119,IF(160&lt;=5,'Rate Card'!$AE$119,IF(160&lt;=10,'Rate Card'!$AF$119,IF(160&lt;=15,'Rate Card'!$AG$119,IF(160&lt;=20,'Rate Card'!$AH$119,IF(160&lt;=35,'Rate Card'!$AH$119+(160-20)*'Rate Card'!$AI$119,'Rate Card'!$AK$119+(160-35)*'Rate Card'!$AJ$119)))))))*(1+'Rate Card'!$C$6),2)*(IF('Rate Card'!$G$6="YES",'Rate Card'!$E$6,0)+IF('Rate Card'!$K$6="YES",'Rate Card'!$I$6,0)),2)</f>
        <v/>
      </c>
      <c r="P164" s="23">
        <f>IF(160&lt;=2,'Rate Card'!$AD$120,IF(160&lt;=5,'Rate Card'!$AE$120,IF(160&lt;=10,'Rate Card'!$AF$120,IF(160&lt;=15,'Rate Card'!$AG$120,IF(160&lt;=20,'Rate Card'!$AH$120,IF(160&lt;=35,'Rate Card'!$AH$120+(160-20)*'Rate Card'!$AI$120,'Rate Card'!$AK$120+(160-35)*'Rate Card'!$AJ$120))))))</f>
        <v/>
      </c>
      <c r="Q164" s="12">
        <f>ROUND((IF(160&lt;=2,'Rate Card'!$AD$120,IF(160&lt;=5,'Rate Card'!$AE$120,IF(160&lt;=10,'Rate Card'!$AF$120,IF(160&lt;=15,'Rate Card'!$AG$120,IF(160&lt;=20,'Rate Card'!$AH$120,IF(160&lt;=35,'Rate Card'!$AH$120+(160-20)*'Rate Card'!$AI$120,'Rate Card'!$AK$120+(160-35)*'Rate Card'!$AJ$120)))))))*(1+'Rate Card'!$C$6),2)+ROUND(ROUND((IF(160&lt;=2,'Rate Card'!$AD$120,IF(160&lt;=5,'Rate Card'!$AE$120,IF(160&lt;=10,'Rate Card'!$AF$120,IF(160&lt;=15,'Rate Card'!$AG$120,IF(160&lt;=20,'Rate Card'!$AH$120,IF(160&lt;=35,'Rate Card'!$AH$120+(160-20)*'Rate Card'!$AI$120,'Rate Card'!$AK$120+(160-35)*'Rate Card'!$AJ$120)))))))*(1+'Rate Card'!$C$6),2)*(IF('Rate Card'!$G$6="YES",'Rate Card'!$E$6,0)+IF('Rate Card'!$K$6="YES",'Rate Card'!$I$6,0)),2)</f>
        <v/>
      </c>
    </row>
    <row r="165">
      <c r="A165" s="75" t="n">
        <v>161</v>
      </c>
      <c r="B165" s="10">
        <f>""</f>
        <v/>
      </c>
      <c r="C165" s="10">
        <f>""</f>
        <v/>
      </c>
      <c r="D165" s="10">
        <f>""</f>
        <v/>
      </c>
      <c r="E165" s="10">
        <f>""</f>
        <v/>
      </c>
      <c r="F165" s="23">
        <f>IF(161&lt;=2,'Rate Card'!$AD$22,IF(161&lt;=5,'Rate Card'!$AE$22,IF(161&lt;=10,'Rate Card'!$AF$22,IF(161&lt;=15,'Rate Card'!$AG$22,IF(161&lt;=20,'Rate Card'!$AH$22,IF(161&lt;=35,'Rate Card'!$AH$22+(161-20)*'Rate Card'!$AI$22,'Rate Card'!$AK$22+(161-35)*'Rate Card'!$AJ$22))))))</f>
        <v/>
      </c>
      <c r="G165" s="23">
        <f>ROUND((IF(161&lt;=2,'Rate Card'!$AD$22,IF(161&lt;=5,'Rate Card'!$AE$22,IF(161&lt;=10,'Rate Card'!$AF$22,IF(161&lt;=15,'Rate Card'!$AG$22,IF(161&lt;=20,'Rate Card'!$AH$22,IF(161&lt;=35,'Rate Card'!$AH$22+(161-20)*'Rate Card'!$AI$22,'Rate Card'!$AK$22+(161-35)*'Rate Card'!$AJ$22)))))))*(1+'Rate Card'!$C$6),2)+ROUND(ROUND((IF(161&lt;=2,'Rate Card'!$AD$22,IF(161&lt;=5,'Rate Card'!$AE$22,IF(161&lt;=10,'Rate Card'!$AF$22,IF(161&lt;=15,'Rate Card'!$AG$22,IF(161&lt;=20,'Rate Card'!$AH$22,IF(161&lt;=35,'Rate Card'!$AH$22+(161-20)*'Rate Card'!$AI$22,'Rate Card'!$AK$22+(161-35)*'Rate Card'!$AJ$22)))))))*(1+'Rate Card'!$C$6),2)*(IF('Rate Card'!$G$6="YES",'Rate Card'!$E$6,0)+IF('Rate Card'!$K$6="YES",'Rate Card'!$I$6,0)),2)</f>
        <v/>
      </c>
      <c r="H165" s="23">
        <f>IF(161&lt;=2,'Rate Card'!$AD$23,IF(161&lt;=5,'Rate Card'!$AE$23,IF(161&lt;=10,'Rate Card'!$AF$23,IF(161&lt;=15,'Rate Card'!$AG$23,IF(161&lt;=20,'Rate Card'!$AH$23,IF(161&lt;=35,'Rate Card'!$AH$23+(161-20)*'Rate Card'!$AI$23,'Rate Card'!$AK$23+(161-35)*'Rate Card'!$AJ$23))))))</f>
        <v/>
      </c>
      <c r="I165" s="23">
        <f>ROUND((IF(161&lt;=2,'Rate Card'!$AD$23,IF(161&lt;=5,'Rate Card'!$AE$23,IF(161&lt;=10,'Rate Card'!$AF$23,IF(161&lt;=15,'Rate Card'!$AG$23,IF(161&lt;=20,'Rate Card'!$AH$23,IF(161&lt;=35,'Rate Card'!$AH$23+(161-20)*'Rate Card'!$AI$23,'Rate Card'!$AK$23+(161-35)*'Rate Card'!$AJ$23)))))))*(1+'Rate Card'!$C$6),2)+ROUND(ROUND((IF(161&lt;=2,'Rate Card'!$AD$23,IF(161&lt;=5,'Rate Card'!$AE$23,IF(161&lt;=10,'Rate Card'!$AF$23,IF(161&lt;=15,'Rate Card'!$AG$23,IF(161&lt;=20,'Rate Card'!$AH$23,IF(161&lt;=35,'Rate Card'!$AH$23+(161-20)*'Rate Card'!$AI$23,'Rate Card'!$AK$23+(161-35)*'Rate Card'!$AJ$23)))))))*(1+'Rate Card'!$C$6),2)*(IF('Rate Card'!$G$6="YES",'Rate Card'!$E$6,0)+IF('Rate Card'!$K$6="YES",'Rate Card'!$I$6,0)),2)</f>
        <v/>
      </c>
      <c r="J165" s="10">
        <f>""</f>
        <v/>
      </c>
      <c r="K165" s="10">
        <f>""</f>
        <v/>
      </c>
      <c r="L165" s="10">
        <f>""</f>
        <v/>
      </c>
      <c r="M165" s="10">
        <f>""</f>
        <v/>
      </c>
      <c r="N165" s="23">
        <f>IF(161&lt;=2,'Rate Card'!$AD$119,IF(161&lt;=5,'Rate Card'!$AE$119,IF(161&lt;=10,'Rate Card'!$AF$119,IF(161&lt;=15,'Rate Card'!$AG$119,IF(161&lt;=20,'Rate Card'!$AH$119,IF(161&lt;=35,'Rate Card'!$AH$119+(161-20)*'Rate Card'!$AI$119,'Rate Card'!$AK$119+(161-35)*'Rate Card'!$AJ$119))))))</f>
        <v/>
      </c>
      <c r="O165" s="23">
        <f>ROUND((IF(161&lt;=2,'Rate Card'!$AD$119,IF(161&lt;=5,'Rate Card'!$AE$119,IF(161&lt;=10,'Rate Card'!$AF$119,IF(161&lt;=15,'Rate Card'!$AG$119,IF(161&lt;=20,'Rate Card'!$AH$119,IF(161&lt;=35,'Rate Card'!$AH$119+(161-20)*'Rate Card'!$AI$119,'Rate Card'!$AK$119+(161-35)*'Rate Card'!$AJ$119)))))))*(1+'Rate Card'!$C$6),2)+ROUND(ROUND((IF(161&lt;=2,'Rate Card'!$AD$119,IF(161&lt;=5,'Rate Card'!$AE$119,IF(161&lt;=10,'Rate Card'!$AF$119,IF(161&lt;=15,'Rate Card'!$AG$119,IF(161&lt;=20,'Rate Card'!$AH$119,IF(161&lt;=35,'Rate Card'!$AH$119+(161-20)*'Rate Card'!$AI$119,'Rate Card'!$AK$119+(161-35)*'Rate Card'!$AJ$119)))))))*(1+'Rate Card'!$C$6),2)*(IF('Rate Card'!$G$6="YES",'Rate Card'!$E$6,0)+IF('Rate Card'!$K$6="YES",'Rate Card'!$I$6,0)),2)</f>
        <v/>
      </c>
      <c r="P165" s="23">
        <f>IF(161&lt;=2,'Rate Card'!$AD$120,IF(161&lt;=5,'Rate Card'!$AE$120,IF(161&lt;=10,'Rate Card'!$AF$120,IF(161&lt;=15,'Rate Card'!$AG$120,IF(161&lt;=20,'Rate Card'!$AH$120,IF(161&lt;=35,'Rate Card'!$AH$120+(161-20)*'Rate Card'!$AI$120,'Rate Card'!$AK$120+(161-35)*'Rate Card'!$AJ$120))))))</f>
        <v/>
      </c>
      <c r="Q165" s="12">
        <f>ROUND((IF(161&lt;=2,'Rate Card'!$AD$120,IF(161&lt;=5,'Rate Card'!$AE$120,IF(161&lt;=10,'Rate Card'!$AF$120,IF(161&lt;=15,'Rate Card'!$AG$120,IF(161&lt;=20,'Rate Card'!$AH$120,IF(161&lt;=35,'Rate Card'!$AH$120+(161-20)*'Rate Card'!$AI$120,'Rate Card'!$AK$120+(161-35)*'Rate Card'!$AJ$120)))))))*(1+'Rate Card'!$C$6),2)+ROUND(ROUND((IF(161&lt;=2,'Rate Card'!$AD$120,IF(161&lt;=5,'Rate Card'!$AE$120,IF(161&lt;=10,'Rate Card'!$AF$120,IF(161&lt;=15,'Rate Card'!$AG$120,IF(161&lt;=20,'Rate Card'!$AH$120,IF(161&lt;=35,'Rate Card'!$AH$120+(161-20)*'Rate Card'!$AI$120,'Rate Card'!$AK$120+(161-35)*'Rate Card'!$AJ$120)))))))*(1+'Rate Card'!$C$6),2)*(IF('Rate Card'!$G$6="YES",'Rate Card'!$E$6,0)+IF('Rate Card'!$K$6="YES",'Rate Card'!$I$6,0)),2)</f>
        <v/>
      </c>
    </row>
    <row r="166">
      <c r="A166" s="75" t="n">
        <v>162</v>
      </c>
      <c r="B166" s="10">
        <f>""</f>
        <v/>
      </c>
      <c r="C166" s="10">
        <f>""</f>
        <v/>
      </c>
      <c r="D166" s="10">
        <f>""</f>
        <v/>
      </c>
      <c r="E166" s="10">
        <f>""</f>
        <v/>
      </c>
      <c r="F166" s="23">
        <f>IF(162&lt;=2,'Rate Card'!$AD$22,IF(162&lt;=5,'Rate Card'!$AE$22,IF(162&lt;=10,'Rate Card'!$AF$22,IF(162&lt;=15,'Rate Card'!$AG$22,IF(162&lt;=20,'Rate Card'!$AH$22,IF(162&lt;=35,'Rate Card'!$AH$22+(162-20)*'Rate Card'!$AI$22,'Rate Card'!$AK$22+(162-35)*'Rate Card'!$AJ$22))))))</f>
        <v/>
      </c>
      <c r="G166" s="23">
        <f>ROUND((IF(162&lt;=2,'Rate Card'!$AD$22,IF(162&lt;=5,'Rate Card'!$AE$22,IF(162&lt;=10,'Rate Card'!$AF$22,IF(162&lt;=15,'Rate Card'!$AG$22,IF(162&lt;=20,'Rate Card'!$AH$22,IF(162&lt;=35,'Rate Card'!$AH$22+(162-20)*'Rate Card'!$AI$22,'Rate Card'!$AK$22+(162-35)*'Rate Card'!$AJ$22)))))))*(1+'Rate Card'!$C$6),2)+ROUND(ROUND((IF(162&lt;=2,'Rate Card'!$AD$22,IF(162&lt;=5,'Rate Card'!$AE$22,IF(162&lt;=10,'Rate Card'!$AF$22,IF(162&lt;=15,'Rate Card'!$AG$22,IF(162&lt;=20,'Rate Card'!$AH$22,IF(162&lt;=35,'Rate Card'!$AH$22+(162-20)*'Rate Card'!$AI$22,'Rate Card'!$AK$22+(162-35)*'Rate Card'!$AJ$22)))))))*(1+'Rate Card'!$C$6),2)*(IF('Rate Card'!$G$6="YES",'Rate Card'!$E$6,0)+IF('Rate Card'!$K$6="YES",'Rate Card'!$I$6,0)),2)</f>
        <v/>
      </c>
      <c r="H166" s="23">
        <f>IF(162&lt;=2,'Rate Card'!$AD$23,IF(162&lt;=5,'Rate Card'!$AE$23,IF(162&lt;=10,'Rate Card'!$AF$23,IF(162&lt;=15,'Rate Card'!$AG$23,IF(162&lt;=20,'Rate Card'!$AH$23,IF(162&lt;=35,'Rate Card'!$AH$23+(162-20)*'Rate Card'!$AI$23,'Rate Card'!$AK$23+(162-35)*'Rate Card'!$AJ$23))))))</f>
        <v/>
      </c>
      <c r="I166" s="23">
        <f>ROUND((IF(162&lt;=2,'Rate Card'!$AD$23,IF(162&lt;=5,'Rate Card'!$AE$23,IF(162&lt;=10,'Rate Card'!$AF$23,IF(162&lt;=15,'Rate Card'!$AG$23,IF(162&lt;=20,'Rate Card'!$AH$23,IF(162&lt;=35,'Rate Card'!$AH$23+(162-20)*'Rate Card'!$AI$23,'Rate Card'!$AK$23+(162-35)*'Rate Card'!$AJ$23)))))))*(1+'Rate Card'!$C$6),2)+ROUND(ROUND((IF(162&lt;=2,'Rate Card'!$AD$23,IF(162&lt;=5,'Rate Card'!$AE$23,IF(162&lt;=10,'Rate Card'!$AF$23,IF(162&lt;=15,'Rate Card'!$AG$23,IF(162&lt;=20,'Rate Card'!$AH$23,IF(162&lt;=35,'Rate Card'!$AH$23+(162-20)*'Rate Card'!$AI$23,'Rate Card'!$AK$23+(162-35)*'Rate Card'!$AJ$23)))))))*(1+'Rate Card'!$C$6),2)*(IF('Rate Card'!$G$6="YES",'Rate Card'!$E$6,0)+IF('Rate Card'!$K$6="YES",'Rate Card'!$I$6,0)),2)</f>
        <v/>
      </c>
      <c r="J166" s="10">
        <f>""</f>
        <v/>
      </c>
      <c r="K166" s="10">
        <f>""</f>
        <v/>
      </c>
      <c r="L166" s="10">
        <f>""</f>
        <v/>
      </c>
      <c r="M166" s="10">
        <f>""</f>
        <v/>
      </c>
      <c r="N166" s="23">
        <f>IF(162&lt;=2,'Rate Card'!$AD$119,IF(162&lt;=5,'Rate Card'!$AE$119,IF(162&lt;=10,'Rate Card'!$AF$119,IF(162&lt;=15,'Rate Card'!$AG$119,IF(162&lt;=20,'Rate Card'!$AH$119,IF(162&lt;=35,'Rate Card'!$AH$119+(162-20)*'Rate Card'!$AI$119,'Rate Card'!$AK$119+(162-35)*'Rate Card'!$AJ$119))))))</f>
        <v/>
      </c>
      <c r="O166" s="23">
        <f>ROUND((IF(162&lt;=2,'Rate Card'!$AD$119,IF(162&lt;=5,'Rate Card'!$AE$119,IF(162&lt;=10,'Rate Card'!$AF$119,IF(162&lt;=15,'Rate Card'!$AG$119,IF(162&lt;=20,'Rate Card'!$AH$119,IF(162&lt;=35,'Rate Card'!$AH$119+(162-20)*'Rate Card'!$AI$119,'Rate Card'!$AK$119+(162-35)*'Rate Card'!$AJ$119)))))))*(1+'Rate Card'!$C$6),2)+ROUND(ROUND((IF(162&lt;=2,'Rate Card'!$AD$119,IF(162&lt;=5,'Rate Card'!$AE$119,IF(162&lt;=10,'Rate Card'!$AF$119,IF(162&lt;=15,'Rate Card'!$AG$119,IF(162&lt;=20,'Rate Card'!$AH$119,IF(162&lt;=35,'Rate Card'!$AH$119+(162-20)*'Rate Card'!$AI$119,'Rate Card'!$AK$119+(162-35)*'Rate Card'!$AJ$119)))))))*(1+'Rate Card'!$C$6),2)*(IF('Rate Card'!$G$6="YES",'Rate Card'!$E$6,0)+IF('Rate Card'!$K$6="YES",'Rate Card'!$I$6,0)),2)</f>
        <v/>
      </c>
      <c r="P166" s="23">
        <f>IF(162&lt;=2,'Rate Card'!$AD$120,IF(162&lt;=5,'Rate Card'!$AE$120,IF(162&lt;=10,'Rate Card'!$AF$120,IF(162&lt;=15,'Rate Card'!$AG$120,IF(162&lt;=20,'Rate Card'!$AH$120,IF(162&lt;=35,'Rate Card'!$AH$120+(162-20)*'Rate Card'!$AI$120,'Rate Card'!$AK$120+(162-35)*'Rate Card'!$AJ$120))))))</f>
        <v/>
      </c>
      <c r="Q166" s="12">
        <f>ROUND((IF(162&lt;=2,'Rate Card'!$AD$120,IF(162&lt;=5,'Rate Card'!$AE$120,IF(162&lt;=10,'Rate Card'!$AF$120,IF(162&lt;=15,'Rate Card'!$AG$120,IF(162&lt;=20,'Rate Card'!$AH$120,IF(162&lt;=35,'Rate Card'!$AH$120+(162-20)*'Rate Card'!$AI$120,'Rate Card'!$AK$120+(162-35)*'Rate Card'!$AJ$120)))))))*(1+'Rate Card'!$C$6),2)+ROUND(ROUND((IF(162&lt;=2,'Rate Card'!$AD$120,IF(162&lt;=5,'Rate Card'!$AE$120,IF(162&lt;=10,'Rate Card'!$AF$120,IF(162&lt;=15,'Rate Card'!$AG$120,IF(162&lt;=20,'Rate Card'!$AH$120,IF(162&lt;=35,'Rate Card'!$AH$120+(162-20)*'Rate Card'!$AI$120,'Rate Card'!$AK$120+(162-35)*'Rate Card'!$AJ$120)))))))*(1+'Rate Card'!$C$6),2)*(IF('Rate Card'!$G$6="YES",'Rate Card'!$E$6,0)+IF('Rate Card'!$K$6="YES",'Rate Card'!$I$6,0)),2)</f>
        <v/>
      </c>
    </row>
    <row r="167">
      <c r="A167" s="75" t="n">
        <v>163</v>
      </c>
      <c r="B167" s="10">
        <f>""</f>
        <v/>
      </c>
      <c r="C167" s="10">
        <f>""</f>
        <v/>
      </c>
      <c r="D167" s="10">
        <f>""</f>
        <v/>
      </c>
      <c r="E167" s="10">
        <f>""</f>
        <v/>
      </c>
      <c r="F167" s="23">
        <f>IF(163&lt;=2,'Rate Card'!$AD$22,IF(163&lt;=5,'Rate Card'!$AE$22,IF(163&lt;=10,'Rate Card'!$AF$22,IF(163&lt;=15,'Rate Card'!$AG$22,IF(163&lt;=20,'Rate Card'!$AH$22,IF(163&lt;=35,'Rate Card'!$AH$22+(163-20)*'Rate Card'!$AI$22,'Rate Card'!$AK$22+(163-35)*'Rate Card'!$AJ$22))))))</f>
        <v/>
      </c>
      <c r="G167" s="23">
        <f>ROUND((IF(163&lt;=2,'Rate Card'!$AD$22,IF(163&lt;=5,'Rate Card'!$AE$22,IF(163&lt;=10,'Rate Card'!$AF$22,IF(163&lt;=15,'Rate Card'!$AG$22,IF(163&lt;=20,'Rate Card'!$AH$22,IF(163&lt;=35,'Rate Card'!$AH$22+(163-20)*'Rate Card'!$AI$22,'Rate Card'!$AK$22+(163-35)*'Rate Card'!$AJ$22)))))))*(1+'Rate Card'!$C$6),2)+ROUND(ROUND((IF(163&lt;=2,'Rate Card'!$AD$22,IF(163&lt;=5,'Rate Card'!$AE$22,IF(163&lt;=10,'Rate Card'!$AF$22,IF(163&lt;=15,'Rate Card'!$AG$22,IF(163&lt;=20,'Rate Card'!$AH$22,IF(163&lt;=35,'Rate Card'!$AH$22+(163-20)*'Rate Card'!$AI$22,'Rate Card'!$AK$22+(163-35)*'Rate Card'!$AJ$22)))))))*(1+'Rate Card'!$C$6),2)*(IF('Rate Card'!$G$6="YES",'Rate Card'!$E$6,0)+IF('Rate Card'!$K$6="YES",'Rate Card'!$I$6,0)),2)</f>
        <v/>
      </c>
      <c r="H167" s="23">
        <f>IF(163&lt;=2,'Rate Card'!$AD$23,IF(163&lt;=5,'Rate Card'!$AE$23,IF(163&lt;=10,'Rate Card'!$AF$23,IF(163&lt;=15,'Rate Card'!$AG$23,IF(163&lt;=20,'Rate Card'!$AH$23,IF(163&lt;=35,'Rate Card'!$AH$23+(163-20)*'Rate Card'!$AI$23,'Rate Card'!$AK$23+(163-35)*'Rate Card'!$AJ$23))))))</f>
        <v/>
      </c>
      <c r="I167" s="23">
        <f>ROUND((IF(163&lt;=2,'Rate Card'!$AD$23,IF(163&lt;=5,'Rate Card'!$AE$23,IF(163&lt;=10,'Rate Card'!$AF$23,IF(163&lt;=15,'Rate Card'!$AG$23,IF(163&lt;=20,'Rate Card'!$AH$23,IF(163&lt;=35,'Rate Card'!$AH$23+(163-20)*'Rate Card'!$AI$23,'Rate Card'!$AK$23+(163-35)*'Rate Card'!$AJ$23)))))))*(1+'Rate Card'!$C$6),2)+ROUND(ROUND((IF(163&lt;=2,'Rate Card'!$AD$23,IF(163&lt;=5,'Rate Card'!$AE$23,IF(163&lt;=10,'Rate Card'!$AF$23,IF(163&lt;=15,'Rate Card'!$AG$23,IF(163&lt;=20,'Rate Card'!$AH$23,IF(163&lt;=35,'Rate Card'!$AH$23+(163-20)*'Rate Card'!$AI$23,'Rate Card'!$AK$23+(163-35)*'Rate Card'!$AJ$23)))))))*(1+'Rate Card'!$C$6),2)*(IF('Rate Card'!$G$6="YES",'Rate Card'!$E$6,0)+IF('Rate Card'!$K$6="YES",'Rate Card'!$I$6,0)),2)</f>
        <v/>
      </c>
      <c r="J167" s="10">
        <f>""</f>
        <v/>
      </c>
      <c r="K167" s="10">
        <f>""</f>
        <v/>
      </c>
      <c r="L167" s="10">
        <f>""</f>
        <v/>
      </c>
      <c r="M167" s="10">
        <f>""</f>
        <v/>
      </c>
      <c r="N167" s="23">
        <f>IF(163&lt;=2,'Rate Card'!$AD$119,IF(163&lt;=5,'Rate Card'!$AE$119,IF(163&lt;=10,'Rate Card'!$AF$119,IF(163&lt;=15,'Rate Card'!$AG$119,IF(163&lt;=20,'Rate Card'!$AH$119,IF(163&lt;=35,'Rate Card'!$AH$119+(163-20)*'Rate Card'!$AI$119,'Rate Card'!$AK$119+(163-35)*'Rate Card'!$AJ$119))))))</f>
        <v/>
      </c>
      <c r="O167" s="23">
        <f>ROUND((IF(163&lt;=2,'Rate Card'!$AD$119,IF(163&lt;=5,'Rate Card'!$AE$119,IF(163&lt;=10,'Rate Card'!$AF$119,IF(163&lt;=15,'Rate Card'!$AG$119,IF(163&lt;=20,'Rate Card'!$AH$119,IF(163&lt;=35,'Rate Card'!$AH$119+(163-20)*'Rate Card'!$AI$119,'Rate Card'!$AK$119+(163-35)*'Rate Card'!$AJ$119)))))))*(1+'Rate Card'!$C$6),2)+ROUND(ROUND((IF(163&lt;=2,'Rate Card'!$AD$119,IF(163&lt;=5,'Rate Card'!$AE$119,IF(163&lt;=10,'Rate Card'!$AF$119,IF(163&lt;=15,'Rate Card'!$AG$119,IF(163&lt;=20,'Rate Card'!$AH$119,IF(163&lt;=35,'Rate Card'!$AH$119+(163-20)*'Rate Card'!$AI$119,'Rate Card'!$AK$119+(163-35)*'Rate Card'!$AJ$119)))))))*(1+'Rate Card'!$C$6),2)*(IF('Rate Card'!$G$6="YES",'Rate Card'!$E$6,0)+IF('Rate Card'!$K$6="YES",'Rate Card'!$I$6,0)),2)</f>
        <v/>
      </c>
      <c r="P167" s="23">
        <f>IF(163&lt;=2,'Rate Card'!$AD$120,IF(163&lt;=5,'Rate Card'!$AE$120,IF(163&lt;=10,'Rate Card'!$AF$120,IF(163&lt;=15,'Rate Card'!$AG$120,IF(163&lt;=20,'Rate Card'!$AH$120,IF(163&lt;=35,'Rate Card'!$AH$120+(163-20)*'Rate Card'!$AI$120,'Rate Card'!$AK$120+(163-35)*'Rate Card'!$AJ$120))))))</f>
        <v/>
      </c>
      <c r="Q167" s="12">
        <f>ROUND((IF(163&lt;=2,'Rate Card'!$AD$120,IF(163&lt;=5,'Rate Card'!$AE$120,IF(163&lt;=10,'Rate Card'!$AF$120,IF(163&lt;=15,'Rate Card'!$AG$120,IF(163&lt;=20,'Rate Card'!$AH$120,IF(163&lt;=35,'Rate Card'!$AH$120+(163-20)*'Rate Card'!$AI$120,'Rate Card'!$AK$120+(163-35)*'Rate Card'!$AJ$120)))))))*(1+'Rate Card'!$C$6),2)+ROUND(ROUND((IF(163&lt;=2,'Rate Card'!$AD$120,IF(163&lt;=5,'Rate Card'!$AE$120,IF(163&lt;=10,'Rate Card'!$AF$120,IF(163&lt;=15,'Rate Card'!$AG$120,IF(163&lt;=20,'Rate Card'!$AH$120,IF(163&lt;=35,'Rate Card'!$AH$120+(163-20)*'Rate Card'!$AI$120,'Rate Card'!$AK$120+(163-35)*'Rate Card'!$AJ$120)))))))*(1+'Rate Card'!$C$6),2)*(IF('Rate Card'!$G$6="YES",'Rate Card'!$E$6,0)+IF('Rate Card'!$K$6="YES",'Rate Card'!$I$6,0)),2)</f>
        <v/>
      </c>
    </row>
    <row r="168">
      <c r="A168" s="75" t="n">
        <v>164</v>
      </c>
      <c r="B168" s="10">
        <f>""</f>
        <v/>
      </c>
      <c r="C168" s="10">
        <f>""</f>
        <v/>
      </c>
      <c r="D168" s="10">
        <f>""</f>
        <v/>
      </c>
      <c r="E168" s="10">
        <f>""</f>
        <v/>
      </c>
      <c r="F168" s="23">
        <f>IF(164&lt;=2,'Rate Card'!$AD$22,IF(164&lt;=5,'Rate Card'!$AE$22,IF(164&lt;=10,'Rate Card'!$AF$22,IF(164&lt;=15,'Rate Card'!$AG$22,IF(164&lt;=20,'Rate Card'!$AH$22,IF(164&lt;=35,'Rate Card'!$AH$22+(164-20)*'Rate Card'!$AI$22,'Rate Card'!$AK$22+(164-35)*'Rate Card'!$AJ$22))))))</f>
        <v/>
      </c>
      <c r="G168" s="23">
        <f>ROUND((IF(164&lt;=2,'Rate Card'!$AD$22,IF(164&lt;=5,'Rate Card'!$AE$22,IF(164&lt;=10,'Rate Card'!$AF$22,IF(164&lt;=15,'Rate Card'!$AG$22,IF(164&lt;=20,'Rate Card'!$AH$22,IF(164&lt;=35,'Rate Card'!$AH$22+(164-20)*'Rate Card'!$AI$22,'Rate Card'!$AK$22+(164-35)*'Rate Card'!$AJ$22)))))))*(1+'Rate Card'!$C$6),2)+ROUND(ROUND((IF(164&lt;=2,'Rate Card'!$AD$22,IF(164&lt;=5,'Rate Card'!$AE$22,IF(164&lt;=10,'Rate Card'!$AF$22,IF(164&lt;=15,'Rate Card'!$AG$22,IF(164&lt;=20,'Rate Card'!$AH$22,IF(164&lt;=35,'Rate Card'!$AH$22+(164-20)*'Rate Card'!$AI$22,'Rate Card'!$AK$22+(164-35)*'Rate Card'!$AJ$22)))))))*(1+'Rate Card'!$C$6),2)*(IF('Rate Card'!$G$6="YES",'Rate Card'!$E$6,0)+IF('Rate Card'!$K$6="YES",'Rate Card'!$I$6,0)),2)</f>
        <v/>
      </c>
      <c r="H168" s="23">
        <f>IF(164&lt;=2,'Rate Card'!$AD$23,IF(164&lt;=5,'Rate Card'!$AE$23,IF(164&lt;=10,'Rate Card'!$AF$23,IF(164&lt;=15,'Rate Card'!$AG$23,IF(164&lt;=20,'Rate Card'!$AH$23,IF(164&lt;=35,'Rate Card'!$AH$23+(164-20)*'Rate Card'!$AI$23,'Rate Card'!$AK$23+(164-35)*'Rate Card'!$AJ$23))))))</f>
        <v/>
      </c>
      <c r="I168" s="23">
        <f>ROUND((IF(164&lt;=2,'Rate Card'!$AD$23,IF(164&lt;=5,'Rate Card'!$AE$23,IF(164&lt;=10,'Rate Card'!$AF$23,IF(164&lt;=15,'Rate Card'!$AG$23,IF(164&lt;=20,'Rate Card'!$AH$23,IF(164&lt;=35,'Rate Card'!$AH$23+(164-20)*'Rate Card'!$AI$23,'Rate Card'!$AK$23+(164-35)*'Rate Card'!$AJ$23)))))))*(1+'Rate Card'!$C$6),2)+ROUND(ROUND((IF(164&lt;=2,'Rate Card'!$AD$23,IF(164&lt;=5,'Rate Card'!$AE$23,IF(164&lt;=10,'Rate Card'!$AF$23,IF(164&lt;=15,'Rate Card'!$AG$23,IF(164&lt;=20,'Rate Card'!$AH$23,IF(164&lt;=35,'Rate Card'!$AH$23+(164-20)*'Rate Card'!$AI$23,'Rate Card'!$AK$23+(164-35)*'Rate Card'!$AJ$23)))))))*(1+'Rate Card'!$C$6),2)*(IF('Rate Card'!$G$6="YES",'Rate Card'!$E$6,0)+IF('Rate Card'!$K$6="YES",'Rate Card'!$I$6,0)),2)</f>
        <v/>
      </c>
      <c r="J168" s="10">
        <f>""</f>
        <v/>
      </c>
      <c r="K168" s="10">
        <f>""</f>
        <v/>
      </c>
      <c r="L168" s="10">
        <f>""</f>
        <v/>
      </c>
      <c r="M168" s="10">
        <f>""</f>
        <v/>
      </c>
      <c r="N168" s="23">
        <f>IF(164&lt;=2,'Rate Card'!$AD$119,IF(164&lt;=5,'Rate Card'!$AE$119,IF(164&lt;=10,'Rate Card'!$AF$119,IF(164&lt;=15,'Rate Card'!$AG$119,IF(164&lt;=20,'Rate Card'!$AH$119,IF(164&lt;=35,'Rate Card'!$AH$119+(164-20)*'Rate Card'!$AI$119,'Rate Card'!$AK$119+(164-35)*'Rate Card'!$AJ$119))))))</f>
        <v/>
      </c>
      <c r="O168" s="23">
        <f>ROUND((IF(164&lt;=2,'Rate Card'!$AD$119,IF(164&lt;=5,'Rate Card'!$AE$119,IF(164&lt;=10,'Rate Card'!$AF$119,IF(164&lt;=15,'Rate Card'!$AG$119,IF(164&lt;=20,'Rate Card'!$AH$119,IF(164&lt;=35,'Rate Card'!$AH$119+(164-20)*'Rate Card'!$AI$119,'Rate Card'!$AK$119+(164-35)*'Rate Card'!$AJ$119)))))))*(1+'Rate Card'!$C$6),2)+ROUND(ROUND((IF(164&lt;=2,'Rate Card'!$AD$119,IF(164&lt;=5,'Rate Card'!$AE$119,IF(164&lt;=10,'Rate Card'!$AF$119,IF(164&lt;=15,'Rate Card'!$AG$119,IF(164&lt;=20,'Rate Card'!$AH$119,IF(164&lt;=35,'Rate Card'!$AH$119+(164-20)*'Rate Card'!$AI$119,'Rate Card'!$AK$119+(164-35)*'Rate Card'!$AJ$119)))))))*(1+'Rate Card'!$C$6),2)*(IF('Rate Card'!$G$6="YES",'Rate Card'!$E$6,0)+IF('Rate Card'!$K$6="YES",'Rate Card'!$I$6,0)),2)</f>
        <v/>
      </c>
      <c r="P168" s="23">
        <f>IF(164&lt;=2,'Rate Card'!$AD$120,IF(164&lt;=5,'Rate Card'!$AE$120,IF(164&lt;=10,'Rate Card'!$AF$120,IF(164&lt;=15,'Rate Card'!$AG$120,IF(164&lt;=20,'Rate Card'!$AH$120,IF(164&lt;=35,'Rate Card'!$AH$120+(164-20)*'Rate Card'!$AI$120,'Rate Card'!$AK$120+(164-35)*'Rate Card'!$AJ$120))))))</f>
        <v/>
      </c>
      <c r="Q168" s="12">
        <f>ROUND((IF(164&lt;=2,'Rate Card'!$AD$120,IF(164&lt;=5,'Rate Card'!$AE$120,IF(164&lt;=10,'Rate Card'!$AF$120,IF(164&lt;=15,'Rate Card'!$AG$120,IF(164&lt;=20,'Rate Card'!$AH$120,IF(164&lt;=35,'Rate Card'!$AH$120+(164-20)*'Rate Card'!$AI$120,'Rate Card'!$AK$120+(164-35)*'Rate Card'!$AJ$120)))))))*(1+'Rate Card'!$C$6),2)+ROUND(ROUND((IF(164&lt;=2,'Rate Card'!$AD$120,IF(164&lt;=5,'Rate Card'!$AE$120,IF(164&lt;=10,'Rate Card'!$AF$120,IF(164&lt;=15,'Rate Card'!$AG$120,IF(164&lt;=20,'Rate Card'!$AH$120,IF(164&lt;=35,'Rate Card'!$AH$120+(164-20)*'Rate Card'!$AI$120,'Rate Card'!$AK$120+(164-35)*'Rate Card'!$AJ$120)))))))*(1+'Rate Card'!$C$6),2)*(IF('Rate Card'!$G$6="YES",'Rate Card'!$E$6,0)+IF('Rate Card'!$K$6="YES",'Rate Card'!$I$6,0)),2)</f>
        <v/>
      </c>
    </row>
    <row r="169">
      <c r="A169" s="75" t="n">
        <v>165</v>
      </c>
      <c r="B169" s="10">
        <f>""</f>
        <v/>
      </c>
      <c r="C169" s="10">
        <f>""</f>
        <v/>
      </c>
      <c r="D169" s="10">
        <f>""</f>
        <v/>
      </c>
      <c r="E169" s="10">
        <f>""</f>
        <v/>
      </c>
      <c r="F169" s="23">
        <f>IF(165&lt;=2,'Rate Card'!$AD$22,IF(165&lt;=5,'Rate Card'!$AE$22,IF(165&lt;=10,'Rate Card'!$AF$22,IF(165&lt;=15,'Rate Card'!$AG$22,IF(165&lt;=20,'Rate Card'!$AH$22,IF(165&lt;=35,'Rate Card'!$AH$22+(165-20)*'Rate Card'!$AI$22,'Rate Card'!$AK$22+(165-35)*'Rate Card'!$AJ$22))))))</f>
        <v/>
      </c>
      <c r="G169" s="23">
        <f>ROUND((IF(165&lt;=2,'Rate Card'!$AD$22,IF(165&lt;=5,'Rate Card'!$AE$22,IF(165&lt;=10,'Rate Card'!$AF$22,IF(165&lt;=15,'Rate Card'!$AG$22,IF(165&lt;=20,'Rate Card'!$AH$22,IF(165&lt;=35,'Rate Card'!$AH$22+(165-20)*'Rate Card'!$AI$22,'Rate Card'!$AK$22+(165-35)*'Rate Card'!$AJ$22)))))))*(1+'Rate Card'!$C$6),2)+ROUND(ROUND((IF(165&lt;=2,'Rate Card'!$AD$22,IF(165&lt;=5,'Rate Card'!$AE$22,IF(165&lt;=10,'Rate Card'!$AF$22,IF(165&lt;=15,'Rate Card'!$AG$22,IF(165&lt;=20,'Rate Card'!$AH$22,IF(165&lt;=35,'Rate Card'!$AH$22+(165-20)*'Rate Card'!$AI$22,'Rate Card'!$AK$22+(165-35)*'Rate Card'!$AJ$22)))))))*(1+'Rate Card'!$C$6),2)*(IF('Rate Card'!$G$6="YES",'Rate Card'!$E$6,0)+IF('Rate Card'!$K$6="YES",'Rate Card'!$I$6,0)),2)</f>
        <v/>
      </c>
      <c r="H169" s="23">
        <f>IF(165&lt;=2,'Rate Card'!$AD$23,IF(165&lt;=5,'Rate Card'!$AE$23,IF(165&lt;=10,'Rate Card'!$AF$23,IF(165&lt;=15,'Rate Card'!$AG$23,IF(165&lt;=20,'Rate Card'!$AH$23,IF(165&lt;=35,'Rate Card'!$AH$23+(165-20)*'Rate Card'!$AI$23,'Rate Card'!$AK$23+(165-35)*'Rate Card'!$AJ$23))))))</f>
        <v/>
      </c>
      <c r="I169" s="23">
        <f>ROUND((IF(165&lt;=2,'Rate Card'!$AD$23,IF(165&lt;=5,'Rate Card'!$AE$23,IF(165&lt;=10,'Rate Card'!$AF$23,IF(165&lt;=15,'Rate Card'!$AG$23,IF(165&lt;=20,'Rate Card'!$AH$23,IF(165&lt;=35,'Rate Card'!$AH$23+(165-20)*'Rate Card'!$AI$23,'Rate Card'!$AK$23+(165-35)*'Rate Card'!$AJ$23)))))))*(1+'Rate Card'!$C$6),2)+ROUND(ROUND((IF(165&lt;=2,'Rate Card'!$AD$23,IF(165&lt;=5,'Rate Card'!$AE$23,IF(165&lt;=10,'Rate Card'!$AF$23,IF(165&lt;=15,'Rate Card'!$AG$23,IF(165&lt;=20,'Rate Card'!$AH$23,IF(165&lt;=35,'Rate Card'!$AH$23+(165-20)*'Rate Card'!$AI$23,'Rate Card'!$AK$23+(165-35)*'Rate Card'!$AJ$23)))))))*(1+'Rate Card'!$C$6),2)*(IF('Rate Card'!$G$6="YES",'Rate Card'!$E$6,0)+IF('Rate Card'!$K$6="YES",'Rate Card'!$I$6,0)),2)</f>
        <v/>
      </c>
      <c r="J169" s="10">
        <f>""</f>
        <v/>
      </c>
      <c r="K169" s="10">
        <f>""</f>
        <v/>
      </c>
      <c r="L169" s="10">
        <f>""</f>
        <v/>
      </c>
      <c r="M169" s="10">
        <f>""</f>
        <v/>
      </c>
      <c r="N169" s="23">
        <f>IF(165&lt;=2,'Rate Card'!$AD$119,IF(165&lt;=5,'Rate Card'!$AE$119,IF(165&lt;=10,'Rate Card'!$AF$119,IF(165&lt;=15,'Rate Card'!$AG$119,IF(165&lt;=20,'Rate Card'!$AH$119,IF(165&lt;=35,'Rate Card'!$AH$119+(165-20)*'Rate Card'!$AI$119,'Rate Card'!$AK$119+(165-35)*'Rate Card'!$AJ$119))))))</f>
        <v/>
      </c>
      <c r="O169" s="23">
        <f>ROUND((IF(165&lt;=2,'Rate Card'!$AD$119,IF(165&lt;=5,'Rate Card'!$AE$119,IF(165&lt;=10,'Rate Card'!$AF$119,IF(165&lt;=15,'Rate Card'!$AG$119,IF(165&lt;=20,'Rate Card'!$AH$119,IF(165&lt;=35,'Rate Card'!$AH$119+(165-20)*'Rate Card'!$AI$119,'Rate Card'!$AK$119+(165-35)*'Rate Card'!$AJ$119)))))))*(1+'Rate Card'!$C$6),2)+ROUND(ROUND((IF(165&lt;=2,'Rate Card'!$AD$119,IF(165&lt;=5,'Rate Card'!$AE$119,IF(165&lt;=10,'Rate Card'!$AF$119,IF(165&lt;=15,'Rate Card'!$AG$119,IF(165&lt;=20,'Rate Card'!$AH$119,IF(165&lt;=35,'Rate Card'!$AH$119+(165-20)*'Rate Card'!$AI$119,'Rate Card'!$AK$119+(165-35)*'Rate Card'!$AJ$119)))))))*(1+'Rate Card'!$C$6),2)*(IF('Rate Card'!$G$6="YES",'Rate Card'!$E$6,0)+IF('Rate Card'!$K$6="YES",'Rate Card'!$I$6,0)),2)</f>
        <v/>
      </c>
      <c r="P169" s="23">
        <f>IF(165&lt;=2,'Rate Card'!$AD$120,IF(165&lt;=5,'Rate Card'!$AE$120,IF(165&lt;=10,'Rate Card'!$AF$120,IF(165&lt;=15,'Rate Card'!$AG$120,IF(165&lt;=20,'Rate Card'!$AH$120,IF(165&lt;=35,'Rate Card'!$AH$120+(165-20)*'Rate Card'!$AI$120,'Rate Card'!$AK$120+(165-35)*'Rate Card'!$AJ$120))))))</f>
        <v/>
      </c>
      <c r="Q169" s="12">
        <f>ROUND((IF(165&lt;=2,'Rate Card'!$AD$120,IF(165&lt;=5,'Rate Card'!$AE$120,IF(165&lt;=10,'Rate Card'!$AF$120,IF(165&lt;=15,'Rate Card'!$AG$120,IF(165&lt;=20,'Rate Card'!$AH$120,IF(165&lt;=35,'Rate Card'!$AH$120+(165-20)*'Rate Card'!$AI$120,'Rate Card'!$AK$120+(165-35)*'Rate Card'!$AJ$120)))))))*(1+'Rate Card'!$C$6),2)+ROUND(ROUND((IF(165&lt;=2,'Rate Card'!$AD$120,IF(165&lt;=5,'Rate Card'!$AE$120,IF(165&lt;=10,'Rate Card'!$AF$120,IF(165&lt;=15,'Rate Card'!$AG$120,IF(165&lt;=20,'Rate Card'!$AH$120,IF(165&lt;=35,'Rate Card'!$AH$120+(165-20)*'Rate Card'!$AI$120,'Rate Card'!$AK$120+(165-35)*'Rate Card'!$AJ$120)))))))*(1+'Rate Card'!$C$6),2)*(IF('Rate Card'!$G$6="YES",'Rate Card'!$E$6,0)+IF('Rate Card'!$K$6="YES",'Rate Card'!$I$6,0)),2)</f>
        <v/>
      </c>
    </row>
    <row r="170">
      <c r="A170" s="75" t="n">
        <v>166</v>
      </c>
      <c r="B170" s="10">
        <f>""</f>
        <v/>
      </c>
      <c r="C170" s="10">
        <f>""</f>
        <v/>
      </c>
      <c r="D170" s="10">
        <f>""</f>
        <v/>
      </c>
      <c r="E170" s="10">
        <f>""</f>
        <v/>
      </c>
      <c r="F170" s="23">
        <f>IF(166&lt;=2,'Rate Card'!$AD$22,IF(166&lt;=5,'Rate Card'!$AE$22,IF(166&lt;=10,'Rate Card'!$AF$22,IF(166&lt;=15,'Rate Card'!$AG$22,IF(166&lt;=20,'Rate Card'!$AH$22,IF(166&lt;=35,'Rate Card'!$AH$22+(166-20)*'Rate Card'!$AI$22,'Rate Card'!$AK$22+(166-35)*'Rate Card'!$AJ$22))))))</f>
        <v/>
      </c>
      <c r="G170" s="23">
        <f>ROUND((IF(166&lt;=2,'Rate Card'!$AD$22,IF(166&lt;=5,'Rate Card'!$AE$22,IF(166&lt;=10,'Rate Card'!$AF$22,IF(166&lt;=15,'Rate Card'!$AG$22,IF(166&lt;=20,'Rate Card'!$AH$22,IF(166&lt;=35,'Rate Card'!$AH$22+(166-20)*'Rate Card'!$AI$22,'Rate Card'!$AK$22+(166-35)*'Rate Card'!$AJ$22)))))))*(1+'Rate Card'!$C$6),2)+ROUND(ROUND((IF(166&lt;=2,'Rate Card'!$AD$22,IF(166&lt;=5,'Rate Card'!$AE$22,IF(166&lt;=10,'Rate Card'!$AF$22,IF(166&lt;=15,'Rate Card'!$AG$22,IF(166&lt;=20,'Rate Card'!$AH$22,IF(166&lt;=35,'Rate Card'!$AH$22+(166-20)*'Rate Card'!$AI$22,'Rate Card'!$AK$22+(166-35)*'Rate Card'!$AJ$22)))))))*(1+'Rate Card'!$C$6),2)*(IF('Rate Card'!$G$6="YES",'Rate Card'!$E$6,0)+IF('Rate Card'!$K$6="YES",'Rate Card'!$I$6,0)),2)</f>
        <v/>
      </c>
      <c r="H170" s="23">
        <f>IF(166&lt;=2,'Rate Card'!$AD$23,IF(166&lt;=5,'Rate Card'!$AE$23,IF(166&lt;=10,'Rate Card'!$AF$23,IF(166&lt;=15,'Rate Card'!$AG$23,IF(166&lt;=20,'Rate Card'!$AH$23,IF(166&lt;=35,'Rate Card'!$AH$23+(166-20)*'Rate Card'!$AI$23,'Rate Card'!$AK$23+(166-35)*'Rate Card'!$AJ$23))))))</f>
        <v/>
      </c>
      <c r="I170" s="23">
        <f>ROUND((IF(166&lt;=2,'Rate Card'!$AD$23,IF(166&lt;=5,'Rate Card'!$AE$23,IF(166&lt;=10,'Rate Card'!$AF$23,IF(166&lt;=15,'Rate Card'!$AG$23,IF(166&lt;=20,'Rate Card'!$AH$23,IF(166&lt;=35,'Rate Card'!$AH$23+(166-20)*'Rate Card'!$AI$23,'Rate Card'!$AK$23+(166-35)*'Rate Card'!$AJ$23)))))))*(1+'Rate Card'!$C$6),2)+ROUND(ROUND((IF(166&lt;=2,'Rate Card'!$AD$23,IF(166&lt;=5,'Rate Card'!$AE$23,IF(166&lt;=10,'Rate Card'!$AF$23,IF(166&lt;=15,'Rate Card'!$AG$23,IF(166&lt;=20,'Rate Card'!$AH$23,IF(166&lt;=35,'Rate Card'!$AH$23+(166-20)*'Rate Card'!$AI$23,'Rate Card'!$AK$23+(166-35)*'Rate Card'!$AJ$23)))))))*(1+'Rate Card'!$C$6),2)*(IF('Rate Card'!$G$6="YES",'Rate Card'!$E$6,0)+IF('Rate Card'!$K$6="YES",'Rate Card'!$I$6,0)),2)</f>
        <v/>
      </c>
      <c r="J170" s="10">
        <f>""</f>
        <v/>
      </c>
      <c r="K170" s="10">
        <f>""</f>
        <v/>
      </c>
      <c r="L170" s="10">
        <f>""</f>
        <v/>
      </c>
      <c r="M170" s="10">
        <f>""</f>
        <v/>
      </c>
      <c r="N170" s="23">
        <f>IF(166&lt;=2,'Rate Card'!$AD$119,IF(166&lt;=5,'Rate Card'!$AE$119,IF(166&lt;=10,'Rate Card'!$AF$119,IF(166&lt;=15,'Rate Card'!$AG$119,IF(166&lt;=20,'Rate Card'!$AH$119,IF(166&lt;=35,'Rate Card'!$AH$119+(166-20)*'Rate Card'!$AI$119,'Rate Card'!$AK$119+(166-35)*'Rate Card'!$AJ$119))))))</f>
        <v/>
      </c>
      <c r="O170" s="23">
        <f>ROUND((IF(166&lt;=2,'Rate Card'!$AD$119,IF(166&lt;=5,'Rate Card'!$AE$119,IF(166&lt;=10,'Rate Card'!$AF$119,IF(166&lt;=15,'Rate Card'!$AG$119,IF(166&lt;=20,'Rate Card'!$AH$119,IF(166&lt;=35,'Rate Card'!$AH$119+(166-20)*'Rate Card'!$AI$119,'Rate Card'!$AK$119+(166-35)*'Rate Card'!$AJ$119)))))))*(1+'Rate Card'!$C$6),2)+ROUND(ROUND((IF(166&lt;=2,'Rate Card'!$AD$119,IF(166&lt;=5,'Rate Card'!$AE$119,IF(166&lt;=10,'Rate Card'!$AF$119,IF(166&lt;=15,'Rate Card'!$AG$119,IF(166&lt;=20,'Rate Card'!$AH$119,IF(166&lt;=35,'Rate Card'!$AH$119+(166-20)*'Rate Card'!$AI$119,'Rate Card'!$AK$119+(166-35)*'Rate Card'!$AJ$119)))))))*(1+'Rate Card'!$C$6),2)*(IF('Rate Card'!$G$6="YES",'Rate Card'!$E$6,0)+IF('Rate Card'!$K$6="YES",'Rate Card'!$I$6,0)),2)</f>
        <v/>
      </c>
      <c r="P170" s="23">
        <f>IF(166&lt;=2,'Rate Card'!$AD$120,IF(166&lt;=5,'Rate Card'!$AE$120,IF(166&lt;=10,'Rate Card'!$AF$120,IF(166&lt;=15,'Rate Card'!$AG$120,IF(166&lt;=20,'Rate Card'!$AH$120,IF(166&lt;=35,'Rate Card'!$AH$120+(166-20)*'Rate Card'!$AI$120,'Rate Card'!$AK$120+(166-35)*'Rate Card'!$AJ$120))))))</f>
        <v/>
      </c>
      <c r="Q170" s="12">
        <f>ROUND((IF(166&lt;=2,'Rate Card'!$AD$120,IF(166&lt;=5,'Rate Card'!$AE$120,IF(166&lt;=10,'Rate Card'!$AF$120,IF(166&lt;=15,'Rate Card'!$AG$120,IF(166&lt;=20,'Rate Card'!$AH$120,IF(166&lt;=35,'Rate Card'!$AH$120+(166-20)*'Rate Card'!$AI$120,'Rate Card'!$AK$120+(166-35)*'Rate Card'!$AJ$120)))))))*(1+'Rate Card'!$C$6),2)+ROUND(ROUND((IF(166&lt;=2,'Rate Card'!$AD$120,IF(166&lt;=5,'Rate Card'!$AE$120,IF(166&lt;=10,'Rate Card'!$AF$120,IF(166&lt;=15,'Rate Card'!$AG$120,IF(166&lt;=20,'Rate Card'!$AH$120,IF(166&lt;=35,'Rate Card'!$AH$120+(166-20)*'Rate Card'!$AI$120,'Rate Card'!$AK$120+(166-35)*'Rate Card'!$AJ$120)))))))*(1+'Rate Card'!$C$6),2)*(IF('Rate Card'!$G$6="YES",'Rate Card'!$E$6,0)+IF('Rate Card'!$K$6="YES",'Rate Card'!$I$6,0)),2)</f>
        <v/>
      </c>
    </row>
    <row r="171">
      <c r="A171" s="75" t="n">
        <v>167</v>
      </c>
      <c r="B171" s="10">
        <f>""</f>
        <v/>
      </c>
      <c r="C171" s="10">
        <f>""</f>
        <v/>
      </c>
      <c r="D171" s="10">
        <f>""</f>
        <v/>
      </c>
      <c r="E171" s="10">
        <f>""</f>
        <v/>
      </c>
      <c r="F171" s="23">
        <f>IF(167&lt;=2,'Rate Card'!$AD$22,IF(167&lt;=5,'Rate Card'!$AE$22,IF(167&lt;=10,'Rate Card'!$AF$22,IF(167&lt;=15,'Rate Card'!$AG$22,IF(167&lt;=20,'Rate Card'!$AH$22,IF(167&lt;=35,'Rate Card'!$AH$22+(167-20)*'Rate Card'!$AI$22,'Rate Card'!$AK$22+(167-35)*'Rate Card'!$AJ$22))))))</f>
        <v/>
      </c>
      <c r="G171" s="23">
        <f>ROUND((IF(167&lt;=2,'Rate Card'!$AD$22,IF(167&lt;=5,'Rate Card'!$AE$22,IF(167&lt;=10,'Rate Card'!$AF$22,IF(167&lt;=15,'Rate Card'!$AG$22,IF(167&lt;=20,'Rate Card'!$AH$22,IF(167&lt;=35,'Rate Card'!$AH$22+(167-20)*'Rate Card'!$AI$22,'Rate Card'!$AK$22+(167-35)*'Rate Card'!$AJ$22)))))))*(1+'Rate Card'!$C$6),2)+ROUND(ROUND((IF(167&lt;=2,'Rate Card'!$AD$22,IF(167&lt;=5,'Rate Card'!$AE$22,IF(167&lt;=10,'Rate Card'!$AF$22,IF(167&lt;=15,'Rate Card'!$AG$22,IF(167&lt;=20,'Rate Card'!$AH$22,IF(167&lt;=35,'Rate Card'!$AH$22+(167-20)*'Rate Card'!$AI$22,'Rate Card'!$AK$22+(167-35)*'Rate Card'!$AJ$22)))))))*(1+'Rate Card'!$C$6),2)*(IF('Rate Card'!$G$6="YES",'Rate Card'!$E$6,0)+IF('Rate Card'!$K$6="YES",'Rate Card'!$I$6,0)),2)</f>
        <v/>
      </c>
      <c r="H171" s="23">
        <f>IF(167&lt;=2,'Rate Card'!$AD$23,IF(167&lt;=5,'Rate Card'!$AE$23,IF(167&lt;=10,'Rate Card'!$AF$23,IF(167&lt;=15,'Rate Card'!$AG$23,IF(167&lt;=20,'Rate Card'!$AH$23,IF(167&lt;=35,'Rate Card'!$AH$23+(167-20)*'Rate Card'!$AI$23,'Rate Card'!$AK$23+(167-35)*'Rate Card'!$AJ$23))))))</f>
        <v/>
      </c>
      <c r="I171" s="23">
        <f>ROUND((IF(167&lt;=2,'Rate Card'!$AD$23,IF(167&lt;=5,'Rate Card'!$AE$23,IF(167&lt;=10,'Rate Card'!$AF$23,IF(167&lt;=15,'Rate Card'!$AG$23,IF(167&lt;=20,'Rate Card'!$AH$23,IF(167&lt;=35,'Rate Card'!$AH$23+(167-20)*'Rate Card'!$AI$23,'Rate Card'!$AK$23+(167-35)*'Rate Card'!$AJ$23)))))))*(1+'Rate Card'!$C$6),2)+ROUND(ROUND((IF(167&lt;=2,'Rate Card'!$AD$23,IF(167&lt;=5,'Rate Card'!$AE$23,IF(167&lt;=10,'Rate Card'!$AF$23,IF(167&lt;=15,'Rate Card'!$AG$23,IF(167&lt;=20,'Rate Card'!$AH$23,IF(167&lt;=35,'Rate Card'!$AH$23+(167-20)*'Rate Card'!$AI$23,'Rate Card'!$AK$23+(167-35)*'Rate Card'!$AJ$23)))))))*(1+'Rate Card'!$C$6),2)*(IF('Rate Card'!$G$6="YES",'Rate Card'!$E$6,0)+IF('Rate Card'!$K$6="YES",'Rate Card'!$I$6,0)),2)</f>
        <v/>
      </c>
      <c r="J171" s="10">
        <f>""</f>
        <v/>
      </c>
      <c r="K171" s="10">
        <f>""</f>
        <v/>
      </c>
      <c r="L171" s="10">
        <f>""</f>
        <v/>
      </c>
      <c r="M171" s="10">
        <f>""</f>
        <v/>
      </c>
      <c r="N171" s="23">
        <f>IF(167&lt;=2,'Rate Card'!$AD$119,IF(167&lt;=5,'Rate Card'!$AE$119,IF(167&lt;=10,'Rate Card'!$AF$119,IF(167&lt;=15,'Rate Card'!$AG$119,IF(167&lt;=20,'Rate Card'!$AH$119,IF(167&lt;=35,'Rate Card'!$AH$119+(167-20)*'Rate Card'!$AI$119,'Rate Card'!$AK$119+(167-35)*'Rate Card'!$AJ$119))))))</f>
        <v/>
      </c>
      <c r="O171" s="23">
        <f>ROUND((IF(167&lt;=2,'Rate Card'!$AD$119,IF(167&lt;=5,'Rate Card'!$AE$119,IF(167&lt;=10,'Rate Card'!$AF$119,IF(167&lt;=15,'Rate Card'!$AG$119,IF(167&lt;=20,'Rate Card'!$AH$119,IF(167&lt;=35,'Rate Card'!$AH$119+(167-20)*'Rate Card'!$AI$119,'Rate Card'!$AK$119+(167-35)*'Rate Card'!$AJ$119)))))))*(1+'Rate Card'!$C$6),2)+ROUND(ROUND((IF(167&lt;=2,'Rate Card'!$AD$119,IF(167&lt;=5,'Rate Card'!$AE$119,IF(167&lt;=10,'Rate Card'!$AF$119,IF(167&lt;=15,'Rate Card'!$AG$119,IF(167&lt;=20,'Rate Card'!$AH$119,IF(167&lt;=35,'Rate Card'!$AH$119+(167-20)*'Rate Card'!$AI$119,'Rate Card'!$AK$119+(167-35)*'Rate Card'!$AJ$119)))))))*(1+'Rate Card'!$C$6),2)*(IF('Rate Card'!$G$6="YES",'Rate Card'!$E$6,0)+IF('Rate Card'!$K$6="YES",'Rate Card'!$I$6,0)),2)</f>
        <v/>
      </c>
      <c r="P171" s="23">
        <f>IF(167&lt;=2,'Rate Card'!$AD$120,IF(167&lt;=5,'Rate Card'!$AE$120,IF(167&lt;=10,'Rate Card'!$AF$120,IF(167&lt;=15,'Rate Card'!$AG$120,IF(167&lt;=20,'Rate Card'!$AH$120,IF(167&lt;=35,'Rate Card'!$AH$120+(167-20)*'Rate Card'!$AI$120,'Rate Card'!$AK$120+(167-35)*'Rate Card'!$AJ$120))))))</f>
        <v/>
      </c>
      <c r="Q171" s="12">
        <f>ROUND((IF(167&lt;=2,'Rate Card'!$AD$120,IF(167&lt;=5,'Rate Card'!$AE$120,IF(167&lt;=10,'Rate Card'!$AF$120,IF(167&lt;=15,'Rate Card'!$AG$120,IF(167&lt;=20,'Rate Card'!$AH$120,IF(167&lt;=35,'Rate Card'!$AH$120+(167-20)*'Rate Card'!$AI$120,'Rate Card'!$AK$120+(167-35)*'Rate Card'!$AJ$120)))))))*(1+'Rate Card'!$C$6),2)+ROUND(ROUND((IF(167&lt;=2,'Rate Card'!$AD$120,IF(167&lt;=5,'Rate Card'!$AE$120,IF(167&lt;=10,'Rate Card'!$AF$120,IF(167&lt;=15,'Rate Card'!$AG$120,IF(167&lt;=20,'Rate Card'!$AH$120,IF(167&lt;=35,'Rate Card'!$AH$120+(167-20)*'Rate Card'!$AI$120,'Rate Card'!$AK$120+(167-35)*'Rate Card'!$AJ$120)))))))*(1+'Rate Card'!$C$6),2)*(IF('Rate Card'!$G$6="YES",'Rate Card'!$E$6,0)+IF('Rate Card'!$K$6="YES",'Rate Card'!$I$6,0)),2)</f>
        <v/>
      </c>
    </row>
    <row r="172">
      <c r="A172" s="75" t="n">
        <v>168</v>
      </c>
      <c r="B172" s="10">
        <f>""</f>
        <v/>
      </c>
      <c r="C172" s="10">
        <f>""</f>
        <v/>
      </c>
      <c r="D172" s="10">
        <f>""</f>
        <v/>
      </c>
      <c r="E172" s="10">
        <f>""</f>
        <v/>
      </c>
      <c r="F172" s="23">
        <f>IF(168&lt;=2,'Rate Card'!$AD$22,IF(168&lt;=5,'Rate Card'!$AE$22,IF(168&lt;=10,'Rate Card'!$AF$22,IF(168&lt;=15,'Rate Card'!$AG$22,IF(168&lt;=20,'Rate Card'!$AH$22,IF(168&lt;=35,'Rate Card'!$AH$22+(168-20)*'Rate Card'!$AI$22,'Rate Card'!$AK$22+(168-35)*'Rate Card'!$AJ$22))))))</f>
        <v/>
      </c>
      <c r="G172" s="23">
        <f>ROUND((IF(168&lt;=2,'Rate Card'!$AD$22,IF(168&lt;=5,'Rate Card'!$AE$22,IF(168&lt;=10,'Rate Card'!$AF$22,IF(168&lt;=15,'Rate Card'!$AG$22,IF(168&lt;=20,'Rate Card'!$AH$22,IF(168&lt;=35,'Rate Card'!$AH$22+(168-20)*'Rate Card'!$AI$22,'Rate Card'!$AK$22+(168-35)*'Rate Card'!$AJ$22)))))))*(1+'Rate Card'!$C$6),2)+ROUND(ROUND((IF(168&lt;=2,'Rate Card'!$AD$22,IF(168&lt;=5,'Rate Card'!$AE$22,IF(168&lt;=10,'Rate Card'!$AF$22,IF(168&lt;=15,'Rate Card'!$AG$22,IF(168&lt;=20,'Rate Card'!$AH$22,IF(168&lt;=35,'Rate Card'!$AH$22+(168-20)*'Rate Card'!$AI$22,'Rate Card'!$AK$22+(168-35)*'Rate Card'!$AJ$22)))))))*(1+'Rate Card'!$C$6),2)*(IF('Rate Card'!$G$6="YES",'Rate Card'!$E$6,0)+IF('Rate Card'!$K$6="YES",'Rate Card'!$I$6,0)),2)</f>
        <v/>
      </c>
      <c r="H172" s="23">
        <f>IF(168&lt;=2,'Rate Card'!$AD$23,IF(168&lt;=5,'Rate Card'!$AE$23,IF(168&lt;=10,'Rate Card'!$AF$23,IF(168&lt;=15,'Rate Card'!$AG$23,IF(168&lt;=20,'Rate Card'!$AH$23,IF(168&lt;=35,'Rate Card'!$AH$23+(168-20)*'Rate Card'!$AI$23,'Rate Card'!$AK$23+(168-35)*'Rate Card'!$AJ$23))))))</f>
        <v/>
      </c>
      <c r="I172" s="23">
        <f>ROUND((IF(168&lt;=2,'Rate Card'!$AD$23,IF(168&lt;=5,'Rate Card'!$AE$23,IF(168&lt;=10,'Rate Card'!$AF$23,IF(168&lt;=15,'Rate Card'!$AG$23,IF(168&lt;=20,'Rate Card'!$AH$23,IF(168&lt;=35,'Rate Card'!$AH$23+(168-20)*'Rate Card'!$AI$23,'Rate Card'!$AK$23+(168-35)*'Rate Card'!$AJ$23)))))))*(1+'Rate Card'!$C$6),2)+ROUND(ROUND((IF(168&lt;=2,'Rate Card'!$AD$23,IF(168&lt;=5,'Rate Card'!$AE$23,IF(168&lt;=10,'Rate Card'!$AF$23,IF(168&lt;=15,'Rate Card'!$AG$23,IF(168&lt;=20,'Rate Card'!$AH$23,IF(168&lt;=35,'Rate Card'!$AH$23+(168-20)*'Rate Card'!$AI$23,'Rate Card'!$AK$23+(168-35)*'Rate Card'!$AJ$23)))))))*(1+'Rate Card'!$C$6),2)*(IF('Rate Card'!$G$6="YES",'Rate Card'!$E$6,0)+IF('Rate Card'!$K$6="YES",'Rate Card'!$I$6,0)),2)</f>
        <v/>
      </c>
      <c r="J172" s="10">
        <f>""</f>
        <v/>
      </c>
      <c r="K172" s="10">
        <f>""</f>
        <v/>
      </c>
      <c r="L172" s="10">
        <f>""</f>
        <v/>
      </c>
      <c r="M172" s="10">
        <f>""</f>
        <v/>
      </c>
      <c r="N172" s="23">
        <f>IF(168&lt;=2,'Rate Card'!$AD$119,IF(168&lt;=5,'Rate Card'!$AE$119,IF(168&lt;=10,'Rate Card'!$AF$119,IF(168&lt;=15,'Rate Card'!$AG$119,IF(168&lt;=20,'Rate Card'!$AH$119,IF(168&lt;=35,'Rate Card'!$AH$119+(168-20)*'Rate Card'!$AI$119,'Rate Card'!$AK$119+(168-35)*'Rate Card'!$AJ$119))))))</f>
        <v/>
      </c>
      <c r="O172" s="23">
        <f>ROUND((IF(168&lt;=2,'Rate Card'!$AD$119,IF(168&lt;=5,'Rate Card'!$AE$119,IF(168&lt;=10,'Rate Card'!$AF$119,IF(168&lt;=15,'Rate Card'!$AG$119,IF(168&lt;=20,'Rate Card'!$AH$119,IF(168&lt;=35,'Rate Card'!$AH$119+(168-20)*'Rate Card'!$AI$119,'Rate Card'!$AK$119+(168-35)*'Rate Card'!$AJ$119)))))))*(1+'Rate Card'!$C$6),2)+ROUND(ROUND((IF(168&lt;=2,'Rate Card'!$AD$119,IF(168&lt;=5,'Rate Card'!$AE$119,IF(168&lt;=10,'Rate Card'!$AF$119,IF(168&lt;=15,'Rate Card'!$AG$119,IF(168&lt;=20,'Rate Card'!$AH$119,IF(168&lt;=35,'Rate Card'!$AH$119+(168-20)*'Rate Card'!$AI$119,'Rate Card'!$AK$119+(168-35)*'Rate Card'!$AJ$119)))))))*(1+'Rate Card'!$C$6),2)*(IF('Rate Card'!$G$6="YES",'Rate Card'!$E$6,0)+IF('Rate Card'!$K$6="YES",'Rate Card'!$I$6,0)),2)</f>
        <v/>
      </c>
      <c r="P172" s="23">
        <f>IF(168&lt;=2,'Rate Card'!$AD$120,IF(168&lt;=5,'Rate Card'!$AE$120,IF(168&lt;=10,'Rate Card'!$AF$120,IF(168&lt;=15,'Rate Card'!$AG$120,IF(168&lt;=20,'Rate Card'!$AH$120,IF(168&lt;=35,'Rate Card'!$AH$120+(168-20)*'Rate Card'!$AI$120,'Rate Card'!$AK$120+(168-35)*'Rate Card'!$AJ$120))))))</f>
        <v/>
      </c>
      <c r="Q172" s="12">
        <f>ROUND((IF(168&lt;=2,'Rate Card'!$AD$120,IF(168&lt;=5,'Rate Card'!$AE$120,IF(168&lt;=10,'Rate Card'!$AF$120,IF(168&lt;=15,'Rate Card'!$AG$120,IF(168&lt;=20,'Rate Card'!$AH$120,IF(168&lt;=35,'Rate Card'!$AH$120+(168-20)*'Rate Card'!$AI$120,'Rate Card'!$AK$120+(168-35)*'Rate Card'!$AJ$120)))))))*(1+'Rate Card'!$C$6),2)+ROUND(ROUND((IF(168&lt;=2,'Rate Card'!$AD$120,IF(168&lt;=5,'Rate Card'!$AE$120,IF(168&lt;=10,'Rate Card'!$AF$120,IF(168&lt;=15,'Rate Card'!$AG$120,IF(168&lt;=20,'Rate Card'!$AH$120,IF(168&lt;=35,'Rate Card'!$AH$120+(168-20)*'Rate Card'!$AI$120,'Rate Card'!$AK$120+(168-35)*'Rate Card'!$AJ$120)))))))*(1+'Rate Card'!$C$6),2)*(IF('Rate Card'!$G$6="YES",'Rate Card'!$E$6,0)+IF('Rate Card'!$K$6="YES",'Rate Card'!$I$6,0)),2)</f>
        <v/>
      </c>
    </row>
    <row r="173">
      <c r="A173" s="75" t="n">
        <v>169</v>
      </c>
      <c r="B173" s="10">
        <f>""</f>
        <v/>
      </c>
      <c r="C173" s="10">
        <f>""</f>
        <v/>
      </c>
      <c r="D173" s="10">
        <f>""</f>
        <v/>
      </c>
      <c r="E173" s="10">
        <f>""</f>
        <v/>
      </c>
      <c r="F173" s="23">
        <f>IF(169&lt;=2,'Rate Card'!$AD$22,IF(169&lt;=5,'Rate Card'!$AE$22,IF(169&lt;=10,'Rate Card'!$AF$22,IF(169&lt;=15,'Rate Card'!$AG$22,IF(169&lt;=20,'Rate Card'!$AH$22,IF(169&lt;=35,'Rate Card'!$AH$22+(169-20)*'Rate Card'!$AI$22,'Rate Card'!$AK$22+(169-35)*'Rate Card'!$AJ$22))))))</f>
        <v/>
      </c>
      <c r="G173" s="23">
        <f>ROUND((IF(169&lt;=2,'Rate Card'!$AD$22,IF(169&lt;=5,'Rate Card'!$AE$22,IF(169&lt;=10,'Rate Card'!$AF$22,IF(169&lt;=15,'Rate Card'!$AG$22,IF(169&lt;=20,'Rate Card'!$AH$22,IF(169&lt;=35,'Rate Card'!$AH$22+(169-20)*'Rate Card'!$AI$22,'Rate Card'!$AK$22+(169-35)*'Rate Card'!$AJ$22)))))))*(1+'Rate Card'!$C$6),2)+ROUND(ROUND((IF(169&lt;=2,'Rate Card'!$AD$22,IF(169&lt;=5,'Rate Card'!$AE$22,IF(169&lt;=10,'Rate Card'!$AF$22,IF(169&lt;=15,'Rate Card'!$AG$22,IF(169&lt;=20,'Rate Card'!$AH$22,IF(169&lt;=35,'Rate Card'!$AH$22+(169-20)*'Rate Card'!$AI$22,'Rate Card'!$AK$22+(169-35)*'Rate Card'!$AJ$22)))))))*(1+'Rate Card'!$C$6),2)*(IF('Rate Card'!$G$6="YES",'Rate Card'!$E$6,0)+IF('Rate Card'!$K$6="YES",'Rate Card'!$I$6,0)),2)</f>
        <v/>
      </c>
      <c r="H173" s="23">
        <f>IF(169&lt;=2,'Rate Card'!$AD$23,IF(169&lt;=5,'Rate Card'!$AE$23,IF(169&lt;=10,'Rate Card'!$AF$23,IF(169&lt;=15,'Rate Card'!$AG$23,IF(169&lt;=20,'Rate Card'!$AH$23,IF(169&lt;=35,'Rate Card'!$AH$23+(169-20)*'Rate Card'!$AI$23,'Rate Card'!$AK$23+(169-35)*'Rate Card'!$AJ$23))))))</f>
        <v/>
      </c>
      <c r="I173" s="23">
        <f>ROUND((IF(169&lt;=2,'Rate Card'!$AD$23,IF(169&lt;=5,'Rate Card'!$AE$23,IF(169&lt;=10,'Rate Card'!$AF$23,IF(169&lt;=15,'Rate Card'!$AG$23,IF(169&lt;=20,'Rate Card'!$AH$23,IF(169&lt;=35,'Rate Card'!$AH$23+(169-20)*'Rate Card'!$AI$23,'Rate Card'!$AK$23+(169-35)*'Rate Card'!$AJ$23)))))))*(1+'Rate Card'!$C$6),2)+ROUND(ROUND((IF(169&lt;=2,'Rate Card'!$AD$23,IF(169&lt;=5,'Rate Card'!$AE$23,IF(169&lt;=10,'Rate Card'!$AF$23,IF(169&lt;=15,'Rate Card'!$AG$23,IF(169&lt;=20,'Rate Card'!$AH$23,IF(169&lt;=35,'Rate Card'!$AH$23+(169-20)*'Rate Card'!$AI$23,'Rate Card'!$AK$23+(169-35)*'Rate Card'!$AJ$23)))))))*(1+'Rate Card'!$C$6),2)*(IF('Rate Card'!$G$6="YES",'Rate Card'!$E$6,0)+IF('Rate Card'!$K$6="YES",'Rate Card'!$I$6,0)),2)</f>
        <v/>
      </c>
      <c r="J173" s="10">
        <f>""</f>
        <v/>
      </c>
      <c r="K173" s="10">
        <f>""</f>
        <v/>
      </c>
      <c r="L173" s="10">
        <f>""</f>
        <v/>
      </c>
      <c r="M173" s="10">
        <f>""</f>
        <v/>
      </c>
      <c r="N173" s="23">
        <f>IF(169&lt;=2,'Rate Card'!$AD$119,IF(169&lt;=5,'Rate Card'!$AE$119,IF(169&lt;=10,'Rate Card'!$AF$119,IF(169&lt;=15,'Rate Card'!$AG$119,IF(169&lt;=20,'Rate Card'!$AH$119,IF(169&lt;=35,'Rate Card'!$AH$119+(169-20)*'Rate Card'!$AI$119,'Rate Card'!$AK$119+(169-35)*'Rate Card'!$AJ$119))))))</f>
        <v/>
      </c>
      <c r="O173" s="23">
        <f>ROUND((IF(169&lt;=2,'Rate Card'!$AD$119,IF(169&lt;=5,'Rate Card'!$AE$119,IF(169&lt;=10,'Rate Card'!$AF$119,IF(169&lt;=15,'Rate Card'!$AG$119,IF(169&lt;=20,'Rate Card'!$AH$119,IF(169&lt;=35,'Rate Card'!$AH$119+(169-20)*'Rate Card'!$AI$119,'Rate Card'!$AK$119+(169-35)*'Rate Card'!$AJ$119)))))))*(1+'Rate Card'!$C$6),2)+ROUND(ROUND((IF(169&lt;=2,'Rate Card'!$AD$119,IF(169&lt;=5,'Rate Card'!$AE$119,IF(169&lt;=10,'Rate Card'!$AF$119,IF(169&lt;=15,'Rate Card'!$AG$119,IF(169&lt;=20,'Rate Card'!$AH$119,IF(169&lt;=35,'Rate Card'!$AH$119+(169-20)*'Rate Card'!$AI$119,'Rate Card'!$AK$119+(169-35)*'Rate Card'!$AJ$119)))))))*(1+'Rate Card'!$C$6),2)*(IF('Rate Card'!$G$6="YES",'Rate Card'!$E$6,0)+IF('Rate Card'!$K$6="YES",'Rate Card'!$I$6,0)),2)</f>
        <v/>
      </c>
      <c r="P173" s="23">
        <f>IF(169&lt;=2,'Rate Card'!$AD$120,IF(169&lt;=5,'Rate Card'!$AE$120,IF(169&lt;=10,'Rate Card'!$AF$120,IF(169&lt;=15,'Rate Card'!$AG$120,IF(169&lt;=20,'Rate Card'!$AH$120,IF(169&lt;=35,'Rate Card'!$AH$120+(169-20)*'Rate Card'!$AI$120,'Rate Card'!$AK$120+(169-35)*'Rate Card'!$AJ$120))))))</f>
        <v/>
      </c>
      <c r="Q173" s="12">
        <f>ROUND((IF(169&lt;=2,'Rate Card'!$AD$120,IF(169&lt;=5,'Rate Card'!$AE$120,IF(169&lt;=10,'Rate Card'!$AF$120,IF(169&lt;=15,'Rate Card'!$AG$120,IF(169&lt;=20,'Rate Card'!$AH$120,IF(169&lt;=35,'Rate Card'!$AH$120+(169-20)*'Rate Card'!$AI$120,'Rate Card'!$AK$120+(169-35)*'Rate Card'!$AJ$120)))))))*(1+'Rate Card'!$C$6),2)+ROUND(ROUND((IF(169&lt;=2,'Rate Card'!$AD$120,IF(169&lt;=5,'Rate Card'!$AE$120,IF(169&lt;=10,'Rate Card'!$AF$120,IF(169&lt;=15,'Rate Card'!$AG$120,IF(169&lt;=20,'Rate Card'!$AH$120,IF(169&lt;=35,'Rate Card'!$AH$120+(169-20)*'Rate Card'!$AI$120,'Rate Card'!$AK$120+(169-35)*'Rate Card'!$AJ$120)))))))*(1+'Rate Card'!$C$6),2)*(IF('Rate Card'!$G$6="YES",'Rate Card'!$E$6,0)+IF('Rate Card'!$K$6="YES",'Rate Card'!$I$6,0)),2)</f>
        <v/>
      </c>
    </row>
    <row r="174">
      <c r="A174" s="75" t="n">
        <v>170</v>
      </c>
      <c r="B174" s="10">
        <f>""</f>
        <v/>
      </c>
      <c r="C174" s="10">
        <f>""</f>
        <v/>
      </c>
      <c r="D174" s="10">
        <f>""</f>
        <v/>
      </c>
      <c r="E174" s="10">
        <f>""</f>
        <v/>
      </c>
      <c r="F174" s="23">
        <f>IF(170&lt;=2,'Rate Card'!$AD$22,IF(170&lt;=5,'Rate Card'!$AE$22,IF(170&lt;=10,'Rate Card'!$AF$22,IF(170&lt;=15,'Rate Card'!$AG$22,IF(170&lt;=20,'Rate Card'!$AH$22,IF(170&lt;=35,'Rate Card'!$AH$22+(170-20)*'Rate Card'!$AI$22,'Rate Card'!$AK$22+(170-35)*'Rate Card'!$AJ$22))))))</f>
        <v/>
      </c>
      <c r="G174" s="23">
        <f>ROUND((IF(170&lt;=2,'Rate Card'!$AD$22,IF(170&lt;=5,'Rate Card'!$AE$22,IF(170&lt;=10,'Rate Card'!$AF$22,IF(170&lt;=15,'Rate Card'!$AG$22,IF(170&lt;=20,'Rate Card'!$AH$22,IF(170&lt;=35,'Rate Card'!$AH$22+(170-20)*'Rate Card'!$AI$22,'Rate Card'!$AK$22+(170-35)*'Rate Card'!$AJ$22)))))))*(1+'Rate Card'!$C$6),2)+ROUND(ROUND((IF(170&lt;=2,'Rate Card'!$AD$22,IF(170&lt;=5,'Rate Card'!$AE$22,IF(170&lt;=10,'Rate Card'!$AF$22,IF(170&lt;=15,'Rate Card'!$AG$22,IF(170&lt;=20,'Rate Card'!$AH$22,IF(170&lt;=35,'Rate Card'!$AH$22+(170-20)*'Rate Card'!$AI$22,'Rate Card'!$AK$22+(170-35)*'Rate Card'!$AJ$22)))))))*(1+'Rate Card'!$C$6),2)*(IF('Rate Card'!$G$6="YES",'Rate Card'!$E$6,0)+IF('Rate Card'!$K$6="YES",'Rate Card'!$I$6,0)),2)</f>
        <v/>
      </c>
      <c r="H174" s="23">
        <f>IF(170&lt;=2,'Rate Card'!$AD$23,IF(170&lt;=5,'Rate Card'!$AE$23,IF(170&lt;=10,'Rate Card'!$AF$23,IF(170&lt;=15,'Rate Card'!$AG$23,IF(170&lt;=20,'Rate Card'!$AH$23,IF(170&lt;=35,'Rate Card'!$AH$23+(170-20)*'Rate Card'!$AI$23,'Rate Card'!$AK$23+(170-35)*'Rate Card'!$AJ$23))))))</f>
        <v/>
      </c>
      <c r="I174" s="23">
        <f>ROUND((IF(170&lt;=2,'Rate Card'!$AD$23,IF(170&lt;=5,'Rate Card'!$AE$23,IF(170&lt;=10,'Rate Card'!$AF$23,IF(170&lt;=15,'Rate Card'!$AG$23,IF(170&lt;=20,'Rate Card'!$AH$23,IF(170&lt;=35,'Rate Card'!$AH$23+(170-20)*'Rate Card'!$AI$23,'Rate Card'!$AK$23+(170-35)*'Rate Card'!$AJ$23)))))))*(1+'Rate Card'!$C$6),2)+ROUND(ROUND((IF(170&lt;=2,'Rate Card'!$AD$23,IF(170&lt;=5,'Rate Card'!$AE$23,IF(170&lt;=10,'Rate Card'!$AF$23,IF(170&lt;=15,'Rate Card'!$AG$23,IF(170&lt;=20,'Rate Card'!$AH$23,IF(170&lt;=35,'Rate Card'!$AH$23+(170-20)*'Rate Card'!$AI$23,'Rate Card'!$AK$23+(170-35)*'Rate Card'!$AJ$23)))))))*(1+'Rate Card'!$C$6),2)*(IF('Rate Card'!$G$6="YES",'Rate Card'!$E$6,0)+IF('Rate Card'!$K$6="YES",'Rate Card'!$I$6,0)),2)</f>
        <v/>
      </c>
      <c r="J174" s="10">
        <f>""</f>
        <v/>
      </c>
      <c r="K174" s="10">
        <f>""</f>
        <v/>
      </c>
      <c r="L174" s="10">
        <f>""</f>
        <v/>
      </c>
      <c r="M174" s="10">
        <f>""</f>
        <v/>
      </c>
      <c r="N174" s="23">
        <f>IF(170&lt;=2,'Rate Card'!$AD$119,IF(170&lt;=5,'Rate Card'!$AE$119,IF(170&lt;=10,'Rate Card'!$AF$119,IF(170&lt;=15,'Rate Card'!$AG$119,IF(170&lt;=20,'Rate Card'!$AH$119,IF(170&lt;=35,'Rate Card'!$AH$119+(170-20)*'Rate Card'!$AI$119,'Rate Card'!$AK$119+(170-35)*'Rate Card'!$AJ$119))))))</f>
        <v/>
      </c>
      <c r="O174" s="23">
        <f>ROUND((IF(170&lt;=2,'Rate Card'!$AD$119,IF(170&lt;=5,'Rate Card'!$AE$119,IF(170&lt;=10,'Rate Card'!$AF$119,IF(170&lt;=15,'Rate Card'!$AG$119,IF(170&lt;=20,'Rate Card'!$AH$119,IF(170&lt;=35,'Rate Card'!$AH$119+(170-20)*'Rate Card'!$AI$119,'Rate Card'!$AK$119+(170-35)*'Rate Card'!$AJ$119)))))))*(1+'Rate Card'!$C$6),2)+ROUND(ROUND((IF(170&lt;=2,'Rate Card'!$AD$119,IF(170&lt;=5,'Rate Card'!$AE$119,IF(170&lt;=10,'Rate Card'!$AF$119,IF(170&lt;=15,'Rate Card'!$AG$119,IF(170&lt;=20,'Rate Card'!$AH$119,IF(170&lt;=35,'Rate Card'!$AH$119+(170-20)*'Rate Card'!$AI$119,'Rate Card'!$AK$119+(170-35)*'Rate Card'!$AJ$119)))))))*(1+'Rate Card'!$C$6),2)*(IF('Rate Card'!$G$6="YES",'Rate Card'!$E$6,0)+IF('Rate Card'!$K$6="YES",'Rate Card'!$I$6,0)),2)</f>
        <v/>
      </c>
      <c r="P174" s="23">
        <f>IF(170&lt;=2,'Rate Card'!$AD$120,IF(170&lt;=5,'Rate Card'!$AE$120,IF(170&lt;=10,'Rate Card'!$AF$120,IF(170&lt;=15,'Rate Card'!$AG$120,IF(170&lt;=20,'Rate Card'!$AH$120,IF(170&lt;=35,'Rate Card'!$AH$120+(170-20)*'Rate Card'!$AI$120,'Rate Card'!$AK$120+(170-35)*'Rate Card'!$AJ$120))))))</f>
        <v/>
      </c>
      <c r="Q174" s="12">
        <f>ROUND((IF(170&lt;=2,'Rate Card'!$AD$120,IF(170&lt;=5,'Rate Card'!$AE$120,IF(170&lt;=10,'Rate Card'!$AF$120,IF(170&lt;=15,'Rate Card'!$AG$120,IF(170&lt;=20,'Rate Card'!$AH$120,IF(170&lt;=35,'Rate Card'!$AH$120+(170-20)*'Rate Card'!$AI$120,'Rate Card'!$AK$120+(170-35)*'Rate Card'!$AJ$120)))))))*(1+'Rate Card'!$C$6),2)+ROUND(ROUND((IF(170&lt;=2,'Rate Card'!$AD$120,IF(170&lt;=5,'Rate Card'!$AE$120,IF(170&lt;=10,'Rate Card'!$AF$120,IF(170&lt;=15,'Rate Card'!$AG$120,IF(170&lt;=20,'Rate Card'!$AH$120,IF(170&lt;=35,'Rate Card'!$AH$120+(170-20)*'Rate Card'!$AI$120,'Rate Card'!$AK$120+(170-35)*'Rate Card'!$AJ$120)))))))*(1+'Rate Card'!$C$6),2)*(IF('Rate Card'!$G$6="YES",'Rate Card'!$E$6,0)+IF('Rate Card'!$K$6="YES",'Rate Card'!$I$6,0)),2)</f>
        <v/>
      </c>
    </row>
    <row r="175">
      <c r="A175" s="75" t="n">
        <v>171</v>
      </c>
      <c r="B175" s="10">
        <f>""</f>
        <v/>
      </c>
      <c r="C175" s="10">
        <f>""</f>
        <v/>
      </c>
      <c r="D175" s="10">
        <f>""</f>
        <v/>
      </c>
      <c r="E175" s="10">
        <f>""</f>
        <v/>
      </c>
      <c r="F175" s="23">
        <f>IF(171&lt;=2,'Rate Card'!$AD$22,IF(171&lt;=5,'Rate Card'!$AE$22,IF(171&lt;=10,'Rate Card'!$AF$22,IF(171&lt;=15,'Rate Card'!$AG$22,IF(171&lt;=20,'Rate Card'!$AH$22,IF(171&lt;=35,'Rate Card'!$AH$22+(171-20)*'Rate Card'!$AI$22,'Rate Card'!$AK$22+(171-35)*'Rate Card'!$AJ$22))))))</f>
        <v/>
      </c>
      <c r="G175" s="23">
        <f>ROUND((IF(171&lt;=2,'Rate Card'!$AD$22,IF(171&lt;=5,'Rate Card'!$AE$22,IF(171&lt;=10,'Rate Card'!$AF$22,IF(171&lt;=15,'Rate Card'!$AG$22,IF(171&lt;=20,'Rate Card'!$AH$22,IF(171&lt;=35,'Rate Card'!$AH$22+(171-20)*'Rate Card'!$AI$22,'Rate Card'!$AK$22+(171-35)*'Rate Card'!$AJ$22)))))))*(1+'Rate Card'!$C$6),2)+ROUND(ROUND((IF(171&lt;=2,'Rate Card'!$AD$22,IF(171&lt;=5,'Rate Card'!$AE$22,IF(171&lt;=10,'Rate Card'!$AF$22,IF(171&lt;=15,'Rate Card'!$AG$22,IF(171&lt;=20,'Rate Card'!$AH$22,IF(171&lt;=35,'Rate Card'!$AH$22+(171-20)*'Rate Card'!$AI$22,'Rate Card'!$AK$22+(171-35)*'Rate Card'!$AJ$22)))))))*(1+'Rate Card'!$C$6),2)*(IF('Rate Card'!$G$6="YES",'Rate Card'!$E$6,0)+IF('Rate Card'!$K$6="YES",'Rate Card'!$I$6,0)),2)</f>
        <v/>
      </c>
      <c r="H175" s="23">
        <f>IF(171&lt;=2,'Rate Card'!$AD$23,IF(171&lt;=5,'Rate Card'!$AE$23,IF(171&lt;=10,'Rate Card'!$AF$23,IF(171&lt;=15,'Rate Card'!$AG$23,IF(171&lt;=20,'Rate Card'!$AH$23,IF(171&lt;=35,'Rate Card'!$AH$23+(171-20)*'Rate Card'!$AI$23,'Rate Card'!$AK$23+(171-35)*'Rate Card'!$AJ$23))))))</f>
        <v/>
      </c>
      <c r="I175" s="23">
        <f>ROUND((IF(171&lt;=2,'Rate Card'!$AD$23,IF(171&lt;=5,'Rate Card'!$AE$23,IF(171&lt;=10,'Rate Card'!$AF$23,IF(171&lt;=15,'Rate Card'!$AG$23,IF(171&lt;=20,'Rate Card'!$AH$23,IF(171&lt;=35,'Rate Card'!$AH$23+(171-20)*'Rate Card'!$AI$23,'Rate Card'!$AK$23+(171-35)*'Rate Card'!$AJ$23)))))))*(1+'Rate Card'!$C$6),2)+ROUND(ROUND((IF(171&lt;=2,'Rate Card'!$AD$23,IF(171&lt;=5,'Rate Card'!$AE$23,IF(171&lt;=10,'Rate Card'!$AF$23,IF(171&lt;=15,'Rate Card'!$AG$23,IF(171&lt;=20,'Rate Card'!$AH$23,IF(171&lt;=35,'Rate Card'!$AH$23+(171-20)*'Rate Card'!$AI$23,'Rate Card'!$AK$23+(171-35)*'Rate Card'!$AJ$23)))))))*(1+'Rate Card'!$C$6),2)*(IF('Rate Card'!$G$6="YES",'Rate Card'!$E$6,0)+IF('Rate Card'!$K$6="YES",'Rate Card'!$I$6,0)),2)</f>
        <v/>
      </c>
      <c r="J175" s="10">
        <f>""</f>
        <v/>
      </c>
      <c r="K175" s="10">
        <f>""</f>
        <v/>
      </c>
      <c r="L175" s="10">
        <f>""</f>
        <v/>
      </c>
      <c r="M175" s="10">
        <f>""</f>
        <v/>
      </c>
      <c r="N175" s="23">
        <f>IF(171&lt;=2,'Rate Card'!$AD$119,IF(171&lt;=5,'Rate Card'!$AE$119,IF(171&lt;=10,'Rate Card'!$AF$119,IF(171&lt;=15,'Rate Card'!$AG$119,IF(171&lt;=20,'Rate Card'!$AH$119,IF(171&lt;=35,'Rate Card'!$AH$119+(171-20)*'Rate Card'!$AI$119,'Rate Card'!$AK$119+(171-35)*'Rate Card'!$AJ$119))))))</f>
        <v/>
      </c>
      <c r="O175" s="23">
        <f>ROUND((IF(171&lt;=2,'Rate Card'!$AD$119,IF(171&lt;=5,'Rate Card'!$AE$119,IF(171&lt;=10,'Rate Card'!$AF$119,IF(171&lt;=15,'Rate Card'!$AG$119,IF(171&lt;=20,'Rate Card'!$AH$119,IF(171&lt;=35,'Rate Card'!$AH$119+(171-20)*'Rate Card'!$AI$119,'Rate Card'!$AK$119+(171-35)*'Rate Card'!$AJ$119)))))))*(1+'Rate Card'!$C$6),2)+ROUND(ROUND((IF(171&lt;=2,'Rate Card'!$AD$119,IF(171&lt;=5,'Rate Card'!$AE$119,IF(171&lt;=10,'Rate Card'!$AF$119,IF(171&lt;=15,'Rate Card'!$AG$119,IF(171&lt;=20,'Rate Card'!$AH$119,IF(171&lt;=35,'Rate Card'!$AH$119+(171-20)*'Rate Card'!$AI$119,'Rate Card'!$AK$119+(171-35)*'Rate Card'!$AJ$119)))))))*(1+'Rate Card'!$C$6),2)*(IF('Rate Card'!$G$6="YES",'Rate Card'!$E$6,0)+IF('Rate Card'!$K$6="YES",'Rate Card'!$I$6,0)),2)</f>
        <v/>
      </c>
      <c r="P175" s="23">
        <f>IF(171&lt;=2,'Rate Card'!$AD$120,IF(171&lt;=5,'Rate Card'!$AE$120,IF(171&lt;=10,'Rate Card'!$AF$120,IF(171&lt;=15,'Rate Card'!$AG$120,IF(171&lt;=20,'Rate Card'!$AH$120,IF(171&lt;=35,'Rate Card'!$AH$120+(171-20)*'Rate Card'!$AI$120,'Rate Card'!$AK$120+(171-35)*'Rate Card'!$AJ$120))))))</f>
        <v/>
      </c>
      <c r="Q175" s="12">
        <f>ROUND((IF(171&lt;=2,'Rate Card'!$AD$120,IF(171&lt;=5,'Rate Card'!$AE$120,IF(171&lt;=10,'Rate Card'!$AF$120,IF(171&lt;=15,'Rate Card'!$AG$120,IF(171&lt;=20,'Rate Card'!$AH$120,IF(171&lt;=35,'Rate Card'!$AH$120+(171-20)*'Rate Card'!$AI$120,'Rate Card'!$AK$120+(171-35)*'Rate Card'!$AJ$120)))))))*(1+'Rate Card'!$C$6),2)+ROUND(ROUND((IF(171&lt;=2,'Rate Card'!$AD$120,IF(171&lt;=5,'Rate Card'!$AE$120,IF(171&lt;=10,'Rate Card'!$AF$120,IF(171&lt;=15,'Rate Card'!$AG$120,IF(171&lt;=20,'Rate Card'!$AH$120,IF(171&lt;=35,'Rate Card'!$AH$120+(171-20)*'Rate Card'!$AI$120,'Rate Card'!$AK$120+(171-35)*'Rate Card'!$AJ$120)))))))*(1+'Rate Card'!$C$6),2)*(IF('Rate Card'!$G$6="YES",'Rate Card'!$E$6,0)+IF('Rate Card'!$K$6="YES",'Rate Card'!$I$6,0)),2)</f>
        <v/>
      </c>
    </row>
    <row r="176">
      <c r="A176" s="75" t="n">
        <v>172</v>
      </c>
      <c r="B176" s="10">
        <f>""</f>
        <v/>
      </c>
      <c r="C176" s="10">
        <f>""</f>
        <v/>
      </c>
      <c r="D176" s="10">
        <f>""</f>
        <v/>
      </c>
      <c r="E176" s="10">
        <f>""</f>
        <v/>
      </c>
      <c r="F176" s="23">
        <f>IF(172&lt;=2,'Rate Card'!$AD$22,IF(172&lt;=5,'Rate Card'!$AE$22,IF(172&lt;=10,'Rate Card'!$AF$22,IF(172&lt;=15,'Rate Card'!$AG$22,IF(172&lt;=20,'Rate Card'!$AH$22,IF(172&lt;=35,'Rate Card'!$AH$22+(172-20)*'Rate Card'!$AI$22,'Rate Card'!$AK$22+(172-35)*'Rate Card'!$AJ$22))))))</f>
        <v/>
      </c>
      <c r="G176" s="23">
        <f>ROUND((IF(172&lt;=2,'Rate Card'!$AD$22,IF(172&lt;=5,'Rate Card'!$AE$22,IF(172&lt;=10,'Rate Card'!$AF$22,IF(172&lt;=15,'Rate Card'!$AG$22,IF(172&lt;=20,'Rate Card'!$AH$22,IF(172&lt;=35,'Rate Card'!$AH$22+(172-20)*'Rate Card'!$AI$22,'Rate Card'!$AK$22+(172-35)*'Rate Card'!$AJ$22)))))))*(1+'Rate Card'!$C$6),2)+ROUND(ROUND((IF(172&lt;=2,'Rate Card'!$AD$22,IF(172&lt;=5,'Rate Card'!$AE$22,IF(172&lt;=10,'Rate Card'!$AF$22,IF(172&lt;=15,'Rate Card'!$AG$22,IF(172&lt;=20,'Rate Card'!$AH$22,IF(172&lt;=35,'Rate Card'!$AH$22+(172-20)*'Rate Card'!$AI$22,'Rate Card'!$AK$22+(172-35)*'Rate Card'!$AJ$22)))))))*(1+'Rate Card'!$C$6),2)*(IF('Rate Card'!$G$6="YES",'Rate Card'!$E$6,0)+IF('Rate Card'!$K$6="YES",'Rate Card'!$I$6,0)),2)</f>
        <v/>
      </c>
      <c r="H176" s="23">
        <f>IF(172&lt;=2,'Rate Card'!$AD$23,IF(172&lt;=5,'Rate Card'!$AE$23,IF(172&lt;=10,'Rate Card'!$AF$23,IF(172&lt;=15,'Rate Card'!$AG$23,IF(172&lt;=20,'Rate Card'!$AH$23,IF(172&lt;=35,'Rate Card'!$AH$23+(172-20)*'Rate Card'!$AI$23,'Rate Card'!$AK$23+(172-35)*'Rate Card'!$AJ$23))))))</f>
        <v/>
      </c>
      <c r="I176" s="23">
        <f>ROUND((IF(172&lt;=2,'Rate Card'!$AD$23,IF(172&lt;=5,'Rate Card'!$AE$23,IF(172&lt;=10,'Rate Card'!$AF$23,IF(172&lt;=15,'Rate Card'!$AG$23,IF(172&lt;=20,'Rate Card'!$AH$23,IF(172&lt;=35,'Rate Card'!$AH$23+(172-20)*'Rate Card'!$AI$23,'Rate Card'!$AK$23+(172-35)*'Rate Card'!$AJ$23)))))))*(1+'Rate Card'!$C$6),2)+ROUND(ROUND((IF(172&lt;=2,'Rate Card'!$AD$23,IF(172&lt;=5,'Rate Card'!$AE$23,IF(172&lt;=10,'Rate Card'!$AF$23,IF(172&lt;=15,'Rate Card'!$AG$23,IF(172&lt;=20,'Rate Card'!$AH$23,IF(172&lt;=35,'Rate Card'!$AH$23+(172-20)*'Rate Card'!$AI$23,'Rate Card'!$AK$23+(172-35)*'Rate Card'!$AJ$23)))))))*(1+'Rate Card'!$C$6),2)*(IF('Rate Card'!$G$6="YES",'Rate Card'!$E$6,0)+IF('Rate Card'!$K$6="YES",'Rate Card'!$I$6,0)),2)</f>
        <v/>
      </c>
      <c r="J176" s="10">
        <f>""</f>
        <v/>
      </c>
      <c r="K176" s="10">
        <f>""</f>
        <v/>
      </c>
      <c r="L176" s="10">
        <f>""</f>
        <v/>
      </c>
      <c r="M176" s="10">
        <f>""</f>
        <v/>
      </c>
      <c r="N176" s="23">
        <f>IF(172&lt;=2,'Rate Card'!$AD$119,IF(172&lt;=5,'Rate Card'!$AE$119,IF(172&lt;=10,'Rate Card'!$AF$119,IF(172&lt;=15,'Rate Card'!$AG$119,IF(172&lt;=20,'Rate Card'!$AH$119,IF(172&lt;=35,'Rate Card'!$AH$119+(172-20)*'Rate Card'!$AI$119,'Rate Card'!$AK$119+(172-35)*'Rate Card'!$AJ$119))))))</f>
        <v/>
      </c>
      <c r="O176" s="23">
        <f>ROUND((IF(172&lt;=2,'Rate Card'!$AD$119,IF(172&lt;=5,'Rate Card'!$AE$119,IF(172&lt;=10,'Rate Card'!$AF$119,IF(172&lt;=15,'Rate Card'!$AG$119,IF(172&lt;=20,'Rate Card'!$AH$119,IF(172&lt;=35,'Rate Card'!$AH$119+(172-20)*'Rate Card'!$AI$119,'Rate Card'!$AK$119+(172-35)*'Rate Card'!$AJ$119)))))))*(1+'Rate Card'!$C$6),2)+ROUND(ROUND((IF(172&lt;=2,'Rate Card'!$AD$119,IF(172&lt;=5,'Rate Card'!$AE$119,IF(172&lt;=10,'Rate Card'!$AF$119,IF(172&lt;=15,'Rate Card'!$AG$119,IF(172&lt;=20,'Rate Card'!$AH$119,IF(172&lt;=35,'Rate Card'!$AH$119+(172-20)*'Rate Card'!$AI$119,'Rate Card'!$AK$119+(172-35)*'Rate Card'!$AJ$119)))))))*(1+'Rate Card'!$C$6),2)*(IF('Rate Card'!$G$6="YES",'Rate Card'!$E$6,0)+IF('Rate Card'!$K$6="YES",'Rate Card'!$I$6,0)),2)</f>
        <v/>
      </c>
      <c r="P176" s="23">
        <f>IF(172&lt;=2,'Rate Card'!$AD$120,IF(172&lt;=5,'Rate Card'!$AE$120,IF(172&lt;=10,'Rate Card'!$AF$120,IF(172&lt;=15,'Rate Card'!$AG$120,IF(172&lt;=20,'Rate Card'!$AH$120,IF(172&lt;=35,'Rate Card'!$AH$120+(172-20)*'Rate Card'!$AI$120,'Rate Card'!$AK$120+(172-35)*'Rate Card'!$AJ$120))))))</f>
        <v/>
      </c>
      <c r="Q176" s="12">
        <f>ROUND((IF(172&lt;=2,'Rate Card'!$AD$120,IF(172&lt;=5,'Rate Card'!$AE$120,IF(172&lt;=10,'Rate Card'!$AF$120,IF(172&lt;=15,'Rate Card'!$AG$120,IF(172&lt;=20,'Rate Card'!$AH$120,IF(172&lt;=35,'Rate Card'!$AH$120+(172-20)*'Rate Card'!$AI$120,'Rate Card'!$AK$120+(172-35)*'Rate Card'!$AJ$120)))))))*(1+'Rate Card'!$C$6),2)+ROUND(ROUND((IF(172&lt;=2,'Rate Card'!$AD$120,IF(172&lt;=5,'Rate Card'!$AE$120,IF(172&lt;=10,'Rate Card'!$AF$120,IF(172&lt;=15,'Rate Card'!$AG$120,IF(172&lt;=20,'Rate Card'!$AH$120,IF(172&lt;=35,'Rate Card'!$AH$120+(172-20)*'Rate Card'!$AI$120,'Rate Card'!$AK$120+(172-35)*'Rate Card'!$AJ$120)))))))*(1+'Rate Card'!$C$6),2)*(IF('Rate Card'!$G$6="YES",'Rate Card'!$E$6,0)+IF('Rate Card'!$K$6="YES",'Rate Card'!$I$6,0)),2)</f>
        <v/>
      </c>
    </row>
    <row r="177">
      <c r="A177" s="75" t="n">
        <v>173</v>
      </c>
      <c r="B177" s="10">
        <f>""</f>
        <v/>
      </c>
      <c r="C177" s="10">
        <f>""</f>
        <v/>
      </c>
      <c r="D177" s="10">
        <f>""</f>
        <v/>
      </c>
      <c r="E177" s="10">
        <f>""</f>
        <v/>
      </c>
      <c r="F177" s="23">
        <f>IF(173&lt;=2,'Rate Card'!$AD$22,IF(173&lt;=5,'Rate Card'!$AE$22,IF(173&lt;=10,'Rate Card'!$AF$22,IF(173&lt;=15,'Rate Card'!$AG$22,IF(173&lt;=20,'Rate Card'!$AH$22,IF(173&lt;=35,'Rate Card'!$AH$22+(173-20)*'Rate Card'!$AI$22,'Rate Card'!$AK$22+(173-35)*'Rate Card'!$AJ$22))))))</f>
        <v/>
      </c>
      <c r="G177" s="23">
        <f>ROUND((IF(173&lt;=2,'Rate Card'!$AD$22,IF(173&lt;=5,'Rate Card'!$AE$22,IF(173&lt;=10,'Rate Card'!$AF$22,IF(173&lt;=15,'Rate Card'!$AG$22,IF(173&lt;=20,'Rate Card'!$AH$22,IF(173&lt;=35,'Rate Card'!$AH$22+(173-20)*'Rate Card'!$AI$22,'Rate Card'!$AK$22+(173-35)*'Rate Card'!$AJ$22)))))))*(1+'Rate Card'!$C$6),2)+ROUND(ROUND((IF(173&lt;=2,'Rate Card'!$AD$22,IF(173&lt;=5,'Rate Card'!$AE$22,IF(173&lt;=10,'Rate Card'!$AF$22,IF(173&lt;=15,'Rate Card'!$AG$22,IF(173&lt;=20,'Rate Card'!$AH$22,IF(173&lt;=35,'Rate Card'!$AH$22+(173-20)*'Rate Card'!$AI$22,'Rate Card'!$AK$22+(173-35)*'Rate Card'!$AJ$22)))))))*(1+'Rate Card'!$C$6),2)*(IF('Rate Card'!$G$6="YES",'Rate Card'!$E$6,0)+IF('Rate Card'!$K$6="YES",'Rate Card'!$I$6,0)),2)</f>
        <v/>
      </c>
      <c r="H177" s="23">
        <f>IF(173&lt;=2,'Rate Card'!$AD$23,IF(173&lt;=5,'Rate Card'!$AE$23,IF(173&lt;=10,'Rate Card'!$AF$23,IF(173&lt;=15,'Rate Card'!$AG$23,IF(173&lt;=20,'Rate Card'!$AH$23,IF(173&lt;=35,'Rate Card'!$AH$23+(173-20)*'Rate Card'!$AI$23,'Rate Card'!$AK$23+(173-35)*'Rate Card'!$AJ$23))))))</f>
        <v/>
      </c>
      <c r="I177" s="23">
        <f>ROUND((IF(173&lt;=2,'Rate Card'!$AD$23,IF(173&lt;=5,'Rate Card'!$AE$23,IF(173&lt;=10,'Rate Card'!$AF$23,IF(173&lt;=15,'Rate Card'!$AG$23,IF(173&lt;=20,'Rate Card'!$AH$23,IF(173&lt;=35,'Rate Card'!$AH$23+(173-20)*'Rate Card'!$AI$23,'Rate Card'!$AK$23+(173-35)*'Rate Card'!$AJ$23)))))))*(1+'Rate Card'!$C$6),2)+ROUND(ROUND((IF(173&lt;=2,'Rate Card'!$AD$23,IF(173&lt;=5,'Rate Card'!$AE$23,IF(173&lt;=10,'Rate Card'!$AF$23,IF(173&lt;=15,'Rate Card'!$AG$23,IF(173&lt;=20,'Rate Card'!$AH$23,IF(173&lt;=35,'Rate Card'!$AH$23+(173-20)*'Rate Card'!$AI$23,'Rate Card'!$AK$23+(173-35)*'Rate Card'!$AJ$23)))))))*(1+'Rate Card'!$C$6),2)*(IF('Rate Card'!$G$6="YES",'Rate Card'!$E$6,0)+IF('Rate Card'!$K$6="YES",'Rate Card'!$I$6,0)),2)</f>
        <v/>
      </c>
      <c r="J177" s="10">
        <f>""</f>
        <v/>
      </c>
      <c r="K177" s="10">
        <f>""</f>
        <v/>
      </c>
      <c r="L177" s="10">
        <f>""</f>
        <v/>
      </c>
      <c r="M177" s="10">
        <f>""</f>
        <v/>
      </c>
      <c r="N177" s="23">
        <f>IF(173&lt;=2,'Rate Card'!$AD$119,IF(173&lt;=5,'Rate Card'!$AE$119,IF(173&lt;=10,'Rate Card'!$AF$119,IF(173&lt;=15,'Rate Card'!$AG$119,IF(173&lt;=20,'Rate Card'!$AH$119,IF(173&lt;=35,'Rate Card'!$AH$119+(173-20)*'Rate Card'!$AI$119,'Rate Card'!$AK$119+(173-35)*'Rate Card'!$AJ$119))))))</f>
        <v/>
      </c>
      <c r="O177" s="23">
        <f>ROUND((IF(173&lt;=2,'Rate Card'!$AD$119,IF(173&lt;=5,'Rate Card'!$AE$119,IF(173&lt;=10,'Rate Card'!$AF$119,IF(173&lt;=15,'Rate Card'!$AG$119,IF(173&lt;=20,'Rate Card'!$AH$119,IF(173&lt;=35,'Rate Card'!$AH$119+(173-20)*'Rate Card'!$AI$119,'Rate Card'!$AK$119+(173-35)*'Rate Card'!$AJ$119)))))))*(1+'Rate Card'!$C$6),2)+ROUND(ROUND((IF(173&lt;=2,'Rate Card'!$AD$119,IF(173&lt;=5,'Rate Card'!$AE$119,IF(173&lt;=10,'Rate Card'!$AF$119,IF(173&lt;=15,'Rate Card'!$AG$119,IF(173&lt;=20,'Rate Card'!$AH$119,IF(173&lt;=35,'Rate Card'!$AH$119+(173-20)*'Rate Card'!$AI$119,'Rate Card'!$AK$119+(173-35)*'Rate Card'!$AJ$119)))))))*(1+'Rate Card'!$C$6),2)*(IF('Rate Card'!$G$6="YES",'Rate Card'!$E$6,0)+IF('Rate Card'!$K$6="YES",'Rate Card'!$I$6,0)),2)</f>
        <v/>
      </c>
      <c r="P177" s="23">
        <f>IF(173&lt;=2,'Rate Card'!$AD$120,IF(173&lt;=5,'Rate Card'!$AE$120,IF(173&lt;=10,'Rate Card'!$AF$120,IF(173&lt;=15,'Rate Card'!$AG$120,IF(173&lt;=20,'Rate Card'!$AH$120,IF(173&lt;=35,'Rate Card'!$AH$120+(173-20)*'Rate Card'!$AI$120,'Rate Card'!$AK$120+(173-35)*'Rate Card'!$AJ$120))))))</f>
        <v/>
      </c>
      <c r="Q177" s="12">
        <f>ROUND((IF(173&lt;=2,'Rate Card'!$AD$120,IF(173&lt;=5,'Rate Card'!$AE$120,IF(173&lt;=10,'Rate Card'!$AF$120,IF(173&lt;=15,'Rate Card'!$AG$120,IF(173&lt;=20,'Rate Card'!$AH$120,IF(173&lt;=35,'Rate Card'!$AH$120+(173-20)*'Rate Card'!$AI$120,'Rate Card'!$AK$120+(173-35)*'Rate Card'!$AJ$120)))))))*(1+'Rate Card'!$C$6),2)+ROUND(ROUND((IF(173&lt;=2,'Rate Card'!$AD$120,IF(173&lt;=5,'Rate Card'!$AE$120,IF(173&lt;=10,'Rate Card'!$AF$120,IF(173&lt;=15,'Rate Card'!$AG$120,IF(173&lt;=20,'Rate Card'!$AH$120,IF(173&lt;=35,'Rate Card'!$AH$120+(173-20)*'Rate Card'!$AI$120,'Rate Card'!$AK$120+(173-35)*'Rate Card'!$AJ$120)))))))*(1+'Rate Card'!$C$6),2)*(IF('Rate Card'!$G$6="YES",'Rate Card'!$E$6,0)+IF('Rate Card'!$K$6="YES",'Rate Card'!$I$6,0)),2)</f>
        <v/>
      </c>
    </row>
    <row r="178">
      <c r="A178" s="75" t="n">
        <v>174</v>
      </c>
      <c r="B178" s="10">
        <f>""</f>
        <v/>
      </c>
      <c r="C178" s="10">
        <f>""</f>
        <v/>
      </c>
      <c r="D178" s="10">
        <f>""</f>
        <v/>
      </c>
      <c r="E178" s="10">
        <f>""</f>
        <v/>
      </c>
      <c r="F178" s="23">
        <f>IF(174&lt;=2,'Rate Card'!$AD$22,IF(174&lt;=5,'Rate Card'!$AE$22,IF(174&lt;=10,'Rate Card'!$AF$22,IF(174&lt;=15,'Rate Card'!$AG$22,IF(174&lt;=20,'Rate Card'!$AH$22,IF(174&lt;=35,'Rate Card'!$AH$22+(174-20)*'Rate Card'!$AI$22,'Rate Card'!$AK$22+(174-35)*'Rate Card'!$AJ$22))))))</f>
        <v/>
      </c>
      <c r="G178" s="23">
        <f>ROUND((IF(174&lt;=2,'Rate Card'!$AD$22,IF(174&lt;=5,'Rate Card'!$AE$22,IF(174&lt;=10,'Rate Card'!$AF$22,IF(174&lt;=15,'Rate Card'!$AG$22,IF(174&lt;=20,'Rate Card'!$AH$22,IF(174&lt;=35,'Rate Card'!$AH$22+(174-20)*'Rate Card'!$AI$22,'Rate Card'!$AK$22+(174-35)*'Rate Card'!$AJ$22)))))))*(1+'Rate Card'!$C$6),2)+ROUND(ROUND((IF(174&lt;=2,'Rate Card'!$AD$22,IF(174&lt;=5,'Rate Card'!$AE$22,IF(174&lt;=10,'Rate Card'!$AF$22,IF(174&lt;=15,'Rate Card'!$AG$22,IF(174&lt;=20,'Rate Card'!$AH$22,IF(174&lt;=35,'Rate Card'!$AH$22+(174-20)*'Rate Card'!$AI$22,'Rate Card'!$AK$22+(174-35)*'Rate Card'!$AJ$22)))))))*(1+'Rate Card'!$C$6),2)*(IF('Rate Card'!$G$6="YES",'Rate Card'!$E$6,0)+IF('Rate Card'!$K$6="YES",'Rate Card'!$I$6,0)),2)</f>
        <v/>
      </c>
      <c r="H178" s="23">
        <f>IF(174&lt;=2,'Rate Card'!$AD$23,IF(174&lt;=5,'Rate Card'!$AE$23,IF(174&lt;=10,'Rate Card'!$AF$23,IF(174&lt;=15,'Rate Card'!$AG$23,IF(174&lt;=20,'Rate Card'!$AH$23,IF(174&lt;=35,'Rate Card'!$AH$23+(174-20)*'Rate Card'!$AI$23,'Rate Card'!$AK$23+(174-35)*'Rate Card'!$AJ$23))))))</f>
        <v/>
      </c>
      <c r="I178" s="23">
        <f>ROUND((IF(174&lt;=2,'Rate Card'!$AD$23,IF(174&lt;=5,'Rate Card'!$AE$23,IF(174&lt;=10,'Rate Card'!$AF$23,IF(174&lt;=15,'Rate Card'!$AG$23,IF(174&lt;=20,'Rate Card'!$AH$23,IF(174&lt;=35,'Rate Card'!$AH$23+(174-20)*'Rate Card'!$AI$23,'Rate Card'!$AK$23+(174-35)*'Rate Card'!$AJ$23)))))))*(1+'Rate Card'!$C$6),2)+ROUND(ROUND((IF(174&lt;=2,'Rate Card'!$AD$23,IF(174&lt;=5,'Rate Card'!$AE$23,IF(174&lt;=10,'Rate Card'!$AF$23,IF(174&lt;=15,'Rate Card'!$AG$23,IF(174&lt;=20,'Rate Card'!$AH$23,IF(174&lt;=35,'Rate Card'!$AH$23+(174-20)*'Rate Card'!$AI$23,'Rate Card'!$AK$23+(174-35)*'Rate Card'!$AJ$23)))))))*(1+'Rate Card'!$C$6),2)*(IF('Rate Card'!$G$6="YES",'Rate Card'!$E$6,0)+IF('Rate Card'!$K$6="YES",'Rate Card'!$I$6,0)),2)</f>
        <v/>
      </c>
      <c r="J178" s="10">
        <f>""</f>
        <v/>
      </c>
      <c r="K178" s="10">
        <f>""</f>
        <v/>
      </c>
      <c r="L178" s="10">
        <f>""</f>
        <v/>
      </c>
      <c r="M178" s="10">
        <f>""</f>
        <v/>
      </c>
      <c r="N178" s="23">
        <f>IF(174&lt;=2,'Rate Card'!$AD$119,IF(174&lt;=5,'Rate Card'!$AE$119,IF(174&lt;=10,'Rate Card'!$AF$119,IF(174&lt;=15,'Rate Card'!$AG$119,IF(174&lt;=20,'Rate Card'!$AH$119,IF(174&lt;=35,'Rate Card'!$AH$119+(174-20)*'Rate Card'!$AI$119,'Rate Card'!$AK$119+(174-35)*'Rate Card'!$AJ$119))))))</f>
        <v/>
      </c>
      <c r="O178" s="23">
        <f>ROUND((IF(174&lt;=2,'Rate Card'!$AD$119,IF(174&lt;=5,'Rate Card'!$AE$119,IF(174&lt;=10,'Rate Card'!$AF$119,IF(174&lt;=15,'Rate Card'!$AG$119,IF(174&lt;=20,'Rate Card'!$AH$119,IF(174&lt;=35,'Rate Card'!$AH$119+(174-20)*'Rate Card'!$AI$119,'Rate Card'!$AK$119+(174-35)*'Rate Card'!$AJ$119)))))))*(1+'Rate Card'!$C$6),2)+ROUND(ROUND((IF(174&lt;=2,'Rate Card'!$AD$119,IF(174&lt;=5,'Rate Card'!$AE$119,IF(174&lt;=10,'Rate Card'!$AF$119,IF(174&lt;=15,'Rate Card'!$AG$119,IF(174&lt;=20,'Rate Card'!$AH$119,IF(174&lt;=35,'Rate Card'!$AH$119+(174-20)*'Rate Card'!$AI$119,'Rate Card'!$AK$119+(174-35)*'Rate Card'!$AJ$119)))))))*(1+'Rate Card'!$C$6),2)*(IF('Rate Card'!$G$6="YES",'Rate Card'!$E$6,0)+IF('Rate Card'!$K$6="YES",'Rate Card'!$I$6,0)),2)</f>
        <v/>
      </c>
      <c r="P178" s="23">
        <f>IF(174&lt;=2,'Rate Card'!$AD$120,IF(174&lt;=5,'Rate Card'!$AE$120,IF(174&lt;=10,'Rate Card'!$AF$120,IF(174&lt;=15,'Rate Card'!$AG$120,IF(174&lt;=20,'Rate Card'!$AH$120,IF(174&lt;=35,'Rate Card'!$AH$120+(174-20)*'Rate Card'!$AI$120,'Rate Card'!$AK$120+(174-35)*'Rate Card'!$AJ$120))))))</f>
        <v/>
      </c>
      <c r="Q178" s="12">
        <f>ROUND((IF(174&lt;=2,'Rate Card'!$AD$120,IF(174&lt;=5,'Rate Card'!$AE$120,IF(174&lt;=10,'Rate Card'!$AF$120,IF(174&lt;=15,'Rate Card'!$AG$120,IF(174&lt;=20,'Rate Card'!$AH$120,IF(174&lt;=35,'Rate Card'!$AH$120+(174-20)*'Rate Card'!$AI$120,'Rate Card'!$AK$120+(174-35)*'Rate Card'!$AJ$120)))))))*(1+'Rate Card'!$C$6),2)+ROUND(ROUND((IF(174&lt;=2,'Rate Card'!$AD$120,IF(174&lt;=5,'Rate Card'!$AE$120,IF(174&lt;=10,'Rate Card'!$AF$120,IF(174&lt;=15,'Rate Card'!$AG$120,IF(174&lt;=20,'Rate Card'!$AH$120,IF(174&lt;=35,'Rate Card'!$AH$120+(174-20)*'Rate Card'!$AI$120,'Rate Card'!$AK$120+(174-35)*'Rate Card'!$AJ$120)))))))*(1+'Rate Card'!$C$6),2)*(IF('Rate Card'!$G$6="YES",'Rate Card'!$E$6,0)+IF('Rate Card'!$K$6="YES",'Rate Card'!$I$6,0)),2)</f>
        <v/>
      </c>
    </row>
    <row r="179">
      <c r="A179" s="75" t="n">
        <v>175</v>
      </c>
      <c r="B179" s="10">
        <f>""</f>
        <v/>
      </c>
      <c r="C179" s="10">
        <f>""</f>
        <v/>
      </c>
      <c r="D179" s="10">
        <f>""</f>
        <v/>
      </c>
      <c r="E179" s="10">
        <f>""</f>
        <v/>
      </c>
      <c r="F179" s="23">
        <f>IF(175&lt;=2,'Rate Card'!$AD$22,IF(175&lt;=5,'Rate Card'!$AE$22,IF(175&lt;=10,'Rate Card'!$AF$22,IF(175&lt;=15,'Rate Card'!$AG$22,IF(175&lt;=20,'Rate Card'!$AH$22,IF(175&lt;=35,'Rate Card'!$AH$22+(175-20)*'Rate Card'!$AI$22,'Rate Card'!$AK$22+(175-35)*'Rate Card'!$AJ$22))))))</f>
        <v/>
      </c>
      <c r="G179" s="23">
        <f>ROUND((IF(175&lt;=2,'Rate Card'!$AD$22,IF(175&lt;=5,'Rate Card'!$AE$22,IF(175&lt;=10,'Rate Card'!$AF$22,IF(175&lt;=15,'Rate Card'!$AG$22,IF(175&lt;=20,'Rate Card'!$AH$22,IF(175&lt;=35,'Rate Card'!$AH$22+(175-20)*'Rate Card'!$AI$22,'Rate Card'!$AK$22+(175-35)*'Rate Card'!$AJ$22)))))))*(1+'Rate Card'!$C$6),2)+ROUND(ROUND((IF(175&lt;=2,'Rate Card'!$AD$22,IF(175&lt;=5,'Rate Card'!$AE$22,IF(175&lt;=10,'Rate Card'!$AF$22,IF(175&lt;=15,'Rate Card'!$AG$22,IF(175&lt;=20,'Rate Card'!$AH$22,IF(175&lt;=35,'Rate Card'!$AH$22+(175-20)*'Rate Card'!$AI$22,'Rate Card'!$AK$22+(175-35)*'Rate Card'!$AJ$22)))))))*(1+'Rate Card'!$C$6),2)*(IF('Rate Card'!$G$6="YES",'Rate Card'!$E$6,0)+IF('Rate Card'!$K$6="YES",'Rate Card'!$I$6,0)),2)</f>
        <v/>
      </c>
      <c r="H179" s="23">
        <f>IF(175&lt;=2,'Rate Card'!$AD$23,IF(175&lt;=5,'Rate Card'!$AE$23,IF(175&lt;=10,'Rate Card'!$AF$23,IF(175&lt;=15,'Rate Card'!$AG$23,IF(175&lt;=20,'Rate Card'!$AH$23,IF(175&lt;=35,'Rate Card'!$AH$23+(175-20)*'Rate Card'!$AI$23,'Rate Card'!$AK$23+(175-35)*'Rate Card'!$AJ$23))))))</f>
        <v/>
      </c>
      <c r="I179" s="23">
        <f>ROUND((IF(175&lt;=2,'Rate Card'!$AD$23,IF(175&lt;=5,'Rate Card'!$AE$23,IF(175&lt;=10,'Rate Card'!$AF$23,IF(175&lt;=15,'Rate Card'!$AG$23,IF(175&lt;=20,'Rate Card'!$AH$23,IF(175&lt;=35,'Rate Card'!$AH$23+(175-20)*'Rate Card'!$AI$23,'Rate Card'!$AK$23+(175-35)*'Rate Card'!$AJ$23)))))))*(1+'Rate Card'!$C$6),2)+ROUND(ROUND((IF(175&lt;=2,'Rate Card'!$AD$23,IF(175&lt;=5,'Rate Card'!$AE$23,IF(175&lt;=10,'Rate Card'!$AF$23,IF(175&lt;=15,'Rate Card'!$AG$23,IF(175&lt;=20,'Rate Card'!$AH$23,IF(175&lt;=35,'Rate Card'!$AH$23+(175-20)*'Rate Card'!$AI$23,'Rate Card'!$AK$23+(175-35)*'Rate Card'!$AJ$23)))))))*(1+'Rate Card'!$C$6),2)*(IF('Rate Card'!$G$6="YES",'Rate Card'!$E$6,0)+IF('Rate Card'!$K$6="YES",'Rate Card'!$I$6,0)),2)</f>
        <v/>
      </c>
      <c r="J179" s="10">
        <f>""</f>
        <v/>
      </c>
      <c r="K179" s="10">
        <f>""</f>
        <v/>
      </c>
      <c r="L179" s="10">
        <f>""</f>
        <v/>
      </c>
      <c r="M179" s="10">
        <f>""</f>
        <v/>
      </c>
      <c r="N179" s="23">
        <f>IF(175&lt;=2,'Rate Card'!$AD$119,IF(175&lt;=5,'Rate Card'!$AE$119,IF(175&lt;=10,'Rate Card'!$AF$119,IF(175&lt;=15,'Rate Card'!$AG$119,IF(175&lt;=20,'Rate Card'!$AH$119,IF(175&lt;=35,'Rate Card'!$AH$119+(175-20)*'Rate Card'!$AI$119,'Rate Card'!$AK$119+(175-35)*'Rate Card'!$AJ$119))))))</f>
        <v/>
      </c>
      <c r="O179" s="23">
        <f>ROUND((IF(175&lt;=2,'Rate Card'!$AD$119,IF(175&lt;=5,'Rate Card'!$AE$119,IF(175&lt;=10,'Rate Card'!$AF$119,IF(175&lt;=15,'Rate Card'!$AG$119,IF(175&lt;=20,'Rate Card'!$AH$119,IF(175&lt;=35,'Rate Card'!$AH$119+(175-20)*'Rate Card'!$AI$119,'Rate Card'!$AK$119+(175-35)*'Rate Card'!$AJ$119)))))))*(1+'Rate Card'!$C$6),2)+ROUND(ROUND((IF(175&lt;=2,'Rate Card'!$AD$119,IF(175&lt;=5,'Rate Card'!$AE$119,IF(175&lt;=10,'Rate Card'!$AF$119,IF(175&lt;=15,'Rate Card'!$AG$119,IF(175&lt;=20,'Rate Card'!$AH$119,IF(175&lt;=35,'Rate Card'!$AH$119+(175-20)*'Rate Card'!$AI$119,'Rate Card'!$AK$119+(175-35)*'Rate Card'!$AJ$119)))))))*(1+'Rate Card'!$C$6),2)*(IF('Rate Card'!$G$6="YES",'Rate Card'!$E$6,0)+IF('Rate Card'!$K$6="YES",'Rate Card'!$I$6,0)),2)</f>
        <v/>
      </c>
      <c r="P179" s="23">
        <f>IF(175&lt;=2,'Rate Card'!$AD$120,IF(175&lt;=5,'Rate Card'!$AE$120,IF(175&lt;=10,'Rate Card'!$AF$120,IF(175&lt;=15,'Rate Card'!$AG$120,IF(175&lt;=20,'Rate Card'!$AH$120,IF(175&lt;=35,'Rate Card'!$AH$120+(175-20)*'Rate Card'!$AI$120,'Rate Card'!$AK$120+(175-35)*'Rate Card'!$AJ$120))))))</f>
        <v/>
      </c>
      <c r="Q179" s="12">
        <f>ROUND((IF(175&lt;=2,'Rate Card'!$AD$120,IF(175&lt;=5,'Rate Card'!$AE$120,IF(175&lt;=10,'Rate Card'!$AF$120,IF(175&lt;=15,'Rate Card'!$AG$120,IF(175&lt;=20,'Rate Card'!$AH$120,IF(175&lt;=35,'Rate Card'!$AH$120+(175-20)*'Rate Card'!$AI$120,'Rate Card'!$AK$120+(175-35)*'Rate Card'!$AJ$120)))))))*(1+'Rate Card'!$C$6),2)+ROUND(ROUND((IF(175&lt;=2,'Rate Card'!$AD$120,IF(175&lt;=5,'Rate Card'!$AE$120,IF(175&lt;=10,'Rate Card'!$AF$120,IF(175&lt;=15,'Rate Card'!$AG$120,IF(175&lt;=20,'Rate Card'!$AH$120,IF(175&lt;=35,'Rate Card'!$AH$120+(175-20)*'Rate Card'!$AI$120,'Rate Card'!$AK$120+(175-35)*'Rate Card'!$AJ$120)))))))*(1+'Rate Card'!$C$6),2)*(IF('Rate Card'!$G$6="YES",'Rate Card'!$E$6,0)+IF('Rate Card'!$K$6="YES",'Rate Card'!$I$6,0)),2)</f>
        <v/>
      </c>
    </row>
    <row r="180">
      <c r="A180" s="75" t="n">
        <v>176</v>
      </c>
      <c r="B180" s="10">
        <f>""</f>
        <v/>
      </c>
      <c r="C180" s="10">
        <f>""</f>
        <v/>
      </c>
      <c r="D180" s="10">
        <f>""</f>
        <v/>
      </c>
      <c r="E180" s="10">
        <f>""</f>
        <v/>
      </c>
      <c r="F180" s="23">
        <f>IF(176&lt;=2,'Rate Card'!$AD$22,IF(176&lt;=5,'Rate Card'!$AE$22,IF(176&lt;=10,'Rate Card'!$AF$22,IF(176&lt;=15,'Rate Card'!$AG$22,IF(176&lt;=20,'Rate Card'!$AH$22,IF(176&lt;=35,'Rate Card'!$AH$22+(176-20)*'Rate Card'!$AI$22,'Rate Card'!$AK$22+(176-35)*'Rate Card'!$AJ$22))))))</f>
        <v/>
      </c>
      <c r="G180" s="23">
        <f>ROUND((IF(176&lt;=2,'Rate Card'!$AD$22,IF(176&lt;=5,'Rate Card'!$AE$22,IF(176&lt;=10,'Rate Card'!$AF$22,IF(176&lt;=15,'Rate Card'!$AG$22,IF(176&lt;=20,'Rate Card'!$AH$22,IF(176&lt;=35,'Rate Card'!$AH$22+(176-20)*'Rate Card'!$AI$22,'Rate Card'!$AK$22+(176-35)*'Rate Card'!$AJ$22)))))))*(1+'Rate Card'!$C$6),2)+ROUND(ROUND((IF(176&lt;=2,'Rate Card'!$AD$22,IF(176&lt;=5,'Rate Card'!$AE$22,IF(176&lt;=10,'Rate Card'!$AF$22,IF(176&lt;=15,'Rate Card'!$AG$22,IF(176&lt;=20,'Rate Card'!$AH$22,IF(176&lt;=35,'Rate Card'!$AH$22+(176-20)*'Rate Card'!$AI$22,'Rate Card'!$AK$22+(176-35)*'Rate Card'!$AJ$22)))))))*(1+'Rate Card'!$C$6),2)*(IF('Rate Card'!$G$6="YES",'Rate Card'!$E$6,0)+IF('Rate Card'!$K$6="YES",'Rate Card'!$I$6,0)),2)</f>
        <v/>
      </c>
      <c r="H180" s="23">
        <f>IF(176&lt;=2,'Rate Card'!$AD$23,IF(176&lt;=5,'Rate Card'!$AE$23,IF(176&lt;=10,'Rate Card'!$AF$23,IF(176&lt;=15,'Rate Card'!$AG$23,IF(176&lt;=20,'Rate Card'!$AH$23,IF(176&lt;=35,'Rate Card'!$AH$23+(176-20)*'Rate Card'!$AI$23,'Rate Card'!$AK$23+(176-35)*'Rate Card'!$AJ$23))))))</f>
        <v/>
      </c>
      <c r="I180" s="23">
        <f>ROUND((IF(176&lt;=2,'Rate Card'!$AD$23,IF(176&lt;=5,'Rate Card'!$AE$23,IF(176&lt;=10,'Rate Card'!$AF$23,IF(176&lt;=15,'Rate Card'!$AG$23,IF(176&lt;=20,'Rate Card'!$AH$23,IF(176&lt;=35,'Rate Card'!$AH$23+(176-20)*'Rate Card'!$AI$23,'Rate Card'!$AK$23+(176-35)*'Rate Card'!$AJ$23)))))))*(1+'Rate Card'!$C$6),2)+ROUND(ROUND((IF(176&lt;=2,'Rate Card'!$AD$23,IF(176&lt;=5,'Rate Card'!$AE$23,IF(176&lt;=10,'Rate Card'!$AF$23,IF(176&lt;=15,'Rate Card'!$AG$23,IF(176&lt;=20,'Rate Card'!$AH$23,IF(176&lt;=35,'Rate Card'!$AH$23+(176-20)*'Rate Card'!$AI$23,'Rate Card'!$AK$23+(176-35)*'Rate Card'!$AJ$23)))))))*(1+'Rate Card'!$C$6),2)*(IF('Rate Card'!$G$6="YES",'Rate Card'!$E$6,0)+IF('Rate Card'!$K$6="YES",'Rate Card'!$I$6,0)),2)</f>
        <v/>
      </c>
      <c r="J180" s="10">
        <f>""</f>
        <v/>
      </c>
      <c r="K180" s="10">
        <f>""</f>
        <v/>
      </c>
      <c r="L180" s="10">
        <f>""</f>
        <v/>
      </c>
      <c r="M180" s="10">
        <f>""</f>
        <v/>
      </c>
      <c r="N180" s="23">
        <f>IF(176&lt;=2,'Rate Card'!$AD$119,IF(176&lt;=5,'Rate Card'!$AE$119,IF(176&lt;=10,'Rate Card'!$AF$119,IF(176&lt;=15,'Rate Card'!$AG$119,IF(176&lt;=20,'Rate Card'!$AH$119,IF(176&lt;=35,'Rate Card'!$AH$119+(176-20)*'Rate Card'!$AI$119,'Rate Card'!$AK$119+(176-35)*'Rate Card'!$AJ$119))))))</f>
        <v/>
      </c>
      <c r="O180" s="23">
        <f>ROUND((IF(176&lt;=2,'Rate Card'!$AD$119,IF(176&lt;=5,'Rate Card'!$AE$119,IF(176&lt;=10,'Rate Card'!$AF$119,IF(176&lt;=15,'Rate Card'!$AG$119,IF(176&lt;=20,'Rate Card'!$AH$119,IF(176&lt;=35,'Rate Card'!$AH$119+(176-20)*'Rate Card'!$AI$119,'Rate Card'!$AK$119+(176-35)*'Rate Card'!$AJ$119)))))))*(1+'Rate Card'!$C$6),2)+ROUND(ROUND((IF(176&lt;=2,'Rate Card'!$AD$119,IF(176&lt;=5,'Rate Card'!$AE$119,IF(176&lt;=10,'Rate Card'!$AF$119,IF(176&lt;=15,'Rate Card'!$AG$119,IF(176&lt;=20,'Rate Card'!$AH$119,IF(176&lt;=35,'Rate Card'!$AH$119+(176-20)*'Rate Card'!$AI$119,'Rate Card'!$AK$119+(176-35)*'Rate Card'!$AJ$119)))))))*(1+'Rate Card'!$C$6),2)*(IF('Rate Card'!$G$6="YES",'Rate Card'!$E$6,0)+IF('Rate Card'!$K$6="YES",'Rate Card'!$I$6,0)),2)</f>
        <v/>
      </c>
      <c r="P180" s="23">
        <f>IF(176&lt;=2,'Rate Card'!$AD$120,IF(176&lt;=5,'Rate Card'!$AE$120,IF(176&lt;=10,'Rate Card'!$AF$120,IF(176&lt;=15,'Rate Card'!$AG$120,IF(176&lt;=20,'Rate Card'!$AH$120,IF(176&lt;=35,'Rate Card'!$AH$120+(176-20)*'Rate Card'!$AI$120,'Rate Card'!$AK$120+(176-35)*'Rate Card'!$AJ$120))))))</f>
        <v/>
      </c>
      <c r="Q180" s="12">
        <f>ROUND((IF(176&lt;=2,'Rate Card'!$AD$120,IF(176&lt;=5,'Rate Card'!$AE$120,IF(176&lt;=10,'Rate Card'!$AF$120,IF(176&lt;=15,'Rate Card'!$AG$120,IF(176&lt;=20,'Rate Card'!$AH$120,IF(176&lt;=35,'Rate Card'!$AH$120+(176-20)*'Rate Card'!$AI$120,'Rate Card'!$AK$120+(176-35)*'Rate Card'!$AJ$120)))))))*(1+'Rate Card'!$C$6),2)+ROUND(ROUND((IF(176&lt;=2,'Rate Card'!$AD$120,IF(176&lt;=5,'Rate Card'!$AE$120,IF(176&lt;=10,'Rate Card'!$AF$120,IF(176&lt;=15,'Rate Card'!$AG$120,IF(176&lt;=20,'Rate Card'!$AH$120,IF(176&lt;=35,'Rate Card'!$AH$120+(176-20)*'Rate Card'!$AI$120,'Rate Card'!$AK$120+(176-35)*'Rate Card'!$AJ$120)))))))*(1+'Rate Card'!$C$6),2)*(IF('Rate Card'!$G$6="YES",'Rate Card'!$E$6,0)+IF('Rate Card'!$K$6="YES",'Rate Card'!$I$6,0)),2)</f>
        <v/>
      </c>
    </row>
    <row r="181">
      <c r="A181" s="75" t="n">
        <v>177</v>
      </c>
      <c r="B181" s="10">
        <f>""</f>
        <v/>
      </c>
      <c r="C181" s="10">
        <f>""</f>
        <v/>
      </c>
      <c r="D181" s="10">
        <f>""</f>
        <v/>
      </c>
      <c r="E181" s="10">
        <f>""</f>
        <v/>
      </c>
      <c r="F181" s="23">
        <f>IF(177&lt;=2,'Rate Card'!$AD$22,IF(177&lt;=5,'Rate Card'!$AE$22,IF(177&lt;=10,'Rate Card'!$AF$22,IF(177&lt;=15,'Rate Card'!$AG$22,IF(177&lt;=20,'Rate Card'!$AH$22,IF(177&lt;=35,'Rate Card'!$AH$22+(177-20)*'Rate Card'!$AI$22,'Rate Card'!$AK$22+(177-35)*'Rate Card'!$AJ$22))))))</f>
        <v/>
      </c>
      <c r="G181" s="23">
        <f>ROUND((IF(177&lt;=2,'Rate Card'!$AD$22,IF(177&lt;=5,'Rate Card'!$AE$22,IF(177&lt;=10,'Rate Card'!$AF$22,IF(177&lt;=15,'Rate Card'!$AG$22,IF(177&lt;=20,'Rate Card'!$AH$22,IF(177&lt;=35,'Rate Card'!$AH$22+(177-20)*'Rate Card'!$AI$22,'Rate Card'!$AK$22+(177-35)*'Rate Card'!$AJ$22)))))))*(1+'Rate Card'!$C$6),2)+ROUND(ROUND((IF(177&lt;=2,'Rate Card'!$AD$22,IF(177&lt;=5,'Rate Card'!$AE$22,IF(177&lt;=10,'Rate Card'!$AF$22,IF(177&lt;=15,'Rate Card'!$AG$22,IF(177&lt;=20,'Rate Card'!$AH$22,IF(177&lt;=35,'Rate Card'!$AH$22+(177-20)*'Rate Card'!$AI$22,'Rate Card'!$AK$22+(177-35)*'Rate Card'!$AJ$22)))))))*(1+'Rate Card'!$C$6),2)*(IF('Rate Card'!$G$6="YES",'Rate Card'!$E$6,0)+IF('Rate Card'!$K$6="YES",'Rate Card'!$I$6,0)),2)</f>
        <v/>
      </c>
      <c r="H181" s="23">
        <f>IF(177&lt;=2,'Rate Card'!$AD$23,IF(177&lt;=5,'Rate Card'!$AE$23,IF(177&lt;=10,'Rate Card'!$AF$23,IF(177&lt;=15,'Rate Card'!$AG$23,IF(177&lt;=20,'Rate Card'!$AH$23,IF(177&lt;=35,'Rate Card'!$AH$23+(177-20)*'Rate Card'!$AI$23,'Rate Card'!$AK$23+(177-35)*'Rate Card'!$AJ$23))))))</f>
        <v/>
      </c>
      <c r="I181" s="23">
        <f>ROUND((IF(177&lt;=2,'Rate Card'!$AD$23,IF(177&lt;=5,'Rate Card'!$AE$23,IF(177&lt;=10,'Rate Card'!$AF$23,IF(177&lt;=15,'Rate Card'!$AG$23,IF(177&lt;=20,'Rate Card'!$AH$23,IF(177&lt;=35,'Rate Card'!$AH$23+(177-20)*'Rate Card'!$AI$23,'Rate Card'!$AK$23+(177-35)*'Rate Card'!$AJ$23)))))))*(1+'Rate Card'!$C$6),2)+ROUND(ROUND((IF(177&lt;=2,'Rate Card'!$AD$23,IF(177&lt;=5,'Rate Card'!$AE$23,IF(177&lt;=10,'Rate Card'!$AF$23,IF(177&lt;=15,'Rate Card'!$AG$23,IF(177&lt;=20,'Rate Card'!$AH$23,IF(177&lt;=35,'Rate Card'!$AH$23+(177-20)*'Rate Card'!$AI$23,'Rate Card'!$AK$23+(177-35)*'Rate Card'!$AJ$23)))))))*(1+'Rate Card'!$C$6),2)*(IF('Rate Card'!$G$6="YES",'Rate Card'!$E$6,0)+IF('Rate Card'!$K$6="YES",'Rate Card'!$I$6,0)),2)</f>
        <v/>
      </c>
      <c r="J181" s="10">
        <f>""</f>
        <v/>
      </c>
      <c r="K181" s="10">
        <f>""</f>
        <v/>
      </c>
      <c r="L181" s="10">
        <f>""</f>
        <v/>
      </c>
      <c r="M181" s="10">
        <f>""</f>
        <v/>
      </c>
      <c r="N181" s="23">
        <f>IF(177&lt;=2,'Rate Card'!$AD$119,IF(177&lt;=5,'Rate Card'!$AE$119,IF(177&lt;=10,'Rate Card'!$AF$119,IF(177&lt;=15,'Rate Card'!$AG$119,IF(177&lt;=20,'Rate Card'!$AH$119,IF(177&lt;=35,'Rate Card'!$AH$119+(177-20)*'Rate Card'!$AI$119,'Rate Card'!$AK$119+(177-35)*'Rate Card'!$AJ$119))))))</f>
        <v/>
      </c>
      <c r="O181" s="23">
        <f>ROUND((IF(177&lt;=2,'Rate Card'!$AD$119,IF(177&lt;=5,'Rate Card'!$AE$119,IF(177&lt;=10,'Rate Card'!$AF$119,IF(177&lt;=15,'Rate Card'!$AG$119,IF(177&lt;=20,'Rate Card'!$AH$119,IF(177&lt;=35,'Rate Card'!$AH$119+(177-20)*'Rate Card'!$AI$119,'Rate Card'!$AK$119+(177-35)*'Rate Card'!$AJ$119)))))))*(1+'Rate Card'!$C$6),2)+ROUND(ROUND((IF(177&lt;=2,'Rate Card'!$AD$119,IF(177&lt;=5,'Rate Card'!$AE$119,IF(177&lt;=10,'Rate Card'!$AF$119,IF(177&lt;=15,'Rate Card'!$AG$119,IF(177&lt;=20,'Rate Card'!$AH$119,IF(177&lt;=35,'Rate Card'!$AH$119+(177-20)*'Rate Card'!$AI$119,'Rate Card'!$AK$119+(177-35)*'Rate Card'!$AJ$119)))))))*(1+'Rate Card'!$C$6),2)*(IF('Rate Card'!$G$6="YES",'Rate Card'!$E$6,0)+IF('Rate Card'!$K$6="YES",'Rate Card'!$I$6,0)),2)</f>
        <v/>
      </c>
      <c r="P181" s="23">
        <f>IF(177&lt;=2,'Rate Card'!$AD$120,IF(177&lt;=5,'Rate Card'!$AE$120,IF(177&lt;=10,'Rate Card'!$AF$120,IF(177&lt;=15,'Rate Card'!$AG$120,IF(177&lt;=20,'Rate Card'!$AH$120,IF(177&lt;=35,'Rate Card'!$AH$120+(177-20)*'Rate Card'!$AI$120,'Rate Card'!$AK$120+(177-35)*'Rate Card'!$AJ$120))))))</f>
        <v/>
      </c>
      <c r="Q181" s="12">
        <f>ROUND((IF(177&lt;=2,'Rate Card'!$AD$120,IF(177&lt;=5,'Rate Card'!$AE$120,IF(177&lt;=10,'Rate Card'!$AF$120,IF(177&lt;=15,'Rate Card'!$AG$120,IF(177&lt;=20,'Rate Card'!$AH$120,IF(177&lt;=35,'Rate Card'!$AH$120+(177-20)*'Rate Card'!$AI$120,'Rate Card'!$AK$120+(177-35)*'Rate Card'!$AJ$120)))))))*(1+'Rate Card'!$C$6),2)+ROUND(ROUND((IF(177&lt;=2,'Rate Card'!$AD$120,IF(177&lt;=5,'Rate Card'!$AE$120,IF(177&lt;=10,'Rate Card'!$AF$120,IF(177&lt;=15,'Rate Card'!$AG$120,IF(177&lt;=20,'Rate Card'!$AH$120,IF(177&lt;=35,'Rate Card'!$AH$120+(177-20)*'Rate Card'!$AI$120,'Rate Card'!$AK$120+(177-35)*'Rate Card'!$AJ$120)))))))*(1+'Rate Card'!$C$6),2)*(IF('Rate Card'!$G$6="YES",'Rate Card'!$E$6,0)+IF('Rate Card'!$K$6="YES",'Rate Card'!$I$6,0)),2)</f>
        <v/>
      </c>
    </row>
    <row r="182">
      <c r="A182" s="75" t="n">
        <v>178</v>
      </c>
      <c r="B182" s="10">
        <f>""</f>
        <v/>
      </c>
      <c r="C182" s="10">
        <f>""</f>
        <v/>
      </c>
      <c r="D182" s="10">
        <f>""</f>
        <v/>
      </c>
      <c r="E182" s="10">
        <f>""</f>
        <v/>
      </c>
      <c r="F182" s="23">
        <f>IF(178&lt;=2,'Rate Card'!$AD$22,IF(178&lt;=5,'Rate Card'!$AE$22,IF(178&lt;=10,'Rate Card'!$AF$22,IF(178&lt;=15,'Rate Card'!$AG$22,IF(178&lt;=20,'Rate Card'!$AH$22,IF(178&lt;=35,'Rate Card'!$AH$22+(178-20)*'Rate Card'!$AI$22,'Rate Card'!$AK$22+(178-35)*'Rate Card'!$AJ$22))))))</f>
        <v/>
      </c>
      <c r="G182" s="23">
        <f>ROUND((IF(178&lt;=2,'Rate Card'!$AD$22,IF(178&lt;=5,'Rate Card'!$AE$22,IF(178&lt;=10,'Rate Card'!$AF$22,IF(178&lt;=15,'Rate Card'!$AG$22,IF(178&lt;=20,'Rate Card'!$AH$22,IF(178&lt;=35,'Rate Card'!$AH$22+(178-20)*'Rate Card'!$AI$22,'Rate Card'!$AK$22+(178-35)*'Rate Card'!$AJ$22)))))))*(1+'Rate Card'!$C$6),2)+ROUND(ROUND((IF(178&lt;=2,'Rate Card'!$AD$22,IF(178&lt;=5,'Rate Card'!$AE$22,IF(178&lt;=10,'Rate Card'!$AF$22,IF(178&lt;=15,'Rate Card'!$AG$22,IF(178&lt;=20,'Rate Card'!$AH$22,IF(178&lt;=35,'Rate Card'!$AH$22+(178-20)*'Rate Card'!$AI$22,'Rate Card'!$AK$22+(178-35)*'Rate Card'!$AJ$22)))))))*(1+'Rate Card'!$C$6),2)*(IF('Rate Card'!$G$6="YES",'Rate Card'!$E$6,0)+IF('Rate Card'!$K$6="YES",'Rate Card'!$I$6,0)),2)</f>
        <v/>
      </c>
      <c r="H182" s="23">
        <f>IF(178&lt;=2,'Rate Card'!$AD$23,IF(178&lt;=5,'Rate Card'!$AE$23,IF(178&lt;=10,'Rate Card'!$AF$23,IF(178&lt;=15,'Rate Card'!$AG$23,IF(178&lt;=20,'Rate Card'!$AH$23,IF(178&lt;=35,'Rate Card'!$AH$23+(178-20)*'Rate Card'!$AI$23,'Rate Card'!$AK$23+(178-35)*'Rate Card'!$AJ$23))))))</f>
        <v/>
      </c>
      <c r="I182" s="23">
        <f>ROUND((IF(178&lt;=2,'Rate Card'!$AD$23,IF(178&lt;=5,'Rate Card'!$AE$23,IF(178&lt;=10,'Rate Card'!$AF$23,IF(178&lt;=15,'Rate Card'!$AG$23,IF(178&lt;=20,'Rate Card'!$AH$23,IF(178&lt;=35,'Rate Card'!$AH$23+(178-20)*'Rate Card'!$AI$23,'Rate Card'!$AK$23+(178-35)*'Rate Card'!$AJ$23)))))))*(1+'Rate Card'!$C$6),2)+ROUND(ROUND((IF(178&lt;=2,'Rate Card'!$AD$23,IF(178&lt;=5,'Rate Card'!$AE$23,IF(178&lt;=10,'Rate Card'!$AF$23,IF(178&lt;=15,'Rate Card'!$AG$23,IF(178&lt;=20,'Rate Card'!$AH$23,IF(178&lt;=35,'Rate Card'!$AH$23+(178-20)*'Rate Card'!$AI$23,'Rate Card'!$AK$23+(178-35)*'Rate Card'!$AJ$23)))))))*(1+'Rate Card'!$C$6),2)*(IF('Rate Card'!$G$6="YES",'Rate Card'!$E$6,0)+IF('Rate Card'!$K$6="YES",'Rate Card'!$I$6,0)),2)</f>
        <v/>
      </c>
      <c r="J182" s="10">
        <f>""</f>
        <v/>
      </c>
      <c r="K182" s="10">
        <f>""</f>
        <v/>
      </c>
      <c r="L182" s="10">
        <f>""</f>
        <v/>
      </c>
      <c r="M182" s="10">
        <f>""</f>
        <v/>
      </c>
      <c r="N182" s="23">
        <f>IF(178&lt;=2,'Rate Card'!$AD$119,IF(178&lt;=5,'Rate Card'!$AE$119,IF(178&lt;=10,'Rate Card'!$AF$119,IF(178&lt;=15,'Rate Card'!$AG$119,IF(178&lt;=20,'Rate Card'!$AH$119,IF(178&lt;=35,'Rate Card'!$AH$119+(178-20)*'Rate Card'!$AI$119,'Rate Card'!$AK$119+(178-35)*'Rate Card'!$AJ$119))))))</f>
        <v/>
      </c>
      <c r="O182" s="23">
        <f>ROUND((IF(178&lt;=2,'Rate Card'!$AD$119,IF(178&lt;=5,'Rate Card'!$AE$119,IF(178&lt;=10,'Rate Card'!$AF$119,IF(178&lt;=15,'Rate Card'!$AG$119,IF(178&lt;=20,'Rate Card'!$AH$119,IF(178&lt;=35,'Rate Card'!$AH$119+(178-20)*'Rate Card'!$AI$119,'Rate Card'!$AK$119+(178-35)*'Rate Card'!$AJ$119)))))))*(1+'Rate Card'!$C$6),2)+ROUND(ROUND((IF(178&lt;=2,'Rate Card'!$AD$119,IF(178&lt;=5,'Rate Card'!$AE$119,IF(178&lt;=10,'Rate Card'!$AF$119,IF(178&lt;=15,'Rate Card'!$AG$119,IF(178&lt;=20,'Rate Card'!$AH$119,IF(178&lt;=35,'Rate Card'!$AH$119+(178-20)*'Rate Card'!$AI$119,'Rate Card'!$AK$119+(178-35)*'Rate Card'!$AJ$119)))))))*(1+'Rate Card'!$C$6),2)*(IF('Rate Card'!$G$6="YES",'Rate Card'!$E$6,0)+IF('Rate Card'!$K$6="YES",'Rate Card'!$I$6,0)),2)</f>
        <v/>
      </c>
      <c r="P182" s="23">
        <f>IF(178&lt;=2,'Rate Card'!$AD$120,IF(178&lt;=5,'Rate Card'!$AE$120,IF(178&lt;=10,'Rate Card'!$AF$120,IF(178&lt;=15,'Rate Card'!$AG$120,IF(178&lt;=20,'Rate Card'!$AH$120,IF(178&lt;=35,'Rate Card'!$AH$120+(178-20)*'Rate Card'!$AI$120,'Rate Card'!$AK$120+(178-35)*'Rate Card'!$AJ$120))))))</f>
        <v/>
      </c>
      <c r="Q182" s="12">
        <f>ROUND((IF(178&lt;=2,'Rate Card'!$AD$120,IF(178&lt;=5,'Rate Card'!$AE$120,IF(178&lt;=10,'Rate Card'!$AF$120,IF(178&lt;=15,'Rate Card'!$AG$120,IF(178&lt;=20,'Rate Card'!$AH$120,IF(178&lt;=35,'Rate Card'!$AH$120+(178-20)*'Rate Card'!$AI$120,'Rate Card'!$AK$120+(178-35)*'Rate Card'!$AJ$120)))))))*(1+'Rate Card'!$C$6),2)+ROUND(ROUND((IF(178&lt;=2,'Rate Card'!$AD$120,IF(178&lt;=5,'Rate Card'!$AE$120,IF(178&lt;=10,'Rate Card'!$AF$120,IF(178&lt;=15,'Rate Card'!$AG$120,IF(178&lt;=20,'Rate Card'!$AH$120,IF(178&lt;=35,'Rate Card'!$AH$120+(178-20)*'Rate Card'!$AI$120,'Rate Card'!$AK$120+(178-35)*'Rate Card'!$AJ$120)))))))*(1+'Rate Card'!$C$6),2)*(IF('Rate Card'!$G$6="YES",'Rate Card'!$E$6,0)+IF('Rate Card'!$K$6="YES",'Rate Card'!$I$6,0)),2)</f>
        <v/>
      </c>
    </row>
    <row r="183">
      <c r="A183" s="75" t="n">
        <v>179</v>
      </c>
      <c r="B183" s="10">
        <f>""</f>
        <v/>
      </c>
      <c r="C183" s="10">
        <f>""</f>
        <v/>
      </c>
      <c r="D183" s="10">
        <f>""</f>
        <v/>
      </c>
      <c r="E183" s="10">
        <f>""</f>
        <v/>
      </c>
      <c r="F183" s="23">
        <f>IF(179&lt;=2,'Rate Card'!$AD$22,IF(179&lt;=5,'Rate Card'!$AE$22,IF(179&lt;=10,'Rate Card'!$AF$22,IF(179&lt;=15,'Rate Card'!$AG$22,IF(179&lt;=20,'Rate Card'!$AH$22,IF(179&lt;=35,'Rate Card'!$AH$22+(179-20)*'Rate Card'!$AI$22,'Rate Card'!$AK$22+(179-35)*'Rate Card'!$AJ$22))))))</f>
        <v/>
      </c>
      <c r="G183" s="23">
        <f>ROUND((IF(179&lt;=2,'Rate Card'!$AD$22,IF(179&lt;=5,'Rate Card'!$AE$22,IF(179&lt;=10,'Rate Card'!$AF$22,IF(179&lt;=15,'Rate Card'!$AG$22,IF(179&lt;=20,'Rate Card'!$AH$22,IF(179&lt;=35,'Rate Card'!$AH$22+(179-20)*'Rate Card'!$AI$22,'Rate Card'!$AK$22+(179-35)*'Rate Card'!$AJ$22)))))))*(1+'Rate Card'!$C$6),2)+ROUND(ROUND((IF(179&lt;=2,'Rate Card'!$AD$22,IF(179&lt;=5,'Rate Card'!$AE$22,IF(179&lt;=10,'Rate Card'!$AF$22,IF(179&lt;=15,'Rate Card'!$AG$22,IF(179&lt;=20,'Rate Card'!$AH$22,IF(179&lt;=35,'Rate Card'!$AH$22+(179-20)*'Rate Card'!$AI$22,'Rate Card'!$AK$22+(179-35)*'Rate Card'!$AJ$22)))))))*(1+'Rate Card'!$C$6),2)*(IF('Rate Card'!$G$6="YES",'Rate Card'!$E$6,0)+IF('Rate Card'!$K$6="YES",'Rate Card'!$I$6,0)),2)</f>
        <v/>
      </c>
      <c r="H183" s="23">
        <f>IF(179&lt;=2,'Rate Card'!$AD$23,IF(179&lt;=5,'Rate Card'!$AE$23,IF(179&lt;=10,'Rate Card'!$AF$23,IF(179&lt;=15,'Rate Card'!$AG$23,IF(179&lt;=20,'Rate Card'!$AH$23,IF(179&lt;=35,'Rate Card'!$AH$23+(179-20)*'Rate Card'!$AI$23,'Rate Card'!$AK$23+(179-35)*'Rate Card'!$AJ$23))))))</f>
        <v/>
      </c>
      <c r="I183" s="23">
        <f>ROUND((IF(179&lt;=2,'Rate Card'!$AD$23,IF(179&lt;=5,'Rate Card'!$AE$23,IF(179&lt;=10,'Rate Card'!$AF$23,IF(179&lt;=15,'Rate Card'!$AG$23,IF(179&lt;=20,'Rate Card'!$AH$23,IF(179&lt;=35,'Rate Card'!$AH$23+(179-20)*'Rate Card'!$AI$23,'Rate Card'!$AK$23+(179-35)*'Rate Card'!$AJ$23)))))))*(1+'Rate Card'!$C$6),2)+ROUND(ROUND((IF(179&lt;=2,'Rate Card'!$AD$23,IF(179&lt;=5,'Rate Card'!$AE$23,IF(179&lt;=10,'Rate Card'!$AF$23,IF(179&lt;=15,'Rate Card'!$AG$23,IF(179&lt;=20,'Rate Card'!$AH$23,IF(179&lt;=35,'Rate Card'!$AH$23+(179-20)*'Rate Card'!$AI$23,'Rate Card'!$AK$23+(179-35)*'Rate Card'!$AJ$23)))))))*(1+'Rate Card'!$C$6),2)*(IF('Rate Card'!$G$6="YES",'Rate Card'!$E$6,0)+IF('Rate Card'!$K$6="YES",'Rate Card'!$I$6,0)),2)</f>
        <v/>
      </c>
      <c r="J183" s="10">
        <f>""</f>
        <v/>
      </c>
      <c r="K183" s="10">
        <f>""</f>
        <v/>
      </c>
      <c r="L183" s="10">
        <f>""</f>
        <v/>
      </c>
      <c r="M183" s="10">
        <f>""</f>
        <v/>
      </c>
      <c r="N183" s="23">
        <f>IF(179&lt;=2,'Rate Card'!$AD$119,IF(179&lt;=5,'Rate Card'!$AE$119,IF(179&lt;=10,'Rate Card'!$AF$119,IF(179&lt;=15,'Rate Card'!$AG$119,IF(179&lt;=20,'Rate Card'!$AH$119,IF(179&lt;=35,'Rate Card'!$AH$119+(179-20)*'Rate Card'!$AI$119,'Rate Card'!$AK$119+(179-35)*'Rate Card'!$AJ$119))))))</f>
        <v/>
      </c>
      <c r="O183" s="23">
        <f>ROUND((IF(179&lt;=2,'Rate Card'!$AD$119,IF(179&lt;=5,'Rate Card'!$AE$119,IF(179&lt;=10,'Rate Card'!$AF$119,IF(179&lt;=15,'Rate Card'!$AG$119,IF(179&lt;=20,'Rate Card'!$AH$119,IF(179&lt;=35,'Rate Card'!$AH$119+(179-20)*'Rate Card'!$AI$119,'Rate Card'!$AK$119+(179-35)*'Rate Card'!$AJ$119)))))))*(1+'Rate Card'!$C$6),2)+ROUND(ROUND((IF(179&lt;=2,'Rate Card'!$AD$119,IF(179&lt;=5,'Rate Card'!$AE$119,IF(179&lt;=10,'Rate Card'!$AF$119,IF(179&lt;=15,'Rate Card'!$AG$119,IF(179&lt;=20,'Rate Card'!$AH$119,IF(179&lt;=35,'Rate Card'!$AH$119+(179-20)*'Rate Card'!$AI$119,'Rate Card'!$AK$119+(179-35)*'Rate Card'!$AJ$119)))))))*(1+'Rate Card'!$C$6),2)*(IF('Rate Card'!$G$6="YES",'Rate Card'!$E$6,0)+IF('Rate Card'!$K$6="YES",'Rate Card'!$I$6,0)),2)</f>
        <v/>
      </c>
      <c r="P183" s="23">
        <f>IF(179&lt;=2,'Rate Card'!$AD$120,IF(179&lt;=5,'Rate Card'!$AE$120,IF(179&lt;=10,'Rate Card'!$AF$120,IF(179&lt;=15,'Rate Card'!$AG$120,IF(179&lt;=20,'Rate Card'!$AH$120,IF(179&lt;=35,'Rate Card'!$AH$120+(179-20)*'Rate Card'!$AI$120,'Rate Card'!$AK$120+(179-35)*'Rate Card'!$AJ$120))))))</f>
        <v/>
      </c>
      <c r="Q183" s="12">
        <f>ROUND((IF(179&lt;=2,'Rate Card'!$AD$120,IF(179&lt;=5,'Rate Card'!$AE$120,IF(179&lt;=10,'Rate Card'!$AF$120,IF(179&lt;=15,'Rate Card'!$AG$120,IF(179&lt;=20,'Rate Card'!$AH$120,IF(179&lt;=35,'Rate Card'!$AH$120+(179-20)*'Rate Card'!$AI$120,'Rate Card'!$AK$120+(179-35)*'Rate Card'!$AJ$120)))))))*(1+'Rate Card'!$C$6),2)+ROUND(ROUND((IF(179&lt;=2,'Rate Card'!$AD$120,IF(179&lt;=5,'Rate Card'!$AE$120,IF(179&lt;=10,'Rate Card'!$AF$120,IF(179&lt;=15,'Rate Card'!$AG$120,IF(179&lt;=20,'Rate Card'!$AH$120,IF(179&lt;=35,'Rate Card'!$AH$120+(179-20)*'Rate Card'!$AI$120,'Rate Card'!$AK$120+(179-35)*'Rate Card'!$AJ$120)))))))*(1+'Rate Card'!$C$6),2)*(IF('Rate Card'!$G$6="YES",'Rate Card'!$E$6,0)+IF('Rate Card'!$K$6="YES",'Rate Card'!$I$6,0)),2)</f>
        <v/>
      </c>
    </row>
    <row r="184">
      <c r="A184" s="75" t="n">
        <v>180</v>
      </c>
      <c r="B184" s="10">
        <f>""</f>
        <v/>
      </c>
      <c r="C184" s="10">
        <f>""</f>
        <v/>
      </c>
      <c r="D184" s="10">
        <f>""</f>
        <v/>
      </c>
      <c r="E184" s="10">
        <f>""</f>
        <v/>
      </c>
      <c r="F184" s="23">
        <f>IF(180&lt;=2,'Rate Card'!$AD$22,IF(180&lt;=5,'Rate Card'!$AE$22,IF(180&lt;=10,'Rate Card'!$AF$22,IF(180&lt;=15,'Rate Card'!$AG$22,IF(180&lt;=20,'Rate Card'!$AH$22,IF(180&lt;=35,'Rate Card'!$AH$22+(180-20)*'Rate Card'!$AI$22,'Rate Card'!$AK$22+(180-35)*'Rate Card'!$AJ$22))))))</f>
        <v/>
      </c>
      <c r="G184" s="23">
        <f>ROUND((IF(180&lt;=2,'Rate Card'!$AD$22,IF(180&lt;=5,'Rate Card'!$AE$22,IF(180&lt;=10,'Rate Card'!$AF$22,IF(180&lt;=15,'Rate Card'!$AG$22,IF(180&lt;=20,'Rate Card'!$AH$22,IF(180&lt;=35,'Rate Card'!$AH$22+(180-20)*'Rate Card'!$AI$22,'Rate Card'!$AK$22+(180-35)*'Rate Card'!$AJ$22)))))))*(1+'Rate Card'!$C$6),2)+ROUND(ROUND((IF(180&lt;=2,'Rate Card'!$AD$22,IF(180&lt;=5,'Rate Card'!$AE$22,IF(180&lt;=10,'Rate Card'!$AF$22,IF(180&lt;=15,'Rate Card'!$AG$22,IF(180&lt;=20,'Rate Card'!$AH$22,IF(180&lt;=35,'Rate Card'!$AH$22+(180-20)*'Rate Card'!$AI$22,'Rate Card'!$AK$22+(180-35)*'Rate Card'!$AJ$22)))))))*(1+'Rate Card'!$C$6),2)*(IF('Rate Card'!$G$6="YES",'Rate Card'!$E$6,0)+IF('Rate Card'!$K$6="YES",'Rate Card'!$I$6,0)),2)</f>
        <v/>
      </c>
      <c r="H184" s="23">
        <f>IF(180&lt;=2,'Rate Card'!$AD$23,IF(180&lt;=5,'Rate Card'!$AE$23,IF(180&lt;=10,'Rate Card'!$AF$23,IF(180&lt;=15,'Rate Card'!$AG$23,IF(180&lt;=20,'Rate Card'!$AH$23,IF(180&lt;=35,'Rate Card'!$AH$23+(180-20)*'Rate Card'!$AI$23,'Rate Card'!$AK$23+(180-35)*'Rate Card'!$AJ$23))))))</f>
        <v/>
      </c>
      <c r="I184" s="23">
        <f>ROUND((IF(180&lt;=2,'Rate Card'!$AD$23,IF(180&lt;=5,'Rate Card'!$AE$23,IF(180&lt;=10,'Rate Card'!$AF$23,IF(180&lt;=15,'Rate Card'!$AG$23,IF(180&lt;=20,'Rate Card'!$AH$23,IF(180&lt;=35,'Rate Card'!$AH$23+(180-20)*'Rate Card'!$AI$23,'Rate Card'!$AK$23+(180-35)*'Rate Card'!$AJ$23)))))))*(1+'Rate Card'!$C$6),2)+ROUND(ROUND((IF(180&lt;=2,'Rate Card'!$AD$23,IF(180&lt;=5,'Rate Card'!$AE$23,IF(180&lt;=10,'Rate Card'!$AF$23,IF(180&lt;=15,'Rate Card'!$AG$23,IF(180&lt;=20,'Rate Card'!$AH$23,IF(180&lt;=35,'Rate Card'!$AH$23+(180-20)*'Rate Card'!$AI$23,'Rate Card'!$AK$23+(180-35)*'Rate Card'!$AJ$23)))))))*(1+'Rate Card'!$C$6),2)*(IF('Rate Card'!$G$6="YES",'Rate Card'!$E$6,0)+IF('Rate Card'!$K$6="YES",'Rate Card'!$I$6,0)),2)</f>
        <v/>
      </c>
      <c r="J184" s="10">
        <f>""</f>
        <v/>
      </c>
      <c r="K184" s="10">
        <f>""</f>
        <v/>
      </c>
      <c r="L184" s="10">
        <f>""</f>
        <v/>
      </c>
      <c r="M184" s="10">
        <f>""</f>
        <v/>
      </c>
      <c r="N184" s="23">
        <f>IF(180&lt;=2,'Rate Card'!$AD$119,IF(180&lt;=5,'Rate Card'!$AE$119,IF(180&lt;=10,'Rate Card'!$AF$119,IF(180&lt;=15,'Rate Card'!$AG$119,IF(180&lt;=20,'Rate Card'!$AH$119,IF(180&lt;=35,'Rate Card'!$AH$119+(180-20)*'Rate Card'!$AI$119,'Rate Card'!$AK$119+(180-35)*'Rate Card'!$AJ$119))))))</f>
        <v/>
      </c>
      <c r="O184" s="23">
        <f>ROUND((IF(180&lt;=2,'Rate Card'!$AD$119,IF(180&lt;=5,'Rate Card'!$AE$119,IF(180&lt;=10,'Rate Card'!$AF$119,IF(180&lt;=15,'Rate Card'!$AG$119,IF(180&lt;=20,'Rate Card'!$AH$119,IF(180&lt;=35,'Rate Card'!$AH$119+(180-20)*'Rate Card'!$AI$119,'Rate Card'!$AK$119+(180-35)*'Rate Card'!$AJ$119)))))))*(1+'Rate Card'!$C$6),2)+ROUND(ROUND((IF(180&lt;=2,'Rate Card'!$AD$119,IF(180&lt;=5,'Rate Card'!$AE$119,IF(180&lt;=10,'Rate Card'!$AF$119,IF(180&lt;=15,'Rate Card'!$AG$119,IF(180&lt;=20,'Rate Card'!$AH$119,IF(180&lt;=35,'Rate Card'!$AH$119+(180-20)*'Rate Card'!$AI$119,'Rate Card'!$AK$119+(180-35)*'Rate Card'!$AJ$119)))))))*(1+'Rate Card'!$C$6),2)*(IF('Rate Card'!$G$6="YES",'Rate Card'!$E$6,0)+IF('Rate Card'!$K$6="YES",'Rate Card'!$I$6,0)),2)</f>
        <v/>
      </c>
      <c r="P184" s="23">
        <f>IF(180&lt;=2,'Rate Card'!$AD$120,IF(180&lt;=5,'Rate Card'!$AE$120,IF(180&lt;=10,'Rate Card'!$AF$120,IF(180&lt;=15,'Rate Card'!$AG$120,IF(180&lt;=20,'Rate Card'!$AH$120,IF(180&lt;=35,'Rate Card'!$AH$120+(180-20)*'Rate Card'!$AI$120,'Rate Card'!$AK$120+(180-35)*'Rate Card'!$AJ$120))))))</f>
        <v/>
      </c>
      <c r="Q184" s="12">
        <f>ROUND((IF(180&lt;=2,'Rate Card'!$AD$120,IF(180&lt;=5,'Rate Card'!$AE$120,IF(180&lt;=10,'Rate Card'!$AF$120,IF(180&lt;=15,'Rate Card'!$AG$120,IF(180&lt;=20,'Rate Card'!$AH$120,IF(180&lt;=35,'Rate Card'!$AH$120+(180-20)*'Rate Card'!$AI$120,'Rate Card'!$AK$120+(180-35)*'Rate Card'!$AJ$120)))))))*(1+'Rate Card'!$C$6),2)+ROUND(ROUND((IF(180&lt;=2,'Rate Card'!$AD$120,IF(180&lt;=5,'Rate Card'!$AE$120,IF(180&lt;=10,'Rate Card'!$AF$120,IF(180&lt;=15,'Rate Card'!$AG$120,IF(180&lt;=20,'Rate Card'!$AH$120,IF(180&lt;=35,'Rate Card'!$AH$120+(180-20)*'Rate Card'!$AI$120,'Rate Card'!$AK$120+(180-35)*'Rate Card'!$AJ$120)))))))*(1+'Rate Card'!$C$6),2)*(IF('Rate Card'!$G$6="YES",'Rate Card'!$E$6,0)+IF('Rate Card'!$K$6="YES",'Rate Card'!$I$6,0)),2)</f>
        <v/>
      </c>
    </row>
    <row r="185">
      <c r="A185" s="75" t="n">
        <v>181</v>
      </c>
      <c r="B185" s="10">
        <f>""</f>
        <v/>
      </c>
      <c r="C185" s="10">
        <f>""</f>
        <v/>
      </c>
      <c r="D185" s="10">
        <f>""</f>
        <v/>
      </c>
      <c r="E185" s="10">
        <f>""</f>
        <v/>
      </c>
      <c r="F185" s="23">
        <f>IF(181&lt;=2,'Rate Card'!$AD$22,IF(181&lt;=5,'Rate Card'!$AE$22,IF(181&lt;=10,'Rate Card'!$AF$22,IF(181&lt;=15,'Rate Card'!$AG$22,IF(181&lt;=20,'Rate Card'!$AH$22,IF(181&lt;=35,'Rate Card'!$AH$22+(181-20)*'Rate Card'!$AI$22,'Rate Card'!$AK$22+(181-35)*'Rate Card'!$AJ$22))))))</f>
        <v/>
      </c>
      <c r="G185" s="23">
        <f>ROUND((IF(181&lt;=2,'Rate Card'!$AD$22,IF(181&lt;=5,'Rate Card'!$AE$22,IF(181&lt;=10,'Rate Card'!$AF$22,IF(181&lt;=15,'Rate Card'!$AG$22,IF(181&lt;=20,'Rate Card'!$AH$22,IF(181&lt;=35,'Rate Card'!$AH$22+(181-20)*'Rate Card'!$AI$22,'Rate Card'!$AK$22+(181-35)*'Rate Card'!$AJ$22)))))))*(1+'Rate Card'!$C$6),2)+ROUND(ROUND((IF(181&lt;=2,'Rate Card'!$AD$22,IF(181&lt;=5,'Rate Card'!$AE$22,IF(181&lt;=10,'Rate Card'!$AF$22,IF(181&lt;=15,'Rate Card'!$AG$22,IF(181&lt;=20,'Rate Card'!$AH$22,IF(181&lt;=35,'Rate Card'!$AH$22+(181-20)*'Rate Card'!$AI$22,'Rate Card'!$AK$22+(181-35)*'Rate Card'!$AJ$22)))))))*(1+'Rate Card'!$C$6),2)*(IF('Rate Card'!$G$6="YES",'Rate Card'!$E$6,0)+IF('Rate Card'!$K$6="YES",'Rate Card'!$I$6,0)),2)</f>
        <v/>
      </c>
      <c r="H185" s="23">
        <f>IF(181&lt;=2,'Rate Card'!$AD$23,IF(181&lt;=5,'Rate Card'!$AE$23,IF(181&lt;=10,'Rate Card'!$AF$23,IF(181&lt;=15,'Rate Card'!$AG$23,IF(181&lt;=20,'Rate Card'!$AH$23,IF(181&lt;=35,'Rate Card'!$AH$23+(181-20)*'Rate Card'!$AI$23,'Rate Card'!$AK$23+(181-35)*'Rate Card'!$AJ$23))))))</f>
        <v/>
      </c>
      <c r="I185" s="23">
        <f>ROUND((IF(181&lt;=2,'Rate Card'!$AD$23,IF(181&lt;=5,'Rate Card'!$AE$23,IF(181&lt;=10,'Rate Card'!$AF$23,IF(181&lt;=15,'Rate Card'!$AG$23,IF(181&lt;=20,'Rate Card'!$AH$23,IF(181&lt;=35,'Rate Card'!$AH$23+(181-20)*'Rate Card'!$AI$23,'Rate Card'!$AK$23+(181-35)*'Rate Card'!$AJ$23)))))))*(1+'Rate Card'!$C$6),2)+ROUND(ROUND((IF(181&lt;=2,'Rate Card'!$AD$23,IF(181&lt;=5,'Rate Card'!$AE$23,IF(181&lt;=10,'Rate Card'!$AF$23,IF(181&lt;=15,'Rate Card'!$AG$23,IF(181&lt;=20,'Rate Card'!$AH$23,IF(181&lt;=35,'Rate Card'!$AH$23+(181-20)*'Rate Card'!$AI$23,'Rate Card'!$AK$23+(181-35)*'Rate Card'!$AJ$23)))))))*(1+'Rate Card'!$C$6),2)*(IF('Rate Card'!$G$6="YES",'Rate Card'!$E$6,0)+IF('Rate Card'!$K$6="YES",'Rate Card'!$I$6,0)),2)</f>
        <v/>
      </c>
      <c r="J185" s="10">
        <f>""</f>
        <v/>
      </c>
      <c r="K185" s="10">
        <f>""</f>
        <v/>
      </c>
      <c r="L185" s="10">
        <f>""</f>
        <v/>
      </c>
      <c r="M185" s="10">
        <f>""</f>
        <v/>
      </c>
      <c r="N185" s="23">
        <f>IF(181&lt;=2,'Rate Card'!$AD$119,IF(181&lt;=5,'Rate Card'!$AE$119,IF(181&lt;=10,'Rate Card'!$AF$119,IF(181&lt;=15,'Rate Card'!$AG$119,IF(181&lt;=20,'Rate Card'!$AH$119,IF(181&lt;=35,'Rate Card'!$AH$119+(181-20)*'Rate Card'!$AI$119,'Rate Card'!$AK$119+(181-35)*'Rate Card'!$AJ$119))))))</f>
        <v/>
      </c>
      <c r="O185" s="23">
        <f>ROUND((IF(181&lt;=2,'Rate Card'!$AD$119,IF(181&lt;=5,'Rate Card'!$AE$119,IF(181&lt;=10,'Rate Card'!$AF$119,IF(181&lt;=15,'Rate Card'!$AG$119,IF(181&lt;=20,'Rate Card'!$AH$119,IF(181&lt;=35,'Rate Card'!$AH$119+(181-20)*'Rate Card'!$AI$119,'Rate Card'!$AK$119+(181-35)*'Rate Card'!$AJ$119)))))))*(1+'Rate Card'!$C$6),2)+ROUND(ROUND((IF(181&lt;=2,'Rate Card'!$AD$119,IF(181&lt;=5,'Rate Card'!$AE$119,IF(181&lt;=10,'Rate Card'!$AF$119,IF(181&lt;=15,'Rate Card'!$AG$119,IF(181&lt;=20,'Rate Card'!$AH$119,IF(181&lt;=35,'Rate Card'!$AH$119+(181-20)*'Rate Card'!$AI$119,'Rate Card'!$AK$119+(181-35)*'Rate Card'!$AJ$119)))))))*(1+'Rate Card'!$C$6),2)*(IF('Rate Card'!$G$6="YES",'Rate Card'!$E$6,0)+IF('Rate Card'!$K$6="YES",'Rate Card'!$I$6,0)),2)</f>
        <v/>
      </c>
      <c r="P185" s="23">
        <f>IF(181&lt;=2,'Rate Card'!$AD$120,IF(181&lt;=5,'Rate Card'!$AE$120,IF(181&lt;=10,'Rate Card'!$AF$120,IF(181&lt;=15,'Rate Card'!$AG$120,IF(181&lt;=20,'Rate Card'!$AH$120,IF(181&lt;=35,'Rate Card'!$AH$120+(181-20)*'Rate Card'!$AI$120,'Rate Card'!$AK$120+(181-35)*'Rate Card'!$AJ$120))))))</f>
        <v/>
      </c>
      <c r="Q185" s="12">
        <f>ROUND((IF(181&lt;=2,'Rate Card'!$AD$120,IF(181&lt;=5,'Rate Card'!$AE$120,IF(181&lt;=10,'Rate Card'!$AF$120,IF(181&lt;=15,'Rate Card'!$AG$120,IF(181&lt;=20,'Rate Card'!$AH$120,IF(181&lt;=35,'Rate Card'!$AH$120+(181-20)*'Rate Card'!$AI$120,'Rate Card'!$AK$120+(181-35)*'Rate Card'!$AJ$120)))))))*(1+'Rate Card'!$C$6),2)+ROUND(ROUND((IF(181&lt;=2,'Rate Card'!$AD$120,IF(181&lt;=5,'Rate Card'!$AE$120,IF(181&lt;=10,'Rate Card'!$AF$120,IF(181&lt;=15,'Rate Card'!$AG$120,IF(181&lt;=20,'Rate Card'!$AH$120,IF(181&lt;=35,'Rate Card'!$AH$120+(181-20)*'Rate Card'!$AI$120,'Rate Card'!$AK$120+(181-35)*'Rate Card'!$AJ$120)))))))*(1+'Rate Card'!$C$6),2)*(IF('Rate Card'!$G$6="YES",'Rate Card'!$E$6,0)+IF('Rate Card'!$K$6="YES",'Rate Card'!$I$6,0)),2)</f>
        <v/>
      </c>
    </row>
    <row r="186">
      <c r="A186" s="75" t="n">
        <v>182</v>
      </c>
      <c r="B186" s="10">
        <f>""</f>
        <v/>
      </c>
      <c r="C186" s="10">
        <f>""</f>
        <v/>
      </c>
      <c r="D186" s="10">
        <f>""</f>
        <v/>
      </c>
      <c r="E186" s="10">
        <f>""</f>
        <v/>
      </c>
      <c r="F186" s="23">
        <f>IF(182&lt;=2,'Rate Card'!$AD$22,IF(182&lt;=5,'Rate Card'!$AE$22,IF(182&lt;=10,'Rate Card'!$AF$22,IF(182&lt;=15,'Rate Card'!$AG$22,IF(182&lt;=20,'Rate Card'!$AH$22,IF(182&lt;=35,'Rate Card'!$AH$22+(182-20)*'Rate Card'!$AI$22,'Rate Card'!$AK$22+(182-35)*'Rate Card'!$AJ$22))))))</f>
        <v/>
      </c>
      <c r="G186" s="23">
        <f>ROUND((IF(182&lt;=2,'Rate Card'!$AD$22,IF(182&lt;=5,'Rate Card'!$AE$22,IF(182&lt;=10,'Rate Card'!$AF$22,IF(182&lt;=15,'Rate Card'!$AG$22,IF(182&lt;=20,'Rate Card'!$AH$22,IF(182&lt;=35,'Rate Card'!$AH$22+(182-20)*'Rate Card'!$AI$22,'Rate Card'!$AK$22+(182-35)*'Rate Card'!$AJ$22)))))))*(1+'Rate Card'!$C$6),2)+ROUND(ROUND((IF(182&lt;=2,'Rate Card'!$AD$22,IF(182&lt;=5,'Rate Card'!$AE$22,IF(182&lt;=10,'Rate Card'!$AF$22,IF(182&lt;=15,'Rate Card'!$AG$22,IF(182&lt;=20,'Rate Card'!$AH$22,IF(182&lt;=35,'Rate Card'!$AH$22+(182-20)*'Rate Card'!$AI$22,'Rate Card'!$AK$22+(182-35)*'Rate Card'!$AJ$22)))))))*(1+'Rate Card'!$C$6),2)*(IF('Rate Card'!$G$6="YES",'Rate Card'!$E$6,0)+IF('Rate Card'!$K$6="YES",'Rate Card'!$I$6,0)),2)</f>
        <v/>
      </c>
      <c r="H186" s="23">
        <f>IF(182&lt;=2,'Rate Card'!$AD$23,IF(182&lt;=5,'Rate Card'!$AE$23,IF(182&lt;=10,'Rate Card'!$AF$23,IF(182&lt;=15,'Rate Card'!$AG$23,IF(182&lt;=20,'Rate Card'!$AH$23,IF(182&lt;=35,'Rate Card'!$AH$23+(182-20)*'Rate Card'!$AI$23,'Rate Card'!$AK$23+(182-35)*'Rate Card'!$AJ$23))))))</f>
        <v/>
      </c>
      <c r="I186" s="23">
        <f>ROUND((IF(182&lt;=2,'Rate Card'!$AD$23,IF(182&lt;=5,'Rate Card'!$AE$23,IF(182&lt;=10,'Rate Card'!$AF$23,IF(182&lt;=15,'Rate Card'!$AG$23,IF(182&lt;=20,'Rate Card'!$AH$23,IF(182&lt;=35,'Rate Card'!$AH$23+(182-20)*'Rate Card'!$AI$23,'Rate Card'!$AK$23+(182-35)*'Rate Card'!$AJ$23)))))))*(1+'Rate Card'!$C$6),2)+ROUND(ROUND((IF(182&lt;=2,'Rate Card'!$AD$23,IF(182&lt;=5,'Rate Card'!$AE$23,IF(182&lt;=10,'Rate Card'!$AF$23,IF(182&lt;=15,'Rate Card'!$AG$23,IF(182&lt;=20,'Rate Card'!$AH$23,IF(182&lt;=35,'Rate Card'!$AH$23+(182-20)*'Rate Card'!$AI$23,'Rate Card'!$AK$23+(182-35)*'Rate Card'!$AJ$23)))))))*(1+'Rate Card'!$C$6),2)*(IF('Rate Card'!$G$6="YES",'Rate Card'!$E$6,0)+IF('Rate Card'!$K$6="YES",'Rate Card'!$I$6,0)),2)</f>
        <v/>
      </c>
      <c r="J186" s="10">
        <f>""</f>
        <v/>
      </c>
      <c r="K186" s="10">
        <f>""</f>
        <v/>
      </c>
      <c r="L186" s="10">
        <f>""</f>
        <v/>
      </c>
      <c r="M186" s="10">
        <f>""</f>
        <v/>
      </c>
      <c r="N186" s="23">
        <f>IF(182&lt;=2,'Rate Card'!$AD$119,IF(182&lt;=5,'Rate Card'!$AE$119,IF(182&lt;=10,'Rate Card'!$AF$119,IF(182&lt;=15,'Rate Card'!$AG$119,IF(182&lt;=20,'Rate Card'!$AH$119,IF(182&lt;=35,'Rate Card'!$AH$119+(182-20)*'Rate Card'!$AI$119,'Rate Card'!$AK$119+(182-35)*'Rate Card'!$AJ$119))))))</f>
        <v/>
      </c>
      <c r="O186" s="23">
        <f>ROUND((IF(182&lt;=2,'Rate Card'!$AD$119,IF(182&lt;=5,'Rate Card'!$AE$119,IF(182&lt;=10,'Rate Card'!$AF$119,IF(182&lt;=15,'Rate Card'!$AG$119,IF(182&lt;=20,'Rate Card'!$AH$119,IF(182&lt;=35,'Rate Card'!$AH$119+(182-20)*'Rate Card'!$AI$119,'Rate Card'!$AK$119+(182-35)*'Rate Card'!$AJ$119)))))))*(1+'Rate Card'!$C$6),2)+ROUND(ROUND((IF(182&lt;=2,'Rate Card'!$AD$119,IF(182&lt;=5,'Rate Card'!$AE$119,IF(182&lt;=10,'Rate Card'!$AF$119,IF(182&lt;=15,'Rate Card'!$AG$119,IF(182&lt;=20,'Rate Card'!$AH$119,IF(182&lt;=35,'Rate Card'!$AH$119+(182-20)*'Rate Card'!$AI$119,'Rate Card'!$AK$119+(182-35)*'Rate Card'!$AJ$119)))))))*(1+'Rate Card'!$C$6),2)*(IF('Rate Card'!$G$6="YES",'Rate Card'!$E$6,0)+IF('Rate Card'!$K$6="YES",'Rate Card'!$I$6,0)),2)</f>
        <v/>
      </c>
      <c r="P186" s="23">
        <f>IF(182&lt;=2,'Rate Card'!$AD$120,IF(182&lt;=5,'Rate Card'!$AE$120,IF(182&lt;=10,'Rate Card'!$AF$120,IF(182&lt;=15,'Rate Card'!$AG$120,IF(182&lt;=20,'Rate Card'!$AH$120,IF(182&lt;=35,'Rate Card'!$AH$120+(182-20)*'Rate Card'!$AI$120,'Rate Card'!$AK$120+(182-35)*'Rate Card'!$AJ$120))))))</f>
        <v/>
      </c>
      <c r="Q186" s="12">
        <f>ROUND((IF(182&lt;=2,'Rate Card'!$AD$120,IF(182&lt;=5,'Rate Card'!$AE$120,IF(182&lt;=10,'Rate Card'!$AF$120,IF(182&lt;=15,'Rate Card'!$AG$120,IF(182&lt;=20,'Rate Card'!$AH$120,IF(182&lt;=35,'Rate Card'!$AH$120+(182-20)*'Rate Card'!$AI$120,'Rate Card'!$AK$120+(182-35)*'Rate Card'!$AJ$120)))))))*(1+'Rate Card'!$C$6),2)+ROUND(ROUND((IF(182&lt;=2,'Rate Card'!$AD$120,IF(182&lt;=5,'Rate Card'!$AE$120,IF(182&lt;=10,'Rate Card'!$AF$120,IF(182&lt;=15,'Rate Card'!$AG$120,IF(182&lt;=20,'Rate Card'!$AH$120,IF(182&lt;=35,'Rate Card'!$AH$120+(182-20)*'Rate Card'!$AI$120,'Rate Card'!$AK$120+(182-35)*'Rate Card'!$AJ$120)))))))*(1+'Rate Card'!$C$6),2)*(IF('Rate Card'!$G$6="YES",'Rate Card'!$E$6,0)+IF('Rate Card'!$K$6="YES",'Rate Card'!$I$6,0)),2)</f>
        <v/>
      </c>
    </row>
    <row r="187">
      <c r="A187" s="75" t="n">
        <v>183</v>
      </c>
      <c r="B187" s="10">
        <f>""</f>
        <v/>
      </c>
      <c r="C187" s="10">
        <f>""</f>
        <v/>
      </c>
      <c r="D187" s="10">
        <f>""</f>
        <v/>
      </c>
      <c r="E187" s="10">
        <f>""</f>
        <v/>
      </c>
      <c r="F187" s="23">
        <f>IF(183&lt;=2,'Rate Card'!$AD$22,IF(183&lt;=5,'Rate Card'!$AE$22,IF(183&lt;=10,'Rate Card'!$AF$22,IF(183&lt;=15,'Rate Card'!$AG$22,IF(183&lt;=20,'Rate Card'!$AH$22,IF(183&lt;=35,'Rate Card'!$AH$22+(183-20)*'Rate Card'!$AI$22,'Rate Card'!$AK$22+(183-35)*'Rate Card'!$AJ$22))))))</f>
        <v/>
      </c>
      <c r="G187" s="23">
        <f>ROUND((IF(183&lt;=2,'Rate Card'!$AD$22,IF(183&lt;=5,'Rate Card'!$AE$22,IF(183&lt;=10,'Rate Card'!$AF$22,IF(183&lt;=15,'Rate Card'!$AG$22,IF(183&lt;=20,'Rate Card'!$AH$22,IF(183&lt;=35,'Rate Card'!$AH$22+(183-20)*'Rate Card'!$AI$22,'Rate Card'!$AK$22+(183-35)*'Rate Card'!$AJ$22)))))))*(1+'Rate Card'!$C$6),2)+ROUND(ROUND((IF(183&lt;=2,'Rate Card'!$AD$22,IF(183&lt;=5,'Rate Card'!$AE$22,IF(183&lt;=10,'Rate Card'!$AF$22,IF(183&lt;=15,'Rate Card'!$AG$22,IF(183&lt;=20,'Rate Card'!$AH$22,IF(183&lt;=35,'Rate Card'!$AH$22+(183-20)*'Rate Card'!$AI$22,'Rate Card'!$AK$22+(183-35)*'Rate Card'!$AJ$22)))))))*(1+'Rate Card'!$C$6),2)*(IF('Rate Card'!$G$6="YES",'Rate Card'!$E$6,0)+IF('Rate Card'!$K$6="YES",'Rate Card'!$I$6,0)),2)</f>
        <v/>
      </c>
      <c r="H187" s="23">
        <f>IF(183&lt;=2,'Rate Card'!$AD$23,IF(183&lt;=5,'Rate Card'!$AE$23,IF(183&lt;=10,'Rate Card'!$AF$23,IF(183&lt;=15,'Rate Card'!$AG$23,IF(183&lt;=20,'Rate Card'!$AH$23,IF(183&lt;=35,'Rate Card'!$AH$23+(183-20)*'Rate Card'!$AI$23,'Rate Card'!$AK$23+(183-35)*'Rate Card'!$AJ$23))))))</f>
        <v/>
      </c>
      <c r="I187" s="23">
        <f>ROUND((IF(183&lt;=2,'Rate Card'!$AD$23,IF(183&lt;=5,'Rate Card'!$AE$23,IF(183&lt;=10,'Rate Card'!$AF$23,IF(183&lt;=15,'Rate Card'!$AG$23,IF(183&lt;=20,'Rate Card'!$AH$23,IF(183&lt;=35,'Rate Card'!$AH$23+(183-20)*'Rate Card'!$AI$23,'Rate Card'!$AK$23+(183-35)*'Rate Card'!$AJ$23)))))))*(1+'Rate Card'!$C$6),2)+ROUND(ROUND((IF(183&lt;=2,'Rate Card'!$AD$23,IF(183&lt;=5,'Rate Card'!$AE$23,IF(183&lt;=10,'Rate Card'!$AF$23,IF(183&lt;=15,'Rate Card'!$AG$23,IF(183&lt;=20,'Rate Card'!$AH$23,IF(183&lt;=35,'Rate Card'!$AH$23+(183-20)*'Rate Card'!$AI$23,'Rate Card'!$AK$23+(183-35)*'Rate Card'!$AJ$23)))))))*(1+'Rate Card'!$C$6),2)*(IF('Rate Card'!$G$6="YES",'Rate Card'!$E$6,0)+IF('Rate Card'!$K$6="YES",'Rate Card'!$I$6,0)),2)</f>
        <v/>
      </c>
      <c r="J187" s="10">
        <f>""</f>
        <v/>
      </c>
      <c r="K187" s="10">
        <f>""</f>
        <v/>
      </c>
      <c r="L187" s="10">
        <f>""</f>
        <v/>
      </c>
      <c r="M187" s="10">
        <f>""</f>
        <v/>
      </c>
      <c r="N187" s="23">
        <f>IF(183&lt;=2,'Rate Card'!$AD$119,IF(183&lt;=5,'Rate Card'!$AE$119,IF(183&lt;=10,'Rate Card'!$AF$119,IF(183&lt;=15,'Rate Card'!$AG$119,IF(183&lt;=20,'Rate Card'!$AH$119,IF(183&lt;=35,'Rate Card'!$AH$119+(183-20)*'Rate Card'!$AI$119,'Rate Card'!$AK$119+(183-35)*'Rate Card'!$AJ$119))))))</f>
        <v/>
      </c>
      <c r="O187" s="23">
        <f>ROUND((IF(183&lt;=2,'Rate Card'!$AD$119,IF(183&lt;=5,'Rate Card'!$AE$119,IF(183&lt;=10,'Rate Card'!$AF$119,IF(183&lt;=15,'Rate Card'!$AG$119,IF(183&lt;=20,'Rate Card'!$AH$119,IF(183&lt;=35,'Rate Card'!$AH$119+(183-20)*'Rate Card'!$AI$119,'Rate Card'!$AK$119+(183-35)*'Rate Card'!$AJ$119)))))))*(1+'Rate Card'!$C$6),2)+ROUND(ROUND((IF(183&lt;=2,'Rate Card'!$AD$119,IF(183&lt;=5,'Rate Card'!$AE$119,IF(183&lt;=10,'Rate Card'!$AF$119,IF(183&lt;=15,'Rate Card'!$AG$119,IF(183&lt;=20,'Rate Card'!$AH$119,IF(183&lt;=35,'Rate Card'!$AH$119+(183-20)*'Rate Card'!$AI$119,'Rate Card'!$AK$119+(183-35)*'Rate Card'!$AJ$119)))))))*(1+'Rate Card'!$C$6),2)*(IF('Rate Card'!$G$6="YES",'Rate Card'!$E$6,0)+IF('Rate Card'!$K$6="YES",'Rate Card'!$I$6,0)),2)</f>
        <v/>
      </c>
      <c r="P187" s="23">
        <f>IF(183&lt;=2,'Rate Card'!$AD$120,IF(183&lt;=5,'Rate Card'!$AE$120,IF(183&lt;=10,'Rate Card'!$AF$120,IF(183&lt;=15,'Rate Card'!$AG$120,IF(183&lt;=20,'Rate Card'!$AH$120,IF(183&lt;=35,'Rate Card'!$AH$120+(183-20)*'Rate Card'!$AI$120,'Rate Card'!$AK$120+(183-35)*'Rate Card'!$AJ$120))))))</f>
        <v/>
      </c>
      <c r="Q187" s="12">
        <f>ROUND((IF(183&lt;=2,'Rate Card'!$AD$120,IF(183&lt;=5,'Rate Card'!$AE$120,IF(183&lt;=10,'Rate Card'!$AF$120,IF(183&lt;=15,'Rate Card'!$AG$120,IF(183&lt;=20,'Rate Card'!$AH$120,IF(183&lt;=35,'Rate Card'!$AH$120+(183-20)*'Rate Card'!$AI$120,'Rate Card'!$AK$120+(183-35)*'Rate Card'!$AJ$120)))))))*(1+'Rate Card'!$C$6),2)+ROUND(ROUND((IF(183&lt;=2,'Rate Card'!$AD$120,IF(183&lt;=5,'Rate Card'!$AE$120,IF(183&lt;=10,'Rate Card'!$AF$120,IF(183&lt;=15,'Rate Card'!$AG$120,IF(183&lt;=20,'Rate Card'!$AH$120,IF(183&lt;=35,'Rate Card'!$AH$120+(183-20)*'Rate Card'!$AI$120,'Rate Card'!$AK$120+(183-35)*'Rate Card'!$AJ$120)))))))*(1+'Rate Card'!$C$6),2)*(IF('Rate Card'!$G$6="YES",'Rate Card'!$E$6,0)+IF('Rate Card'!$K$6="YES",'Rate Card'!$I$6,0)),2)</f>
        <v/>
      </c>
    </row>
    <row r="188">
      <c r="A188" s="75" t="n">
        <v>184</v>
      </c>
      <c r="B188" s="10">
        <f>""</f>
        <v/>
      </c>
      <c r="C188" s="10">
        <f>""</f>
        <v/>
      </c>
      <c r="D188" s="10">
        <f>""</f>
        <v/>
      </c>
      <c r="E188" s="10">
        <f>""</f>
        <v/>
      </c>
      <c r="F188" s="23">
        <f>IF(184&lt;=2,'Rate Card'!$AD$22,IF(184&lt;=5,'Rate Card'!$AE$22,IF(184&lt;=10,'Rate Card'!$AF$22,IF(184&lt;=15,'Rate Card'!$AG$22,IF(184&lt;=20,'Rate Card'!$AH$22,IF(184&lt;=35,'Rate Card'!$AH$22+(184-20)*'Rate Card'!$AI$22,'Rate Card'!$AK$22+(184-35)*'Rate Card'!$AJ$22))))))</f>
        <v/>
      </c>
      <c r="G188" s="23">
        <f>ROUND((IF(184&lt;=2,'Rate Card'!$AD$22,IF(184&lt;=5,'Rate Card'!$AE$22,IF(184&lt;=10,'Rate Card'!$AF$22,IF(184&lt;=15,'Rate Card'!$AG$22,IF(184&lt;=20,'Rate Card'!$AH$22,IF(184&lt;=35,'Rate Card'!$AH$22+(184-20)*'Rate Card'!$AI$22,'Rate Card'!$AK$22+(184-35)*'Rate Card'!$AJ$22)))))))*(1+'Rate Card'!$C$6),2)+ROUND(ROUND((IF(184&lt;=2,'Rate Card'!$AD$22,IF(184&lt;=5,'Rate Card'!$AE$22,IF(184&lt;=10,'Rate Card'!$AF$22,IF(184&lt;=15,'Rate Card'!$AG$22,IF(184&lt;=20,'Rate Card'!$AH$22,IF(184&lt;=35,'Rate Card'!$AH$22+(184-20)*'Rate Card'!$AI$22,'Rate Card'!$AK$22+(184-35)*'Rate Card'!$AJ$22)))))))*(1+'Rate Card'!$C$6),2)*(IF('Rate Card'!$G$6="YES",'Rate Card'!$E$6,0)+IF('Rate Card'!$K$6="YES",'Rate Card'!$I$6,0)),2)</f>
        <v/>
      </c>
      <c r="H188" s="23">
        <f>IF(184&lt;=2,'Rate Card'!$AD$23,IF(184&lt;=5,'Rate Card'!$AE$23,IF(184&lt;=10,'Rate Card'!$AF$23,IF(184&lt;=15,'Rate Card'!$AG$23,IF(184&lt;=20,'Rate Card'!$AH$23,IF(184&lt;=35,'Rate Card'!$AH$23+(184-20)*'Rate Card'!$AI$23,'Rate Card'!$AK$23+(184-35)*'Rate Card'!$AJ$23))))))</f>
        <v/>
      </c>
      <c r="I188" s="23">
        <f>ROUND((IF(184&lt;=2,'Rate Card'!$AD$23,IF(184&lt;=5,'Rate Card'!$AE$23,IF(184&lt;=10,'Rate Card'!$AF$23,IF(184&lt;=15,'Rate Card'!$AG$23,IF(184&lt;=20,'Rate Card'!$AH$23,IF(184&lt;=35,'Rate Card'!$AH$23+(184-20)*'Rate Card'!$AI$23,'Rate Card'!$AK$23+(184-35)*'Rate Card'!$AJ$23)))))))*(1+'Rate Card'!$C$6),2)+ROUND(ROUND((IF(184&lt;=2,'Rate Card'!$AD$23,IF(184&lt;=5,'Rate Card'!$AE$23,IF(184&lt;=10,'Rate Card'!$AF$23,IF(184&lt;=15,'Rate Card'!$AG$23,IF(184&lt;=20,'Rate Card'!$AH$23,IF(184&lt;=35,'Rate Card'!$AH$23+(184-20)*'Rate Card'!$AI$23,'Rate Card'!$AK$23+(184-35)*'Rate Card'!$AJ$23)))))))*(1+'Rate Card'!$C$6),2)*(IF('Rate Card'!$G$6="YES",'Rate Card'!$E$6,0)+IF('Rate Card'!$K$6="YES",'Rate Card'!$I$6,0)),2)</f>
        <v/>
      </c>
      <c r="J188" s="10">
        <f>""</f>
        <v/>
      </c>
      <c r="K188" s="10">
        <f>""</f>
        <v/>
      </c>
      <c r="L188" s="10">
        <f>""</f>
        <v/>
      </c>
      <c r="M188" s="10">
        <f>""</f>
        <v/>
      </c>
      <c r="N188" s="23">
        <f>IF(184&lt;=2,'Rate Card'!$AD$119,IF(184&lt;=5,'Rate Card'!$AE$119,IF(184&lt;=10,'Rate Card'!$AF$119,IF(184&lt;=15,'Rate Card'!$AG$119,IF(184&lt;=20,'Rate Card'!$AH$119,IF(184&lt;=35,'Rate Card'!$AH$119+(184-20)*'Rate Card'!$AI$119,'Rate Card'!$AK$119+(184-35)*'Rate Card'!$AJ$119))))))</f>
        <v/>
      </c>
      <c r="O188" s="23">
        <f>ROUND((IF(184&lt;=2,'Rate Card'!$AD$119,IF(184&lt;=5,'Rate Card'!$AE$119,IF(184&lt;=10,'Rate Card'!$AF$119,IF(184&lt;=15,'Rate Card'!$AG$119,IF(184&lt;=20,'Rate Card'!$AH$119,IF(184&lt;=35,'Rate Card'!$AH$119+(184-20)*'Rate Card'!$AI$119,'Rate Card'!$AK$119+(184-35)*'Rate Card'!$AJ$119)))))))*(1+'Rate Card'!$C$6),2)+ROUND(ROUND((IF(184&lt;=2,'Rate Card'!$AD$119,IF(184&lt;=5,'Rate Card'!$AE$119,IF(184&lt;=10,'Rate Card'!$AF$119,IF(184&lt;=15,'Rate Card'!$AG$119,IF(184&lt;=20,'Rate Card'!$AH$119,IF(184&lt;=35,'Rate Card'!$AH$119+(184-20)*'Rate Card'!$AI$119,'Rate Card'!$AK$119+(184-35)*'Rate Card'!$AJ$119)))))))*(1+'Rate Card'!$C$6),2)*(IF('Rate Card'!$G$6="YES",'Rate Card'!$E$6,0)+IF('Rate Card'!$K$6="YES",'Rate Card'!$I$6,0)),2)</f>
        <v/>
      </c>
      <c r="P188" s="23">
        <f>IF(184&lt;=2,'Rate Card'!$AD$120,IF(184&lt;=5,'Rate Card'!$AE$120,IF(184&lt;=10,'Rate Card'!$AF$120,IF(184&lt;=15,'Rate Card'!$AG$120,IF(184&lt;=20,'Rate Card'!$AH$120,IF(184&lt;=35,'Rate Card'!$AH$120+(184-20)*'Rate Card'!$AI$120,'Rate Card'!$AK$120+(184-35)*'Rate Card'!$AJ$120))))))</f>
        <v/>
      </c>
      <c r="Q188" s="12">
        <f>ROUND((IF(184&lt;=2,'Rate Card'!$AD$120,IF(184&lt;=5,'Rate Card'!$AE$120,IF(184&lt;=10,'Rate Card'!$AF$120,IF(184&lt;=15,'Rate Card'!$AG$120,IF(184&lt;=20,'Rate Card'!$AH$120,IF(184&lt;=35,'Rate Card'!$AH$120+(184-20)*'Rate Card'!$AI$120,'Rate Card'!$AK$120+(184-35)*'Rate Card'!$AJ$120)))))))*(1+'Rate Card'!$C$6),2)+ROUND(ROUND((IF(184&lt;=2,'Rate Card'!$AD$120,IF(184&lt;=5,'Rate Card'!$AE$120,IF(184&lt;=10,'Rate Card'!$AF$120,IF(184&lt;=15,'Rate Card'!$AG$120,IF(184&lt;=20,'Rate Card'!$AH$120,IF(184&lt;=35,'Rate Card'!$AH$120+(184-20)*'Rate Card'!$AI$120,'Rate Card'!$AK$120+(184-35)*'Rate Card'!$AJ$120)))))))*(1+'Rate Card'!$C$6),2)*(IF('Rate Card'!$G$6="YES",'Rate Card'!$E$6,0)+IF('Rate Card'!$K$6="YES",'Rate Card'!$I$6,0)),2)</f>
        <v/>
      </c>
    </row>
    <row r="189">
      <c r="A189" s="75" t="n">
        <v>185</v>
      </c>
      <c r="B189" s="10">
        <f>""</f>
        <v/>
      </c>
      <c r="C189" s="10">
        <f>""</f>
        <v/>
      </c>
      <c r="D189" s="10">
        <f>""</f>
        <v/>
      </c>
      <c r="E189" s="10">
        <f>""</f>
        <v/>
      </c>
      <c r="F189" s="23">
        <f>IF(185&lt;=2,'Rate Card'!$AD$22,IF(185&lt;=5,'Rate Card'!$AE$22,IF(185&lt;=10,'Rate Card'!$AF$22,IF(185&lt;=15,'Rate Card'!$AG$22,IF(185&lt;=20,'Rate Card'!$AH$22,IF(185&lt;=35,'Rate Card'!$AH$22+(185-20)*'Rate Card'!$AI$22,'Rate Card'!$AK$22+(185-35)*'Rate Card'!$AJ$22))))))</f>
        <v/>
      </c>
      <c r="G189" s="23">
        <f>ROUND((IF(185&lt;=2,'Rate Card'!$AD$22,IF(185&lt;=5,'Rate Card'!$AE$22,IF(185&lt;=10,'Rate Card'!$AF$22,IF(185&lt;=15,'Rate Card'!$AG$22,IF(185&lt;=20,'Rate Card'!$AH$22,IF(185&lt;=35,'Rate Card'!$AH$22+(185-20)*'Rate Card'!$AI$22,'Rate Card'!$AK$22+(185-35)*'Rate Card'!$AJ$22)))))))*(1+'Rate Card'!$C$6),2)+ROUND(ROUND((IF(185&lt;=2,'Rate Card'!$AD$22,IF(185&lt;=5,'Rate Card'!$AE$22,IF(185&lt;=10,'Rate Card'!$AF$22,IF(185&lt;=15,'Rate Card'!$AG$22,IF(185&lt;=20,'Rate Card'!$AH$22,IF(185&lt;=35,'Rate Card'!$AH$22+(185-20)*'Rate Card'!$AI$22,'Rate Card'!$AK$22+(185-35)*'Rate Card'!$AJ$22)))))))*(1+'Rate Card'!$C$6),2)*(IF('Rate Card'!$G$6="YES",'Rate Card'!$E$6,0)+IF('Rate Card'!$K$6="YES",'Rate Card'!$I$6,0)),2)</f>
        <v/>
      </c>
      <c r="H189" s="23">
        <f>IF(185&lt;=2,'Rate Card'!$AD$23,IF(185&lt;=5,'Rate Card'!$AE$23,IF(185&lt;=10,'Rate Card'!$AF$23,IF(185&lt;=15,'Rate Card'!$AG$23,IF(185&lt;=20,'Rate Card'!$AH$23,IF(185&lt;=35,'Rate Card'!$AH$23+(185-20)*'Rate Card'!$AI$23,'Rate Card'!$AK$23+(185-35)*'Rate Card'!$AJ$23))))))</f>
        <v/>
      </c>
      <c r="I189" s="23">
        <f>ROUND((IF(185&lt;=2,'Rate Card'!$AD$23,IF(185&lt;=5,'Rate Card'!$AE$23,IF(185&lt;=10,'Rate Card'!$AF$23,IF(185&lt;=15,'Rate Card'!$AG$23,IF(185&lt;=20,'Rate Card'!$AH$23,IF(185&lt;=35,'Rate Card'!$AH$23+(185-20)*'Rate Card'!$AI$23,'Rate Card'!$AK$23+(185-35)*'Rate Card'!$AJ$23)))))))*(1+'Rate Card'!$C$6),2)+ROUND(ROUND((IF(185&lt;=2,'Rate Card'!$AD$23,IF(185&lt;=5,'Rate Card'!$AE$23,IF(185&lt;=10,'Rate Card'!$AF$23,IF(185&lt;=15,'Rate Card'!$AG$23,IF(185&lt;=20,'Rate Card'!$AH$23,IF(185&lt;=35,'Rate Card'!$AH$23+(185-20)*'Rate Card'!$AI$23,'Rate Card'!$AK$23+(185-35)*'Rate Card'!$AJ$23)))))))*(1+'Rate Card'!$C$6),2)*(IF('Rate Card'!$G$6="YES",'Rate Card'!$E$6,0)+IF('Rate Card'!$K$6="YES",'Rate Card'!$I$6,0)),2)</f>
        <v/>
      </c>
      <c r="J189" s="10">
        <f>""</f>
        <v/>
      </c>
      <c r="K189" s="10">
        <f>""</f>
        <v/>
      </c>
      <c r="L189" s="10">
        <f>""</f>
        <v/>
      </c>
      <c r="M189" s="10">
        <f>""</f>
        <v/>
      </c>
      <c r="N189" s="23">
        <f>IF(185&lt;=2,'Rate Card'!$AD$119,IF(185&lt;=5,'Rate Card'!$AE$119,IF(185&lt;=10,'Rate Card'!$AF$119,IF(185&lt;=15,'Rate Card'!$AG$119,IF(185&lt;=20,'Rate Card'!$AH$119,IF(185&lt;=35,'Rate Card'!$AH$119+(185-20)*'Rate Card'!$AI$119,'Rate Card'!$AK$119+(185-35)*'Rate Card'!$AJ$119))))))</f>
        <v/>
      </c>
      <c r="O189" s="23">
        <f>ROUND((IF(185&lt;=2,'Rate Card'!$AD$119,IF(185&lt;=5,'Rate Card'!$AE$119,IF(185&lt;=10,'Rate Card'!$AF$119,IF(185&lt;=15,'Rate Card'!$AG$119,IF(185&lt;=20,'Rate Card'!$AH$119,IF(185&lt;=35,'Rate Card'!$AH$119+(185-20)*'Rate Card'!$AI$119,'Rate Card'!$AK$119+(185-35)*'Rate Card'!$AJ$119)))))))*(1+'Rate Card'!$C$6),2)+ROUND(ROUND((IF(185&lt;=2,'Rate Card'!$AD$119,IF(185&lt;=5,'Rate Card'!$AE$119,IF(185&lt;=10,'Rate Card'!$AF$119,IF(185&lt;=15,'Rate Card'!$AG$119,IF(185&lt;=20,'Rate Card'!$AH$119,IF(185&lt;=35,'Rate Card'!$AH$119+(185-20)*'Rate Card'!$AI$119,'Rate Card'!$AK$119+(185-35)*'Rate Card'!$AJ$119)))))))*(1+'Rate Card'!$C$6),2)*(IF('Rate Card'!$G$6="YES",'Rate Card'!$E$6,0)+IF('Rate Card'!$K$6="YES",'Rate Card'!$I$6,0)),2)</f>
        <v/>
      </c>
      <c r="P189" s="23">
        <f>IF(185&lt;=2,'Rate Card'!$AD$120,IF(185&lt;=5,'Rate Card'!$AE$120,IF(185&lt;=10,'Rate Card'!$AF$120,IF(185&lt;=15,'Rate Card'!$AG$120,IF(185&lt;=20,'Rate Card'!$AH$120,IF(185&lt;=35,'Rate Card'!$AH$120+(185-20)*'Rate Card'!$AI$120,'Rate Card'!$AK$120+(185-35)*'Rate Card'!$AJ$120))))))</f>
        <v/>
      </c>
      <c r="Q189" s="12">
        <f>ROUND((IF(185&lt;=2,'Rate Card'!$AD$120,IF(185&lt;=5,'Rate Card'!$AE$120,IF(185&lt;=10,'Rate Card'!$AF$120,IF(185&lt;=15,'Rate Card'!$AG$120,IF(185&lt;=20,'Rate Card'!$AH$120,IF(185&lt;=35,'Rate Card'!$AH$120+(185-20)*'Rate Card'!$AI$120,'Rate Card'!$AK$120+(185-35)*'Rate Card'!$AJ$120)))))))*(1+'Rate Card'!$C$6),2)+ROUND(ROUND((IF(185&lt;=2,'Rate Card'!$AD$120,IF(185&lt;=5,'Rate Card'!$AE$120,IF(185&lt;=10,'Rate Card'!$AF$120,IF(185&lt;=15,'Rate Card'!$AG$120,IF(185&lt;=20,'Rate Card'!$AH$120,IF(185&lt;=35,'Rate Card'!$AH$120+(185-20)*'Rate Card'!$AI$120,'Rate Card'!$AK$120+(185-35)*'Rate Card'!$AJ$120)))))))*(1+'Rate Card'!$C$6),2)*(IF('Rate Card'!$G$6="YES",'Rate Card'!$E$6,0)+IF('Rate Card'!$K$6="YES",'Rate Card'!$I$6,0)),2)</f>
        <v/>
      </c>
    </row>
    <row r="190">
      <c r="A190" s="75" t="n">
        <v>186</v>
      </c>
      <c r="B190" s="10">
        <f>""</f>
        <v/>
      </c>
      <c r="C190" s="10">
        <f>""</f>
        <v/>
      </c>
      <c r="D190" s="10">
        <f>""</f>
        <v/>
      </c>
      <c r="E190" s="10">
        <f>""</f>
        <v/>
      </c>
      <c r="F190" s="23">
        <f>IF(186&lt;=2,'Rate Card'!$AD$22,IF(186&lt;=5,'Rate Card'!$AE$22,IF(186&lt;=10,'Rate Card'!$AF$22,IF(186&lt;=15,'Rate Card'!$AG$22,IF(186&lt;=20,'Rate Card'!$AH$22,IF(186&lt;=35,'Rate Card'!$AH$22+(186-20)*'Rate Card'!$AI$22,'Rate Card'!$AK$22+(186-35)*'Rate Card'!$AJ$22))))))</f>
        <v/>
      </c>
      <c r="G190" s="23">
        <f>ROUND((IF(186&lt;=2,'Rate Card'!$AD$22,IF(186&lt;=5,'Rate Card'!$AE$22,IF(186&lt;=10,'Rate Card'!$AF$22,IF(186&lt;=15,'Rate Card'!$AG$22,IF(186&lt;=20,'Rate Card'!$AH$22,IF(186&lt;=35,'Rate Card'!$AH$22+(186-20)*'Rate Card'!$AI$22,'Rate Card'!$AK$22+(186-35)*'Rate Card'!$AJ$22)))))))*(1+'Rate Card'!$C$6),2)+ROUND(ROUND((IF(186&lt;=2,'Rate Card'!$AD$22,IF(186&lt;=5,'Rate Card'!$AE$22,IF(186&lt;=10,'Rate Card'!$AF$22,IF(186&lt;=15,'Rate Card'!$AG$22,IF(186&lt;=20,'Rate Card'!$AH$22,IF(186&lt;=35,'Rate Card'!$AH$22+(186-20)*'Rate Card'!$AI$22,'Rate Card'!$AK$22+(186-35)*'Rate Card'!$AJ$22)))))))*(1+'Rate Card'!$C$6),2)*(IF('Rate Card'!$G$6="YES",'Rate Card'!$E$6,0)+IF('Rate Card'!$K$6="YES",'Rate Card'!$I$6,0)),2)</f>
        <v/>
      </c>
      <c r="H190" s="23">
        <f>IF(186&lt;=2,'Rate Card'!$AD$23,IF(186&lt;=5,'Rate Card'!$AE$23,IF(186&lt;=10,'Rate Card'!$AF$23,IF(186&lt;=15,'Rate Card'!$AG$23,IF(186&lt;=20,'Rate Card'!$AH$23,IF(186&lt;=35,'Rate Card'!$AH$23+(186-20)*'Rate Card'!$AI$23,'Rate Card'!$AK$23+(186-35)*'Rate Card'!$AJ$23))))))</f>
        <v/>
      </c>
      <c r="I190" s="23">
        <f>ROUND((IF(186&lt;=2,'Rate Card'!$AD$23,IF(186&lt;=5,'Rate Card'!$AE$23,IF(186&lt;=10,'Rate Card'!$AF$23,IF(186&lt;=15,'Rate Card'!$AG$23,IF(186&lt;=20,'Rate Card'!$AH$23,IF(186&lt;=35,'Rate Card'!$AH$23+(186-20)*'Rate Card'!$AI$23,'Rate Card'!$AK$23+(186-35)*'Rate Card'!$AJ$23)))))))*(1+'Rate Card'!$C$6),2)+ROUND(ROUND((IF(186&lt;=2,'Rate Card'!$AD$23,IF(186&lt;=5,'Rate Card'!$AE$23,IF(186&lt;=10,'Rate Card'!$AF$23,IF(186&lt;=15,'Rate Card'!$AG$23,IF(186&lt;=20,'Rate Card'!$AH$23,IF(186&lt;=35,'Rate Card'!$AH$23+(186-20)*'Rate Card'!$AI$23,'Rate Card'!$AK$23+(186-35)*'Rate Card'!$AJ$23)))))))*(1+'Rate Card'!$C$6),2)*(IF('Rate Card'!$G$6="YES",'Rate Card'!$E$6,0)+IF('Rate Card'!$K$6="YES",'Rate Card'!$I$6,0)),2)</f>
        <v/>
      </c>
      <c r="J190" s="10">
        <f>""</f>
        <v/>
      </c>
      <c r="K190" s="10">
        <f>""</f>
        <v/>
      </c>
      <c r="L190" s="10">
        <f>""</f>
        <v/>
      </c>
      <c r="M190" s="10">
        <f>""</f>
        <v/>
      </c>
      <c r="N190" s="23">
        <f>IF(186&lt;=2,'Rate Card'!$AD$119,IF(186&lt;=5,'Rate Card'!$AE$119,IF(186&lt;=10,'Rate Card'!$AF$119,IF(186&lt;=15,'Rate Card'!$AG$119,IF(186&lt;=20,'Rate Card'!$AH$119,IF(186&lt;=35,'Rate Card'!$AH$119+(186-20)*'Rate Card'!$AI$119,'Rate Card'!$AK$119+(186-35)*'Rate Card'!$AJ$119))))))</f>
        <v/>
      </c>
      <c r="O190" s="23">
        <f>ROUND((IF(186&lt;=2,'Rate Card'!$AD$119,IF(186&lt;=5,'Rate Card'!$AE$119,IF(186&lt;=10,'Rate Card'!$AF$119,IF(186&lt;=15,'Rate Card'!$AG$119,IF(186&lt;=20,'Rate Card'!$AH$119,IF(186&lt;=35,'Rate Card'!$AH$119+(186-20)*'Rate Card'!$AI$119,'Rate Card'!$AK$119+(186-35)*'Rate Card'!$AJ$119)))))))*(1+'Rate Card'!$C$6),2)+ROUND(ROUND((IF(186&lt;=2,'Rate Card'!$AD$119,IF(186&lt;=5,'Rate Card'!$AE$119,IF(186&lt;=10,'Rate Card'!$AF$119,IF(186&lt;=15,'Rate Card'!$AG$119,IF(186&lt;=20,'Rate Card'!$AH$119,IF(186&lt;=35,'Rate Card'!$AH$119+(186-20)*'Rate Card'!$AI$119,'Rate Card'!$AK$119+(186-35)*'Rate Card'!$AJ$119)))))))*(1+'Rate Card'!$C$6),2)*(IF('Rate Card'!$G$6="YES",'Rate Card'!$E$6,0)+IF('Rate Card'!$K$6="YES",'Rate Card'!$I$6,0)),2)</f>
        <v/>
      </c>
      <c r="P190" s="23">
        <f>IF(186&lt;=2,'Rate Card'!$AD$120,IF(186&lt;=5,'Rate Card'!$AE$120,IF(186&lt;=10,'Rate Card'!$AF$120,IF(186&lt;=15,'Rate Card'!$AG$120,IF(186&lt;=20,'Rate Card'!$AH$120,IF(186&lt;=35,'Rate Card'!$AH$120+(186-20)*'Rate Card'!$AI$120,'Rate Card'!$AK$120+(186-35)*'Rate Card'!$AJ$120))))))</f>
        <v/>
      </c>
      <c r="Q190" s="12">
        <f>ROUND((IF(186&lt;=2,'Rate Card'!$AD$120,IF(186&lt;=5,'Rate Card'!$AE$120,IF(186&lt;=10,'Rate Card'!$AF$120,IF(186&lt;=15,'Rate Card'!$AG$120,IF(186&lt;=20,'Rate Card'!$AH$120,IF(186&lt;=35,'Rate Card'!$AH$120+(186-20)*'Rate Card'!$AI$120,'Rate Card'!$AK$120+(186-35)*'Rate Card'!$AJ$120)))))))*(1+'Rate Card'!$C$6),2)+ROUND(ROUND((IF(186&lt;=2,'Rate Card'!$AD$120,IF(186&lt;=5,'Rate Card'!$AE$120,IF(186&lt;=10,'Rate Card'!$AF$120,IF(186&lt;=15,'Rate Card'!$AG$120,IF(186&lt;=20,'Rate Card'!$AH$120,IF(186&lt;=35,'Rate Card'!$AH$120+(186-20)*'Rate Card'!$AI$120,'Rate Card'!$AK$120+(186-35)*'Rate Card'!$AJ$120)))))))*(1+'Rate Card'!$C$6),2)*(IF('Rate Card'!$G$6="YES",'Rate Card'!$E$6,0)+IF('Rate Card'!$K$6="YES",'Rate Card'!$I$6,0)),2)</f>
        <v/>
      </c>
    </row>
    <row r="191">
      <c r="A191" s="75" t="n">
        <v>187</v>
      </c>
      <c r="B191" s="10">
        <f>""</f>
        <v/>
      </c>
      <c r="C191" s="10">
        <f>""</f>
        <v/>
      </c>
      <c r="D191" s="10">
        <f>""</f>
        <v/>
      </c>
      <c r="E191" s="10">
        <f>""</f>
        <v/>
      </c>
      <c r="F191" s="23">
        <f>IF(187&lt;=2,'Rate Card'!$AD$22,IF(187&lt;=5,'Rate Card'!$AE$22,IF(187&lt;=10,'Rate Card'!$AF$22,IF(187&lt;=15,'Rate Card'!$AG$22,IF(187&lt;=20,'Rate Card'!$AH$22,IF(187&lt;=35,'Rate Card'!$AH$22+(187-20)*'Rate Card'!$AI$22,'Rate Card'!$AK$22+(187-35)*'Rate Card'!$AJ$22))))))</f>
        <v/>
      </c>
      <c r="G191" s="23">
        <f>ROUND((IF(187&lt;=2,'Rate Card'!$AD$22,IF(187&lt;=5,'Rate Card'!$AE$22,IF(187&lt;=10,'Rate Card'!$AF$22,IF(187&lt;=15,'Rate Card'!$AG$22,IF(187&lt;=20,'Rate Card'!$AH$22,IF(187&lt;=35,'Rate Card'!$AH$22+(187-20)*'Rate Card'!$AI$22,'Rate Card'!$AK$22+(187-35)*'Rate Card'!$AJ$22)))))))*(1+'Rate Card'!$C$6),2)+ROUND(ROUND((IF(187&lt;=2,'Rate Card'!$AD$22,IF(187&lt;=5,'Rate Card'!$AE$22,IF(187&lt;=10,'Rate Card'!$AF$22,IF(187&lt;=15,'Rate Card'!$AG$22,IF(187&lt;=20,'Rate Card'!$AH$22,IF(187&lt;=35,'Rate Card'!$AH$22+(187-20)*'Rate Card'!$AI$22,'Rate Card'!$AK$22+(187-35)*'Rate Card'!$AJ$22)))))))*(1+'Rate Card'!$C$6),2)*(IF('Rate Card'!$G$6="YES",'Rate Card'!$E$6,0)+IF('Rate Card'!$K$6="YES",'Rate Card'!$I$6,0)),2)</f>
        <v/>
      </c>
      <c r="H191" s="23">
        <f>IF(187&lt;=2,'Rate Card'!$AD$23,IF(187&lt;=5,'Rate Card'!$AE$23,IF(187&lt;=10,'Rate Card'!$AF$23,IF(187&lt;=15,'Rate Card'!$AG$23,IF(187&lt;=20,'Rate Card'!$AH$23,IF(187&lt;=35,'Rate Card'!$AH$23+(187-20)*'Rate Card'!$AI$23,'Rate Card'!$AK$23+(187-35)*'Rate Card'!$AJ$23))))))</f>
        <v/>
      </c>
      <c r="I191" s="23">
        <f>ROUND((IF(187&lt;=2,'Rate Card'!$AD$23,IF(187&lt;=5,'Rate Card'!$AE$23,IF(187&lt;=10,'Rate Card'!$AF$23,IF(187&lt;=15,'Rate Card'!$AG$23,IF(187&lt;=20,'Rate Card'!$AH$23,IF(187&lt;=35,'Rate Card'!$AH$23+(187-20)*'Rate Card'!$AI$23,'Rate Card'!$AK$23+(187-35)*'Rate Card'!$AJ$23)))))))*(1+'Rate Card'!$C$6),2)+ROUND(ROUND((IF(187&lt;=2,'Rate Card'!$AD$23,IF(187&lt;=5,'Rate Card'!$AE$23,IF(187&lt;=10,'Rate Card'!$AF$23,IF(187&lt;=15,'Rate Card'!$AG$23,IF(187&lt;=20,'Rate Card'!$AH$23,IF(187&lt;=35,'Rate Card'!$AH$23+(187-20)*'Rate Card'!$AI$23,'Rate Card'!$AK$23+(187-35)*'Rate Card'!$AJ$23)))))))*(1+'Rate Card'!$C$6),2)*(IF('Rate Card'!$G$6="YES",'Rate Card'!$E$6,0)+IF('Rate Card'!$K$6="YES",'Rate Card'!$I$6,0)),2)</f>
        <v/>
      </c>
      <c r="J191" s="10">
        <f>""</f>
        <v/>
      </c>
      <c r="K191" s="10">
        <f>""</f>
        <v/>
      </c>
      <c r="L191" s="10">
        <f>""</f>
        <v/>
      </c>
      <c r="M191" s="10">
        <f>""</f>
        <v/>
      </c>
      <c r="N191" s="23">
        <f>IF(187&lt;=2,'Rate Card'!$AD$119,IF(187&lt;=5,'Rate Card'!$AE$119,IF(187&lt;=10,'Rate Card'!$AF$119,IF(187&lt;=15,'Rate Card'!$AG$119,IF(187&lt;=20,'Rate Card'!$AH$119,IF(187&lt;=35,'Rate Card'!$AH$119+(187-20)*'Rate Card'!$AI$119,'Rate Card'!$AK$119+(187-35)*'Rate Card'!$AJ$119))))))</f>
        <v/>
      </c>
      <c r="O191" s="23">
        <f>ROUND((IF(187&lt;=2,'Rate Card'!$AD$119,IF(187&lt;=5,'Rate Card'!$AE$119,IF(187&lt;=10,'Rate Card'!$AF$119,IF(187&lt;=15,'Rate Card'!$AG$119,IF(187&lt;=20,'Rate Card'!$AH$119,IF(187&lt;=35,'Rate Card'!$AH$119+(187-20)*'Rate Card'!$AI$119,'Rate Card'!$AK$119+(187-35)*'Rate Card'!$AJ$119)))))))*(1+'Rate Card'!$C$6),2)+ROUND(ROUND((IF(187&lt;=2,'Rate Card'!$AD$119,IF(187&lt;=5,'Rate Card'!$AE$119,IF(187&lt;=10,'Rate Card'!$AF$119,IF(187&lt;=15,'Rate Card'!$AG$119,IF(187&lt;=20,'Rate Card'!$AH$119,IF(187&lt;=35,'Rate Card'!$AH$119+(187-20)*'Rate Card'!$AI$119,'Rate Card'!$AK$119+(187-35)*'Rate Card'!$AJ$119)))))))*(1+'Rate Card'!$C$6),2)*(IF('Rate Card'!$G$6="YES",'Rate Card'!$E$6,0)+IF('Rate Card'!$K$6="YES",'Rate Card'!$I$6,0)),2)</f>
        <v/>
      </c>
      <c r="P191" s="23">
        <f>IF(187&lt;=2,'Rate Card'!$AD$120,IF(187&lt;=5,'Rate Card'!$AE$120,IF(187&lt;=10,'Rate Card'!$AF$120,IF(187&lt;=15,'Rate Card'!$AG$120,IF(187&lt;=20,'Rate Card'!$AH$120,IF(187&lt;=35,'Rate Card'!$AH$120+(187-20)*'Rate Card'!$AI$120,'Rate Card'!$AK$120+(187-35)*'Rate Card'!$AJ$120))))))</f>
        <v/>
      </c>
      <c r="Q191" s="12">
        <f>ROUND((IF(187&lt;=2,'Rate Card'!$AD$120,IF(187&lt;=5,'Rate Card'!$AE$120,IF(187&lt;=10,'Rate Card'!$AF$120,IF(187&lt;=15,'Rate Card'!$AG$120,IF(187&lt;=20,'Rate Card'!$AH$120,IF(187&lt;=35,'Rate Card'!$AH$120+(187-20)*'Rate Card'!$AI$120,'Rate Card'!$AK$120+(187-35)*'Rate Card'!$AJ$120)))))))*(1+'Rate Card'!$C$6),2)+ROUND(ROUND((IF(187&lt;=2,'Rate Card'!$AD$120,IF(187&lt;=5,'Rate Card'!$AE$120,IF(187&lt;=10,'Rate Card'!$AF$120,IF(187&lt;=15,'Rate Card'!$AG$120,IF(187&lt;=20,'Rate Card'!$AH$120,IF(187&lt;=35,'Rate Card'!$AH$120+(187-20)*'Rate Card'!$AI$120,'Rate Card'!$AK$120+(187-35)*'Rate Card'!$AJ$120)))))))*(1+'Rate Card'!$C$6),2)*(IF('Rate Card'!$G$6="YES",'Rate Card'!$E$6,0)+IF('Rate Card'!$K$6="YES",'Rate Card'!$I$6,0)),2)</f>
        <v/>
      </c>
    </row>
    <row r="192">
      <c r="A192" s="75" t="n">
        <v>188</v>
      </c>
      <c r="B192" s="10">
        <f>""</f>
        <v/>
      </c>
      <c r="C192" s="10">
        <f>""</f>
        <v/>
      </c>
      <c r="D192" s="10">
        <f>""</f>
        <v/>
      </c>
      <c r="E192" s="10">
        <f>""</f>
        <v/>
      </c>
      <c r="F192" s="23">
        <f>IF(188&lt;=2,'Rate Card'!$AD$22,IF(188&lt;=5,'Rate Card'!$AE$22,IF(188&lt;=10,'Rate Card'!$AF$22,IF(188&lt;=15,'Rate Card'!$AG$22,IF(188&lt;=20,'Rate Card'!$AH$22,IF(188&lt;=35,'Rate Card'!$AH$22+(188-20)*'Rate Card'!$AI$22,'Rate Card'!$AK$22+(188-35)*'Rate Card'!$AJ$22))))))</f>
        <v/>
      </c>
      <c r="G192" s="23">
        <f>ROUND((IF(188&lt;=2,'Rate Card'!$AD$22,IF(188&lt;=5,'Rate Card'!$AE$22,IF(188&lt;=10,'Rate Card'!$AF$22,IF(188&lt;=15,'Rate Card'!$AG$22,IF(188&lt;=20,'Rate Card'!$AH$22,IF(188&lt;=35,'Rate Card'!$AH$22+(188-20)*'Rate Card'!$AI$22,'Rate Card'!$AK$22+(188-35)*'Rate Card'!$AJ$22)))))))*(1+'Rate Card'!$C$6),2)+ROUND(ROUND((IF(188&lt;=2,'Rate Card'!$AD$22,IF(188&lt;=5,'Rate Card'!$AE$22,IF(188&lt;=10,'Rate Card'!$AF$22,IF(188&lt;=15,'Rate Card'!$AG$22,IF(188&lt;=20,'Rate Card'!$AH$22,IF(188&lt;=35,'Rate Card'!$AH$22+(188-20)*'Rate Card'!$AI$22,'Rate Card'!$AK$22+(188-35)*'Rate Card'!$AJ$22)))))))*(1+'Rate Card'!$C$6),2)*(IF('Rate Card'!$G$6="YES",'Rate Card'!$E$6,0)+IF('Rate Card'!$K$6="YES",'Rate Card'!$I$6,0)),2)</f>
        <v/>
      </c>
      <c r="H192" s="23">
        <f>IF(188&lt;=2,'Rate Card'!$AD$23,IF(188&lt;=5,'Rate Card'!$AE$23,IF(188&lt;=10,'Rate Card'!$AF$23,IF(188&lt;=15,'Rate Card'!$AG$23,IF(188&lt;=20,'Rate Card'!$AH$23,IF(188&lt;=35,'Rate Card'!$AH$23+(188-20)*'Rate Card'!$AI$23,'Rate Card'!$AK$23+(188-35)*'Rate Card'!$AJ$23))))))</f>
        <v/>
      </c>
      <c r="I192" s="23">
        <f>ROUND((IF(188&lt;=2,'Rate Card'!$AD$23,IF(188&lt;=5,'Rate Card'!$AE$23,IF(188&lt;=10,'Rate Card'!$AF$23,IF(188&lt;=15,'Rate Card'!$AG$23,IF(188&lt;=20,'Rate Card'!$AH$23,IF(188&lt;=35,'Rate Card'!$AH$23+(188-20)*'Rate Card'!$AI$23,'Rate Card'!$AK$23+(188-35)*'Rate Card'!$AJ$23)))))))*(1+'Rate Card'!$C$6),2)+ROUND(ROUND((IF(188&lt;=2,'Rate Card'!$AD$23,IF(188&lt;=5,'Rate Card'!$AE$23,IF(188&lt;=10,'Rate Card'!$AF$23,IF(188&lt;=15,'Rate Card'!$AG$23,IF(188&lt;=20,'Rate Card'!$AH$23,IF(188&lt;=35,'Rate Card'!$AH$23+(188-20)*'Rate Card'!$AI$23,'Rate Card'!$AK$23+(188-35)*'Rate Card'!$AJ$23)))))))*(1+'Rate Card'!$C$6),2)*(IF('Rate Card'!$G$6="YES",'Rate Card'!$E$6,0)+IF('Rate Card'!$K$6="YES",'Rate Card'!$I$6,0)),2)</f>
        <v/>
      </c>
      <c r="J192" s="10">
        <f>""</f>
        <v/>
      </c>
      <c r="K192" s="10">
        <f>""</f>
        <v/>
      </c>
      <c r="L192" s="10">
        <f>""</f>
        <v/>
      </c>
      <c r="M192" s="10">
        <f>""</f>
        <v/>
      </c>
      <c r="N192" s="23">
        <f>IF(188&lt;=2,'Rate Card'!$AD$119,IF(188&lt;=5,'Rate Card'!$AE$119,IF(188&lt;=10,'Rate Card'!$AF$119,IF(188&lt;=15,'Rate Card'!$AG$119,IF(188&lt;=20,'Rate Card'!$AH$119,IF(188&lt;=35,'Rate Card'!$AH$119+(188-20)*'Rate Card'!$AI$119,'Rate Card'!$AK$119+(188-35)*'Rate Card'!$AJ$119))))))</f>
        <v/>
      </c>
      <c r="O192" s="23">
        <f>ROUND((IF(188&lt;=2,'Rate Card'!$AD$119,IF(188&lt;=5,'Rate Card'!$AE$119,IF(188&lt;=10,'Rate Card'!$AF$119,IF(188&lt;=15,'Rate Card'!$AG$119,IF(188&lt;=20,'Rate Card'!$AH$119,IF(188&lt;=35,'Rate Card'!$AH$119+(188-20)*'Rate Card'!$AI$119,'Rate Card'!$AK$119+(188-35)*'Rate Card'!$AJ$119)))))))*(1+'Rate Card'!$C$6),2)+ROUND(ROUND((IF(188&lt;=2,'Rate Card'!$AD$119,IF(188&lt;=5,'Rate Card'!$AE$119,IF(188&lt;=10,'Rate Card'!$AF$119,IF(188&lt;=15,'Rate Card'!$AG$119,IF(188&lt;=20,'Rate Card'!$AH$119,IF(188&lt;=35,'Rate Card'!$AH$119+(188-20)*'Rate Card'!$AI$119,'Rate Card'!$AK$119+(188-35)*'Rate Card'!$AJ$119)))))))*(1+'Rate Card'!$C$6),2)*(IF('Rate Card'!$G$6="YES",'Rate Card'!$E$6,0)+IF('Rate Card'!$K$6="YES",'Rate Card'!$I$6,0)),2)</f>
        <v/>
      </c>
      <c r="P192" s="23">
        <f>IF(188&lt;=2,'Rate Card'!$AD$120,IF(188&lt;=5,'Rate Card'!$AE$120,IF(188&lt;=10,'Rate Card'!$AF$120,IF(188&lt;=15,'Rate Card'!$AG$120,IF(188&lt;=20,'Rate Card'!$AH$120,IF(188&lt;=35,'Rate Card'!$AH$120+(188-20)*'Rate Card'!$AI$120,'Rate Card'!$AK$120+(188-35)*'Rate Card'!$AJ$120))))))</f>
        <v/>
      </c>
      <c r="Q192" s="12">
        <f>ROUND((IF(188&lt;=2,'Rate Card'!$AD$120,IF(188&lt;=5,'Rate Card'!$AE$120,IF(188&lt;=10,'Rate Card'!$AF$120,IF(188&lt;=15,'Rate Card'!$AG$120,IF(188&lt;=20,'Rate Card'!$AH$120,IF(188&lt;=35,'Rate Card'!$AH$120+(188-20)*'Rate Card'!$AI$120,'Rate Card'!$AK$120+(188-35)*'Rate Card'!$AJ$120)))))))*(1+'Rate Card'!$C$6),2)+ROUND(ROUND((IF(188&lt;=2,'Rate Card'!$AD$120,IF(188&lt;=5,'Rate Card'!$AE$120,IF(188&lt;=10,'Rate Card'!$AF$120,IF(188&lt;=15,'Rate Card'!$AG$120,IF(188&lt;=20,'Rate Card'!$AH$120,IF(188&lt;=35,'Rate Card'!$AH$120+(188-20)*'Rate Card'!$AI$120,'Rate Card'!$AK$120+(188-35)*'Rate Card'!$AJ$120)))))))*(1+'Rate Card'!$C$6),2)*(IF('Rate Card'!$G$6="YES",'Rate Card'!$E$6,0)+IF('Rate Card'!$K$6="YES",'Rate Card'!$I$6,0)),2)</f>
        <v/>
      </c>
    </row>
    <row r="193">
      <c r="A193" s="75" t="n">
        <v>189</v>
      </c>
      <c r="B193" s="10">
        <f>""</f>
        <v/>
      </c>
      <c r="C193" s="10">
        <f>""</f>
        <v/>
      </c>
      <c r="D193" s="10">
        <f>""</f>
        <v/>
      </c>
      <c r="E193" s="10">
        <f>""</f>
        <v/>
      </c>
      <c r="F193" s="23">
        <f>IF(189&lt;=2,'Rate Card'!$AD$22,IF(189&lt;=5,'Rate Card'!$AE$22,IF(189&lt;=10,'Rate Card'!$AF$22,IF(189&lt;=15,'Rate Card'!$AG$22,IF(189&lt;=20,'Rate Card'!$AH$22,IF(189&lt;=35,'Rate Card'!$AH$22+(189-20)*'Rate Card'!$AI$22,'Rate Card'!$AK$22+(189-35)*'Rate Card'!$AJ$22))))))</f>
        <v/>
      </c>
      <c r="G193" s="23">
        <f>ROUND((IF(189&lt;=2,'Rate Card'!$AD$22,IF(189&lt;=5,'Rate Card'!$AE$22,IF(189&lt;=10,'Rate Card'!$AF$22,IF(189&lt;=15,'Rate Card'!$AG$22,IF(189&lt;=20,'Rate Card'!$AH$22,IF(189&lt;=35,'Rate Card'!$AH$22+(189-20)*'Rate Card'!$AI$22,'Rate Card'!$AK$22+(189-35)*'Rate Card'!$AJ$22)))))))*(1+'Rate Card'!$C$6),2)+ROUND(ROUND((IF(189&lt;=2,'Rate Card'!$AD$22,IF(189&lt;=5,'Rate Card'!$AE$22,IF(189&lt;=10,'Rate Card'!$AF$22,IF(189&lt;=15,'Rate Card'!$AG$22,IF(189&lt;=20,'Rate Card'!$AH$22,IF(189&lt;=35,'Rate Card'!$AH$22+(189-20)*'Rate Card'!$AI$22,'Rate Card'!$AK$22+(189-35)*'Rate Card'!$AJ$22)))))))*(1+'Rate Card'!$C$6),2)*(IF('Rate Card'!$G$6="YES",'Rate Card'!$E$6,0)+IF('Rate Card'!$K$6="YES",'Rate Card'!$I$6,0)),2)</f>
        <v/>
      </c>
      <c r="H193" s="23">
        <f>IF(189&lt;=2,'Rate Card'!$AD$23,IF(189&lt;=5,'Rate Card'!$AE$23,IF(189&lt;=10,'Rate Card'!$AF$23,IF(189&lt;=15,'Rate Card'!$AG$23,IF(189&lt;=20,'Rate Card'!$AH$23,IF(189&lt;=35,'Rate Card'!$AH$23+(189-20)*'Rate Card'!$AI$23,'Rate Card'!$AK$23+(189-35)*'Rate Card'!$AJ$23))))))</f>
        <v/>
      </c>
      <c r="I193" s="23">
        <f>ROUND((IF(189&lt;=2,'Rate Card'!$AD$23,IF(189&lt;=5,'Rate Card'!$AE$23,IF(189&lt;=10,'Rate Card'!$AF$23,IF(189&lt;=15,'Rate Card'!$AG$23,IF(189&lt;=20,'Rate Card'!$AH$23,IF(189&lt;=35,'Rate Card'!$AH$23+(189-20)*'Rate Card'!$AI$23,'Rate Card'!$AK$23+(189-35)*'Rate Card'!$AJ$23)))))))*(1+'Rate Card'!$C$6),2)+ROUND(ROUND((IF(189&lt;=2,'Rate Card'!$AD$23,IF(189&lt;=5,'Rate Card'!$AE$23,IF(189&lt;=10,'Rate Card'!$AF$23,IF(189&lt;=15,'Rate Card'!$AG$23,IF(189&lt;=20,'Rate Card'!$AH$23,IF(189&lt;=35,'Rate Card'!$AH$23+(189-20)*'Rate Card'!$AI$23,'Rate Card'!$AK$23+(189-35)*'Rate Card'!$AJ$23)))))))*(1+'Rate Card'!$C$6),2)*(IF('Rate Card'!$G$6="YES",'Rate Card'!$E$6,0)+IF('Rate Card'!$K$6="YES",'Rate Card'!$I$6,0)),2)</f>
        <v/>
      </c>
      <c r="J193" s="10">
        <f>""</f>
        <v/>
      </c>
      <c r="K193" s="10">
        <f>""</f>
        <v/>
      </c>
      <c r="L193" s="10">
        <f>""</f>
        <v/>
      </c>
      <c r="M193" s="10">
        <f>""</f>
        <v/>
      </c>
      <c r="N193" s="23">
        <f>IF(189&lt;=2,'Rate Card'!$AD$119,IF(189&lt;=5,'Rate Card'!$AE$119,IF(189&lt;=10,'Rate Card'!$AF$119,IF(189&lt;=15,'Rate Card'!$AG$119,IF(189&lt;=20,'Rate Card'!$AH$119,IF(189&lt;=35,'Rate Card'!$AH$119+(189-20)*'Rate Card'!$AI$119,'Rate Card'!$AK$119+(189-35)*'Rate Card'!$AJ$119))))))</f>
        <v/>
      </c>
      <c r="O193" s="23">
        <f>ROUND((IF(189&lt;=2,'Rate Card'!$AD$119,IF(189&lt;=5,'Rate Card'!$AE$119,IF(189&lt;=10,'Rate Card'!$AF$119,IF(189&lt;=15,'Rate Card'!$AG$119,IF(189&lt;=20,'Rate Card'!$AH$119,IF(189&lt;=35,'Rate Card'!$AH$119+(189-20)*'Rate Card'!$AI$119,'Rate Card'!$AK$119+(189-35)*'Rate Card'!$AJ$119)))))))*(1+'Rate Card'!$C$6),2)+ROUND(ROUND((IF(189&lt;=2,'Rate Card'!$AD$119,IF(189&lt;=5,'Rate Card'!$AE$119,IF(189&lt;=10,'Rate Card'!$AF$119,IF(189&lt;=15,'Rate Card'!$AG$119,IF(189&lt;=20,'Rate Card'!$AH$119,IF(189&lt;=35,'Rate Card'!$AH$119+(189-20)*'Rate Card'!$AI$119,'Rate Card'!$AK$119+(189-35)*'Rate Card'!$AJ$119)))))))*(1+'Rate Card'!$C$6),2)*(IF('Rate Card'!$G$6="YES",'Rate Card'!$E$6,0)+IF('Rate Card'!$K$6="YES",'Rate Card'!$I$6,0)),2)</f>
        <v/>
      </c>
      <c r="P193" s="23">
        <f>IF(189&lt;=2,'Rate Card'!$AD$120,IF(189&lt;=5,'Rate Card'!$AE$120,IF(189&lt;=10,'Rate Card'!$AF$120,IF(189&lt;=15,'Rate Card'!$AG$120,IF(189&lt;=20,'Rate Card'!$AH$120,IF(189&lt;=35,'Rate Card'!$AH$120+(189-20)*'Rate Card'!$AI$120,'Rate Card'!$AK$120+(189-35)*'Rate Card'!$AJ$120))))))</f>
        <v/>
      </c>
      <c r="Q193" s="12">
        <f>ROUND((IF(189&lt;=2,'Rate Card'!$AD$120,IF(189&lt;=5,'Rate Card'!$AE$120,IF(189&lt;=10,'Rate Card'!$AF$120,IF(189&lt;=15,'Rate Card'!$AG$120,IF(189&lt;=20,'Rate Card'!$AH$120,IF(189&lt;=35,'Rate Card'!$AH$120+(189-20)*'Rate Card'!$AI$120,'Rate Card'!$AK$120+(189-35)*'Rate Card'!$AJ$120)))))))*(1+'Rate Card'!$C$6),2)+ROUND(ROUND((IF(189&lt;=2,'Rate Card'!$AD$120,IF(189&lt;=5,'Rate Card'!$AE$120,IF(189&lt;=10,'Rate Card'!$AF$120,IF(189&lt;=15,'Rate Card'!$AG$120,IF(189&lt;=20,'Rate Card'!$AH$120,IF(189&lt;=35,'Rate Card'!$AH$120+(189-20)*'Rate Card'!$AI$120,'Rate Card'!$AK$120+(189-35)*'Rate Card'!$AJ$120)))))))*(1+'Rate Card'!$C$6),2)*(IF('Rate Card'!$G$6="YES",'Rate Card'!$E$6,0)+IF('Rate Card'!$K$6="YES",'Rate Card'!$I$6,0)),2)</f>
        <v/>
      </c>
    </row>
    <row r="194">
      <c r="A194" s="75" t="n">
        <v>190</v>
      </c>
      <c r="B194" s="10">
        <f>""</f>
        <v/>
      </c>
      <c r="C194" s="10">
        <f>""</f>
        <v/>
      </c>
      <c r="D194" s="10">
        <f>""</f>
        <v/>
      </c>
      <c r="E194" s="10">
        <f>""</f>
        <v/>
      </c>
      <c r="F194" s="23">
        <f>IF(190&lt;=2,'Rate Card'!$AD$22,IF(190&lt;=5,'Rate Card'!$AE$22,IF(190&lt;=10,'Rate Card'!$AF$22,IF(190&lt;=15,'Rate Card'!$AG$22,IF(190&lt;=20,'Rate Card'!$AH$22,IF(190&lt;=35,'Rate Card'!$AH$22+(190-20)*'Rate Card'!$AI$22,'Rate Card'!$AK$22+(190-35)*'Rate Card'!$AJ$22))))))</f>
        <v/>
      </c>
      <c r="G194" s="23">
        <f>ROUND((IF(190&lt;=2,'Rate Card'!$AD$22,IF(190&lt;=5,'Rate Card'!$AE$22,IF(190&lt;=10,'Rate Card'!$AF$22,IF(190&lt;=15,'Rate Card'!$AG$22,IF(190&lt;=20,'Rate Card'!$AH$22,IF(190&lt;=35,'Rate Card'!$AH$22+(190-20)*'Rate Card'!$AI$22,'Rate Card'!$AK$22+(190-35)*'Rate Card'!$AJ$22)))))))*(1+'Rate Card'!$C$6),2)+ROUND(ROUND((IF(190&lt;=2,'Rate Card'!$AD$22,IF(190&lt;=5,'Rate Card'!$AE$22,IF(190&lt;=10,'Rate Card'!$AF$22,IF(190&lt;=15,'Rate Card'!$AG$22,IF(190&lt;=20,'Rate Card'!$AH$22,IF(190&lt;=35,'Rate Card'!$AH$22+(190-20)*'Rate Card'!$AI$22,'Rate Card'!$AK$22+(190-35)*'Rate Card'!$AJ$22)))))))*(1+'Rate Card'!$C$6),2)*(IF('Rate Card'!$G$6="YES",'Rate Card'!$E$6,0)+IF('Rate Card'!$K$6="YES",'Rate Card'!$I$6,0)),2)</f>
        <v/>
      </c>
      <c r="H194" s="23">
        <f>IF(190&lt;=2,'Rate Card'!$AD$23,IF(190&lt;=5,'Rate Card'!$AE$23,IF(190&lt;=10,'Rate Card'!$AF$23,IF(190&lt;=15,'Rate Card'!$AG$23,IF(190&lt;=20,'Rate Card'!$AH$23,IF(190&lt;=35,'Rate Card'!$AH$23+(190-20)*'Rate Card'!$AI$23,'Rate Card'!$AK$23+(190-35)*'Rate Card'!$AJ$23))))))</f>
        <v/>
      </c>
      <c r="I194" s="23">
        <f>ROUND((IF(190&lt;=2,'Rate Card'!$AD$23,IF(190&lt;=5,'Rate Card'!$AE$23,IF(190&lt;=10,'Rate Card'!$AF$23,IF(190&lt;=15,'Rate Card'!$AG$23,IF(190&lt;=20,'Rate Card'!$AH$23,IF(190&lt;=35,'Rate Card'!$AH$23+(190-20)*'Rate Card'!$AI$23,'Rate Card'!$AK$23+(190-35)*'Rate Card'!$AJ$23)))))))*(1+'Rate Card'!$C$6),2)+ROUND(ROUND((IF(190&lt;=2,'Rate Card'!$AD$23,IF(190&lt;=5,'Rate Card'!$AE$23,IF(190&lt;=10,'Rate Card'!$AF$23,IF(190&lt;=15,'Rate Card'!$AG$23,IF(190&lt;=20,'Rate Card'!$AH$23,IF(190&lt;=35,'Rate Card'!$AH$23+(190-20)*'Rate Card'!$AI$23,'Rate Card'!$AK$23+(190-35)*'Rate Card'!$AJ$23)))))))*(1+'Rate Card'!$C$6),2)*(IF('Rate Card'!$G$6="YES",'Rate Card'!$E$6,0)+IF('Rate Card'!$K$6="YES",'Rate Card'!$I$6,0)),2)</f>
        <v/>
      </c>
      <c r="J194" s="10">
        <f>""</f>
        <v/>
      </c>
      <c r="K194" s="10">
        <f>""</f>
        <v/>
      </c>
      <c r="L194" s="10">
        <f>""</f>
        <v/>
      </c>
      <c r="M194" s="10">
        <f>""</f>
        <v/>
      </c>
      <c r="N194" s="23">
        <f>IF(190&lt;=2,'Rate Card'!$AD$119,IF(190&lt;=5,'Rate Card'!$AE$119,IF(190&lt;=10,'Rate Card'!$AF$119,IF(190&lt;=15,'Rate Card'!$AG$119,IF(190&lt;=20,'Rate Card'!$AH$119,IF(190&lt;=35,'Rate Card'!$AH$119+(190-20)*'Rate Card'!$AI$119,'Rate Card'!$AK$119+(190-35)*'Rate Card'!$AJ$119))))))</f>
        <v/>
      </c>
      <c r="O194" s="23">
        <f>ROUND((IF(190&lt;=2,'Rate Card'!$AD$119,IF(190&lt;=5,'Rate Card'!$AE$119,IF(190&lt;=10,'Rate Card'!$AF$119,IF(190&lt;=15,'Rate Card'!$AG$119,IF(190&lt;=20,'Rate Card'!$AH$119,IF(190&lt;=35,'Rate Card'!$AH$119+(190-20)*'Rate Card'!$AI$119,'Rate Card'!$AK$119+(190-35)*'Rate Card'!$AJ$119)))))))*(1+'Rate Card'!$C$6),2)+ROUND(ROUND((IF(190&lt;=2,'Rate Card'!$AD$119,IF(190&lt;=5,'Rate Card'!$AE$119,IF(190&lt;=10,'Rate Card'!$AF$119,IF(190&lt;=15,'Rate Card'!$AG$119,IF(190&lt;=20,'Rate Card'!$AH$119,IF(190&lt;=35,'Rate Card'!$AH$119+(190-20)*'Rate Card'!$AI$119,'Rate Card'!$AK$119+(190-35)*'Rate Card'!$AJ$119)))))))*(1+'Rate Card'!$C$6),2)*(IF('Rate Card'!$G$6="YES",'Rate Card'!$E$6,0)+IF('Rate Card'!$K$6="YES",'Rate Card'!$I$6,0)),2)</f>
        <v/>
      </c>
      <c r="P194" s="23">
        <f>IF(190&lt;=2,'Rate Card'!$AD$120,IF(190&lt;=5,'Rate Card'!$AE$120,IF(190&lt;=10,'Rate Card'!$AF$120,IF(190&lt;=15,'Rate Card'!$AG$120,IF(190&lt;=20,'Rate Card'!$AH$120,IF(190&lt;=35,'Rate Card'!$AH$120+(190-20)*'Rate Card'!$AI$120,'Rate Card'!$AK$120+(190-35)*'Rate Card'!$AJ$120))))))</f>
        <v/>
      </c>
      <c r="Q194" s="12">
        <f>ROUND((IF(190&lt;=2,'Rate Card'!$AD$120,IF(190&lt;=5,'Rate Card'!$AE$120,IF(190&lt;=10,'Rate Card'!$AF$120,IF(190&lt;=15,'Rate Card'!$AG$120,IF(190&lt;=20,'Rate Card'!$AH$120,IF(190&lt;=35,'Rate Card'!$AH$120+(190-20)*'Rate Card'!$AI$120,'Rate Card'!$AK$120+(190-35)*'Rate Card'!$AJ$120)))))))*(1+'Rate Card'!$C$6),2)+ROUND(ROUND((IF(190&lt;=2,'Rate Card'!$AD$120,IF(190&lt;=5,'Rate Card'!$AE$120,IF(190&lt;=10,'Rate Card'!$AF$120,IF(190&lt;=15,'Rate Card'!$AG$120,IF(190&lt;=20,'Rate Card'!$AH$120,IF(190&lt;=35,'Rate Card'!$AH$120+(190-20)*'Rate Card'!$AI$120,'Rate Card'!$AK$120+(190-35)*'Rate Card'!$AJ$120)))))))*(1+'Rate Card'!$C$6),2)*(IF('Rate Card'!$G$6="YES",'Rate Card'!$E$6,0)+IF('Rate Card'!$K$6="YES",'Rate Card'!$I$6,0)),2)</f>
        <v/>
      </c>
    </row>
    <row r="195">
      <c r="A195" s="75" t="n">
        <v>191</v>
      </c>
      <c r="B195" s="10">
        <f>""</f>
        <v/>
      </c>
      <c r="C195" s="10">
        <f>""</f>
        <v/>
      </c>
      <c r="D195" s="10">
        <f>""</f>
        <v/>
      </c>
      <c r="E195" s="10">
        <f>""</f>
        <v/>
      </c>
      <c r="F195" s="23">
        <f>IF(191&lt;=2,'Rate Card'!$AD$22,IF(191&lt;=5,'Rate Card'!$AE$22,IF(191&lt;=10,'Rate Card'!$AF$22,IF(191&lt;=15,'Rate Card'!$AG$22,IF(191&lt;=20,'Rate Card'!$AH$22,IF(191&lt;=35,'Rate Card'!$AH$22+(191-20)*'Rate Card'!$AI$22,'Rate Card'!$AK$22+(191-35)*'Rate Card'!$AJ$22))))))</f>
        <v/>
      </c>
      <c r="G195" s="23">
        <f>ROUND((IF(191&lt;=2,'Rate Card'!$AD$22,IF(191&lt;=5,'Rate Card'!$AE$22,IF(191&lt;=10,'Rate Card'!$AF$22,IF(191&lt;=15,'Rate Card'!$AG$22,IF(191&lt;=20,'Rate Card'!$AH$22,IF(191&lt;=35,'Rate Card'!$AH$22+(191-20)*'Rate Card'!$AI$22,'Rate Card'!$AK$22+(191-35)*'Rate Card'!$AJ$22)))))))*(1+'Rate Card'!$C$6),2)+ROUND(ROUND((IF(191&lt;=2,'Rate Card'!$AD$22,IF(191&lt;=5,'Rate Card'!$AE$22,IF(191&lt;=10,'Rate Card'!$AF$22,IF(191&lt;=15,'Rate Card'!$AG$22,IF(191&lt;=20,'Rate Card'!$AH$22,IF(191&lt;=35,'Rate Card'!$AH$22+(191-20)*'Rate Card'!$AI$22,'Rate Card'!$AK$22+(191-35)*'Rate Card'!$AJ$22)))))))*(1+'Rate Card'!$C$6),2)*(IF('Rate Card'!$G$6="YES",'Rate Card'!$E$6,0)+IF('Rate Card'!$K$6="YES",'Rate Card'!$I$6,0)),2)</f>
        <v/>
      </c>
      <c r="H195" s="23">
        <f>IF(191&lt;=2,'Rate Card'!$AD$23,IF(191&lt;=5,'Rate Card'!$AE$23,IF(191&lt;=10,'Rate Card'!$AF$23,IF(191&lt;=15,'Rate Card'!$AG$23,IF(191&lt;=20,'Rate Card'!$AH$23,IF(191&lt;=35,'Rate Card'!$AH$23+(191-20)*'Rate Card'!$AI$23,'Rate Card'!$AK$23+(191-35)*'Rate Card'!$AJ$23))))))</f>
        <v/>
      </c>
      <c r="I195" s="23">
        <f>ROUND((IF(191&lt;=2,'Rate Card'!$AD$23,IF(191&lt;=5,'Rate Card'!$AE$23,IF(191&lt;=10,'Rate Card'!$AF$23,IF(191&lt;=15,'Rate Card'!$AG$23,IF(191&lt;=20,'Rate Card'!$AH$23,IF(191&lt;=35,'Rate Card'!$AH$23+(191-20)*'Rate Card'!$AI$23,'Rate Card'!$AK$23+(191-35)*'Rate Card'!$AJ$23)))))))*(1+'Rate Card'!$C$6),2)+ROUND(ROUND((IF(191&lt;=2,'Rate Card'!$AD$23,IF(191&lt;=5,'Rate Card'!$AE$23,IF(191&lt;=10,'Rate Card'!$AF$23,IF(191&lt;=15,'Rate Card'!$AG$23,IF(191&lt;=20,'Rate Card'!$AH$23,IF(191&lt;=35,'Rate Card'!$AH$23+(191-20)*'Rate Card'!$AI$23,'Rate Card'!$AK$23+(191-35)*'Rate Card'!$AJ$23)))))))*(1+'Rate Card'!$C$6),2)*(IF('Rate Card'!$G$6="YES",'Rate Card'!$E$6,0)+IF('Rate Card'!$K$6="YES",'Rate Card'!$I$6,0)),2)</f>
        <v/>
      </c>
      <c r="J195" s="10">
        <f>""</f>
        <v/>
      </c>
      <c r="K195" s="10">
        <f>""</f>
        <v/>
      </c>
      <c r="L195" s="10">
        <f>""</f>
        <v/>
      </c>
      <c r="M195" s="10">
        <f>""</f>
        <v/>
      </c>
      <c r="N195" s="23">
        <f>IF(191&lt;=2,'Rate Card'!$AD$119,IF(191&lt;=5,'Rate Card'!$AE$119,IF(191&lt;=10,'Rate Card'!$AF$119,IF(191&lt;=15,'Rate Card'!$AG$119,IF(191&lt;=20,'Rate Card'!$AH$119,IF(191&lt;=35,'Rate Card'!$AH$119+(191-20)*'Rate Card'!$AI$119,'Rate Card'!$AK$119+(191-35)*'Rate Card'!$AJ$119))))))</f>
        <v/>
      </c>
      <c r="O195" s="23">
        <f>ROUND((IF(191&lt;=2,'Rate Card'!$AD$119,IF(191&lt;=5,'Rate Card'!$AE$119,IF(191&lt;=10,'Rate Card'!$AF$119,IF(191&lt;=15,'Rate Card'!$AG$119,IF(191&lt;=20,'Rate Card'!$AH$119,IF(191&lt;=35,'Rate Card'!$AH$119+(191-20)*'Rate Card'!$AI$119,'Rate Card'!$AK$119+(191-35)*'Rate Card'!$AJ$119)))))))*(1+'Rate Card'!$C$6),2)+ROUND(ROUND((IF(191&lt;=2,'Rate Card'!$AD$119,IF(191&lt;=5,'Rate Card'!$AE$119,IF(191&lt;=10,'Rate Card'!$AF$119,IF(191&lt;=15,'Rate Card'!$AG$119,IF(191&lt;=20,'Rate Card'!$AH$119,IF(191&lt;=35,'Rate Card'!$AH$119+(191-20)*'Rate Card'!$AI$119,'Rate Card'!$AK$119+(191-35)*'Rate Card'!$AJ$119)))))))*(1+'Rate Card'!$C$6),2)*(IF('Rate Card'!$G$6="YES",'Rate Card'!$E$6,0)+IF('Rate Card'!$K$6="YES",'Rate Card'!$I$6,0)),2)</f>
        <v/>
      </c>
      <c r="P195" s="23">
        <f>IF(191&lt;=2,'Rate Card'!$AD$120,IF(191&lt;=5,'Rate Card'!$AE$120,IF(191&lt;=10,'Rate Card'!$AF$120,IF(191&lt;=15,'Rate Card'!$AG$120,IF(191&lt;=20,'Rate Card'!$AH$120,IF(191&lt;=35,'Rate Card'!$AH$120+(191-20)*'Rate Card'!$AI$120,'Rate Card'!$AK$120+(191-35)*'Rate Card'!$AJ$120))))))</f>
        <v/>
      </c>
      <c r="Q195" s="12">
        <f>ROUND((IF(191&lt;=2,'Rate Card'!$AD$120,IF(191&lt;=5,'Rate Card'!$AE$120,IF(191&lt;=10,'Rate Card'!$AF$120,IF(191&lt;=15,'Rate Card'!$AG$120,IF(191&lt;=20,'Rate Card'!$AH$120,IF(191&lt;=35,'Rate Card'!$AH$120+(191-20)*'Rate Card'!$AI$120,'Rate Card'!$AK$120+(191-35)*'Rate Card'!$AJ$120)))))))*(1+'Rate Card'!$C$6),2)+ROUND(ROUND((IF(191&lt;=2,'Rate Card'!$AD$120,IF(191&lt;=5,'Rate Card'!$AE$120,IF(191&lt;=10,'Rate Card'!$AF$120,IF(191&lt;=15,'Rate Card'!$AG$120,IF(191&lt;=20,'Rate Card'!$AH$120,IF(191&lt;=35,'Rate Card'!$AH$120+(191-20)*'Rate Card'!$AI$120,'Rate Card'!$AK$120+(191-35)*'Rate Card'!$AJ$120)))))))*(1+'Rate Card'!$C$6),2)*(IF('Rate Card'!$G$6="YES",'Rate Card'!$E$6,0)+IF('Rate Card'!$K$6="YES",'Rate Card'!$I$6,0)),2)</f>
        <v/>
      </c>
    </row>
    <row r="196">
      <c r="A196" s="75" t="n">
        <v>192</v>
      </c>
      <c r="B196" s="10">
        <f>""</f>
        <v/>
      </c>
      <c r="C196" s="10">
        <f>""</f>
        <v/>
      </c>
      <c r="D196" s="10">
        <f>""</f>
        <v/>
      </c>
      <c r="E196" s="10">
        <f>""</f>
        <v/>
      </c>
      <c r="F196" s="23">
        <f>IF(192&lt;=2,'Rate Card'!$AD$22,IF(192&lt;=5,'Rate Card'!$AE$22,IF(192&lt;=10,'Rate Card'!$AF$22,IF(192&lt;=15,'Rate Card'!$AG$22,IF(192&lt;=20,'Rate Card'!$AH$22,IF(192&lt;=35,'Rate Card'!$AH$22+(192-20)*'Rate Card'!$AI$22,'Rate Card'!$AK$22+(192-35)*'Rate Card'!$AJ$22))))))</f>
        <v/>
      </c>
      <c r="G196" s="23">
        <f>ROUND((IF(192&lt;=2,'Rate Card'!$AD$22,IF(192&lt;=5,'Rate Card'!$AE$22,IF(192&lt;=10,'Rate Card'!$AF$22,IF(192&lt;=15,'Rate Card'!$AG$22,IF(192&lt;=20,'Rate Card'!$AH$22,IF(192&lt;=35,'Rate Card'!$AH$22+(192-20)*'Rate Card'!$AI$22,'Rate Card'!$AK$22+(192-35)*'Rate Card'!$AJ$22)))))))*(1+'Rate Card'!$C$6),2)+ROUND(ROUND((IF(192&lt;=2,'Rate Card'!$AD$22,IF(192&lt;=5,'Rate Card'!$AE$22,IF(192&lt;=10,'Rate Card'!$AF$22,IF(192&lt;=15,'Rate Card'!$AG$22,IF(192&lt;=20,'Rate Card'!$AH$22,IF(192&lt;=35,'Rate Card'!$AH$22+(192-20)*'Rate Card'!$AI$22,'Rate Card'!$AK$22+(192-35)*'Rate Card'!$AJ$22)))))))*(1+'Rate Card'!$C$6),2)*(IF('Rate Card'!$G$6="YES",'Rate Card'!$E$6,0)+IF('Rate Card'!$K$6="YES",'Rate Card'!$I$6,0)),2)</f>
        <v/>
      </c>
      <c r="H196" s="23">
        <f>IF(192&lt;=2,'Rate Card'!$AD$23,IF(192&lt;=5,'Rate Card'!$AE$23,IF(192&lt;=10,'Rate Card'!$AF$23,IF(192&lt;=15,'Rate Card'!$AG$23,IF(192&lt;=20,'Rate Card'!$AH$23,IF(192&lt;=35,'Rate Card'!$AH$23+(192-20)*'Rate Card'!$AI$23,'Rate Card'!$AK$23+(192-35)*'Rate Card'!$AJ$23))))))</f>
        <v/>
      </c>
      <c r="I196" s="23">
        <f>ROUND((IF(192&lt;=2,'Rate Card'!$AD$23,IF(192&lt;=5,'Rate Card'!$AE$23,IF(192&lt;=10,'Rate Card'!$AF$23,IF(192&lt;=15,'Rate Card'!$AG$23,IF(192&lt;=20,'Rate Card'!$AH$23,IF(192&lt;=35,'Rate Card'!$AH$23+(192-20)*'Rate Card'!$AI$23,'Rate Card'!$AK$23+(192-35)*'Rate Card'!$AJ$23)))))))*(1+'Rate Card'!$C$6),2)+ROUND(ROUND((IF(192&lt;=2,'Rate Card'!$AD$23,IF(192&lt;=5,'Rate Card'!$AE$23,IF(192&lt;=10,'Rate Card'!$AF$23,IF(192&lt;=15,'Rate Card'!$AG$23,IF(192&lt;=20,'Rate Card'!$AH$23,IF(192&lt;=35,'Rate Card'!$AH$23+(192-20)*'Rate Card'!$AI$23,'Rate Card'!$AK$23+(192-35)*'Rate Card'!$AJ$23)))))))*(1+'Rate Card'!$C$6),2)*(IF('Rate Card'!$G$6="YES",'Rate Card'!$E$6,0)+IF('Rate Card'!$K$6="YES",'Rate Card'!$I$6,0)),2)</f>
        <v/>
      </c>
      <c r="J196" s="10">
        <f>""</f>
        <v/>
      </c>
      <c r="K196" s="10">
        <f>""</f>
        <v/>
      </c>
      <c r="L196" s="10">
        <f>""</f>
        <v/>
      </c>
      <c r="M196" s="10">
        <f>""</f>
        <v/>
      </c>
      <c r="N196" s="23">
        <f>IF(192&lt;=2,'Rate Card'!$AD$119,IF(192&lt;=5,'Rate Card'!$AE$119,IF(192&lt;=10,'Rate Card'!$AF$119,IF(192&lt;=15,'Rate Card'!$AG$119,IF(192&lt;=20,'Rate Card'!$AH$119,IF(192&lt;=35,'Rate Card'!$AH$119+(192-20)*'Rate Card'!$AI$119,'Rate Card'!$AK$119+(192-35)*'Rate Card'!$AJ$119))))))</f>
        <v/>
      </c>
      <c r="O196" s="23">
        <f>ROUND((IF(192&lt;=2,'Rate Card'!$AD$119,IF(192&lt;=5,'Rate Card'!$AE$119,IF(192&lt;=10,'Rate Card'!$AF$119,IF(192&lt;=15,'Rate Card'!$AG$119,IF(192&lt;=20,'Rate Card'!$AH$119,IF(192&lt;=35,'Rate Card'!$AH$119+(192-20)*'Rate Card'!$AI$119,'Rate Card'!$AK$119+(192-35)*'Rate Card'!$AJ$119)))))))*(1+'Rate Card'!$C$6),2)+ROUND(ROUND((IF(192&lt;=2,'Rate Card'!$AD$119,IF(192&lt;=5,'Rate Card'!$AE$119,IF(192&lt;=10,'Rate Card'!$AF$119,IF(192&lt;=15,'Rate Card'!$AG$119,IF(192&lt;=20,'Rate Card'!$AH$119,IF(192&lt;=35,'Rate Card'!$AH$119+(192-20)*'Rate Card'!$AI$119,'Rate Card'!$AK$119+(192-35)*'Rate Card'!$AJ$119)))))))*(1+'Rate Card'!$C$6),2)*(IF('Rate Card'!$G$6="YES",'Rate Card'!$E$6,0)+IF('Rate Card'!$K$6="YES",'Rate Card'!$I$6,0)),2)</f>
        <v/>
      </c>
      <c r="P196" s="23">
        <f>IF(192&lt;=2,'Rate Card'!$AD$120,IF(192&lt;=5,'Rate Card'!$AE$120,IF(192&lt;=10,'Rate Card'!$AF$120,IF(192&lt;=15,'Rate Card'!$AG$120,IF(192&lt;=20,'Rate Card'!$AH$120,IF(192&lt;=35,'Rate Card'!$AH$120+(192-20)*'Rate Card'!$AI$120,'Rate Card'!$AK$120+(192-35)*'Rate Card'!$AJ$120))))))</f>
        <v/>
      </c>
      <c r="Q196" s="12">
        <f>ROUND((IF(192&lt;=2,'Rate Card'!$AD$120,IF(192&lt;=5,'Rate Card'!$AE$120,IF(192&lt;=10,'Rate Card'!$AF$120,IF(192&lt;=15,'Rate Card'!$AG$120,IF(192&lt;=20,'Rate Card'!$AH$120,IF(192&lt;=35,'Rate Card'!$AH$120+(192-20)*'Rate Card'!$AI$120,'Rate Card'!$AK$120+(192-35)*'Rate Card'!$AJ$120)))))))*(1+'Rate Card'!$C$6),2)+ROUND(ROUND((IF(192&lt;=2,'Rate Card'!$AD$120,IF(192&lt;=5,'Rate Card'!$AE$120,IF(192&lt;=10,'Rate Card'!$AF$120,IF(192&lt;=15,'Rate Card'!$AG$120,IF(192&lt;=20,'Rate Card'!$AH$120,IF(192&lt;=35,'Rate Card'!$AH$120+(192-20)*'Rate Card'!$AI$120,'Rate Card'!$AK$120+(192-35)*'Rate Card'!$AJ$120)))))))*(1+'Rate Card'!$C$6),2)*(IF('Rate Card'!$G$6="YES",'Rate Card'!$E$6,0)+IF('Rate Card'!$K$6="YES",'Rate Card'!$I$6,0)),2)</f>
        <v/>
      </c>
    </row>
    <row r="197">
      <c r="A197" s="75" t="n">
        <v>193</v>
      </c>
      <c r="B197" s="10">
        <f>""</f>
        <v/>
      </c>
      <c r="C197" s="10">
        <f>""</f>
        <v/>
      </c>
      <c r="D197" s="10">
        <f>""</f>
        <v/>
      </c>
      <c r="E197" s="10">
        <f>""</f>
        <v/>
      </c>
      <c r="F197" s="23">
        <f>IF(193&lt;=2,'Rate Card'!$AD$22,IF(193&lt;=5,'Rate Card'!$AE$22,IF(193&lt;=10,'Rate Card'!$AF$22,IF(193&lt;=15,'Rate Card'!$AG$22,IF(193&lt;=20,'Rate Card'!$AH$22,IF(193&lt;=35,'Rate Card'!$AH$22+(193-20)*'Rate Card'!$AI$22,'Rate Card'!$AK$22+(193-35)*'Rate Card'!$AJ$22))))))</f>
        <v/>
      </c>
      <c r="G197" s="23">
        <f>ROUND((IF(193&lt;=2,'Rate Card'!$AD$22,IF(193&lt;=5,'Rate Card'!$AE$22,IF(193&lt;=10,'Rate Card'!$AF$22,IF(193&lt;=15,'Rate Card'!$AG$22,IF(193&lt;=20,'Rate Card'!$AH$22,IF(193&lt;=35,'Rate Card'!$AH$22+(193-20)*'Rate Card'!$AI$22,'Rate Card'!$AK$22+(193-35)*'Rate Card'!$AJ$22)))))))*(1+'Rate Card'!$C$6),2)+ROUND(ROUND((IF(193&lt;=2,'Rate Card'!$AD$22,IF(193&lt;=5,'Rate Card'!$AE$22,IF(193&lt;=10,'Rate Card'!$AF$22,IF(193&lt;=15,'Rate Card'!$AG$22,IF(193&lt;=20,'Rate Card'!$AH$22,IF(193&lt;=35,'Rate Card'!$AH$22+(193-20)*'Rate Card'!$AI$22,'Rate Card'!$AK$22+(193-35)*'Rate Card'!$AJ$22)))))))*(1+'Rate Card'!$C$6),2)*(IF('Rate Card'!$G$6="YES",'Rate Card'!$E$6,0)+IF('Rate Card'!$K$6="YES",'Rate Card'!$I$6,0)),2)</f>
        <v/>
      </c>
      <c r="H197" s="23">
        <f>IF(193&lt;=2,'Rate Card'!$AD$23,IF(193&lt;=5,'Rate Card'!$AE$23,IF(193&lt;=10,'Rate Card'!$AF$23,IF(193&lt;=15,'Rate Card'!$AG$23,IF(193&lt;=20,'Rate Card'!$AH$23,IF(193&lt;=35,'Rate Card'!$AH$23+(193-20)*'Rate Card'!$AI$23,'Rate Card'!$AK$23+(193-35)*'Rate Card'!$AJ$23))))))</f>
        <v/>
      </c>
      <c r="I197" s="23">
        <f>ROUND((IF(193&lt;=2,'Rate Card'!$AD$23,IF(193&lt;=5,'Rate Card'!$AE$23,IF(193&lt;=10,'Rate Card'!$AF$23,IF(193&lt;=15,'Rate Card'!$AG$23,IF(193&lt;=20,'Rate Card'!$AH$23,IF(193&lt;=35,'Rate Card'!$AH$23+(193-20)*'Rate Card'!$AI$23,'Rate Card'!$AK$23+(193-35)*'Rate Card'!$AJ$23)))))))*(1+'Rate Card'!$C$6),2)+ROUND(ROUND((IF(193&lt;=2,'Rate Card'!$AD$23,IF(193&lt;=5,'Rate Card'!$AE$23,IF(193&lt;=10,'Rate Card'!$AF$23,IF(193&lt;=15,'Rate Card'!$AG$23,IF(193&lt;=20,'Rate Card'!$AH$23,IF(193&lt;=35,'Rate Card'!$AH$23+(193-20)*'Rate Card'!$AI$23,'Rate Card'!$AK$23+(193-35)*'Rate Card'!$AJ$23)))))))*(1+'Rate Card'!$C$6),2)*(IF('Rate Card'!$G$6="YES",'Rate Card'!$E$6,0)+IF('Rate Card'!$K$6="YES",'Rate Card'!$I$6,0)),2)</f>
        <v/>
      </c>
      <c r="J197" s="10">
        <f>""</f>
        <v/>
      </c>
      <c r="K197" s="10">
        <f>""</f>
        <v/>
      </c>
      <c r="L197" s="10">
        <f>""</f>
        <v/>
      </c>
      <c r="M197" s="10">
        <f>""</f>
        <v/>
      </c>
      <c r="N197" s="23">
        <f>IF(193&lt;=2,'Rate Card'!$AD$119,IF(193&lt;=5,'Rate Card'!$AE$119,IF(193&lt;=10,'Rate Card'!$AF$119,IF(193&lt;=15,'Rate Card'!$AG$119,IF(193&lt;=20,'Rate Card'!$AH$119,IF(193&lt;=35,'Rate Card'!$AH$119+(193-20)*'Rate Card'!$AI$119,'Rate Card'!$AK$119+(193-35)*'Rate Card'!$AJ$119))))))</f>
        <v/>
      </c>
      <c r="O197" s="23">
        <f>ROUND((IF(193&lt;=2,'Rate Card'!$AD$119,IF(193&lt;=5,'Rate Card'!$AE$119,IF(193&lt;=10,'Rate Card'!$AF$119,IF(193&lt;=15,'Rate Card'!$AG$119,IF(193&lt;=20,'Rate Card'!$AH$119,IF(193&lt;=35,'Rate Card'!$AH$119+(193-20)*'Rate Card'!$AI$119,'Rate Card'!$AK$119+(193-35)*'Rate Card'!$AJ$119)))))))*(1+'Rate Card'!$C$6),2)+ROUND(ROUND((IF(193&lt;=2,'Rate Card'!$AD$119,IF(193&lt;=5,'Rate Card'!$AE$119,IF(193&lt;=10,'Rate Card'!$AF$119,IF(193&lt;=15,'Rate Card'!$AG$119,IF(193&lt;=20,'Rate Card'!$AH$119,IF(193&lt;=35,'Rate Card'!$AH$119+(193-20)*'Rate Card'!$AI$119,'Rate Card'!$AK$119+(193-35)*'Rate Card'!$AJ$119)))))))*(1+'Rate Card'!$C$6),2)*(IF('Rate Card'!$G$6="YES",'Rate Card'!$E$6,0)+IF('Rate Card'!$K$6="YES",'Rate Card'!$I$6,0)),2)</f>
        <v/>
      </c>
      <c r="P197" s="23">
        <f>IF(193&lt;=2,'Rate Card'!$AD$120,IF(193&lt;=5,'Rate Card'!$AE$120,IF(193&lt;=10,'Rate Card'!$AF$120,IF(193&lt;=15,'Rate Card'!$AG$120,IF(193&lt;=20,'Rate Card'!$AH$120,IF(193&lt;=35,'Rate Card'!$AH$120+(193-20)*'Rate Card'!$AI$120,'Rate Card'!$AK$120+(193-35)*'Rate Card'!$AJ$120))))))</f>
        <v/>
      </c>
      <c r="Q197" s="12">
        <f>ROUND((IF(193&lt;=2,'Rate Card'!$AD$120,IF(193&lt;=5,'Rate Card'!$AE$120,IF(193&lt;=10,'Rate Card'!$AF$120,IF(193&lt;=15,'Rate Card'!$AG$120,IF(193&lt;=20,'Rate Card'!$AH$120,IF(193&lt;=35,'Rate Card'!$AH$120+(193-20)*'Rate Card'!$AI$120,'Rate Card'!$AK$120+(193-35)*'Rate Card'!$AJ$120)))))))*(1+'Rate Card'!$C$6),2)+ROUND(ROUND((IF(193&lt;=2,'Rate Card'!$AD$120,IF(193&lt;=5,'Rate Card'!$AE$120,IF(193&lt;=10,'Rate Card'!$AF$120,IF(193&lt;=15,'Rate Card'!$AG$120,IF(193&lt;=20,'Rate Card'!$AH$120,IF(193&lt;=35,'Rate Card'!$AH$120+(193-20)*'Rate Card'!$AI$120,'Rate Card'!$AK$120+(193-35)*'Rate Card'!$AJ$120)))))))*(1+'Rate Card'!$C$6),2)*(IF('Rate Card'!$G$6="YES",'Rate Card'!$E$6,0)+IF('Rate Card'!$K$6="YES",'Rate Card'!$I$6,0)),2)</f>
        <v/>
      </c>
    </row>
    <row r="198">
      <c r="A198" s="75" t="n">
        <v>194</v>
      </c>
      <c r="B198" s="10">
        <f>""</f>
        <v/>
      </c>
      <c r="C198" s="10">
        <f>""</f>
        <v/>
      </c>
      <c r="D198" s="10">
        <f>""</f>
        <v/>
      </c>
      <c r="E198" s="10">
        <f>""</f>
        <v/>
      </c>
      <c r="F198" s="23">
        <f>IF(194&lt;=2,'Rate Card'!$AD$22,IF(194&lt;=5,'Rate Card'!$AE$22,IF(194&lt;=10,'Rate Card'!$AF$22,IF(194&lt;=15,'Rate Card'!$AG$22,IF(194&lt;=20,'Rate Card'!$AH$22,IF(194&lt;=35,'Rate Card'!$AH$22+(194-20)*'Rate Card'!$AI$22,'Rate Card'!$AK$22+(194-35)*'Rate Card'!$AJ$22))))))</f>
        <v/>
      </c>
      <c r="G198" s="23">
        <f>ROUND((IF(194&lt;=2,'Rate Card'!$AD$22,IF(194&lt;=5,'Rate Card'!$AE$22,IF(194&lt;=10,'Rate Card'!$AF$22,IF(194&lt;=15,'Rate Card'!$AG$22,IF(194&lt;=20,'Rate Card'!$AH$22,IF(194&lt;=35,'Rate Card'!$AH$22+(194-20)*'Rate Card'!$AI$22,'Rate Card'!$AK$22+(194-35)*'Rate Card'!$AJ$22)))))))*(1+'Rate Card'!$C$6),2)+ROUND(ROUND((IF(194&lt;=2,'Rate Card'!$AD$22,IF(194&lt;=5,'Rate Card'!$AE$22,IF(194&lt;=10,'Rate Card'!$AF$22,IF(194&lt;=15,'Rate Card'!$AG$22,IF(194&lt;=20,'Rate Card'!$AH$22,IF(194&lt;=35,'Rate Card'!$AH$22+(194-20)*'Rate Card'!$AI$22,'Rate Card'!$AK$22+(194-35)*'Rate Card'!$AJ$22)))))))*(1+'Rate Card'!$C$6),2)*(IF('Rate Card'!$G$6="YES",'Rate Card'!$E$6,0)+IF('Rate Card'!$K$6="YES",'Rate Card'!$I$6,0)),2)</f>
        <v/>
      </c>
      <c r="H198" s="23">
        <f>IF(194&lt;=2,'Rate Card'!$AD$23,IF(194&lt;=5,'Rate Card'!$AE$23,IF(194&lt;=10,'Rate Card'!$AF$23,IF(194&lt;=15,'Rate Card'!$AG$23,IF(194&lt;=20,'Rate Card'!$AH$23,IF(194&lt;=35,'Rate Card'!$AH$23+(194-20)*'Rate Card'!$AI$23,'Rate Card'!$AK$23+(194-35)*'Rate Card'!$AJ$23))))))</f>
        <v/>
      </c>
      <c r="I198" s="23">
        <f>ROUND((IF(194&lt;=2,'Rate Card'!$AD$23,IF(194&lt;=5,'Rate Card'!$AE$23,IF(194&lt;=10,'Rate Card'!$AF$23,IF(194&lt;=15,'Rate Card'!$AG$23,IF(194&lt;=20,'Rate Card'!$AH$23,IF(194&lt;=35,'Rate Card'!$AH$23+(194-20)*'Rate Card'!$AI$23,'Rate Card'!$AK$23+(194-35)*'Rate Card'!$AJ$23)))))))*(1+'Rate Card'!$C$6),2)+ROUND(ROUND((IF(194&lt;=2,'Rate Card'!$AD$23,IF(194&lt;=5,'Rate Card'!$AE$23,IF(194&lt;=10,'Rate Card'!$AF$23,IF(194&lt;=15,'Rate Card'!$AG$23,IF(194&lt;=20,'Rate Card'!$AH$23,IF(194&lt;=35,'Rate Card'!$AH$23+(194-20)*'Rate Card'!$AI$23,'Rate Card'!$AK$23+(194-35)*'Rate Card'!$AJ$23)))))))*(1+'Rate Card'!$C$6),2)*(IF('Rate Card'!$G$6="YES",'Rate Card'!$E$6,0)+IF('Rate Card'!$K$6="YES",'Rate Card'!$I$6,0)),2)</f>
        <v/>
      </c>
      <c r="J198" s="10">
        <f>""</f>
        <v/>
      </c>
      <c r="K198" s="10">
        <f>""</f>
        <v/>
      </c>
      <c r="L198" s="10">
        <f>""</f>
        <v/>
      </c>
      <c r="M198" s="10">
        <f>""</f>
        <v/>
      </c>
      <c r="N198" s="23">
        <f>IF(194&lt;=2,'Rate Card'!$AD$119,IF(194&lt;=5,'Rate Card'!$AE$119,IF(194&lt;=10,'Rate Card'!$AF$119,IF(194&lt;=15,'Rate Card'!$AG$119,IF(194&lt;=20,'Rate Card'!$AH$119,IF(194&lt;=35,'Rate Card'!$AH$119+(194-20)*'Rate Card'!$AI$119,'Rate Card'!$AK$119+(194-35)*'Rate Card'!$AJ$119))))))</f>
        <v/>
      </c>
      <c r="O198" s="23">
        <f>ROUND((IF(194&lt;=2,'Rate Card'!$AD$119,IF(194&lt;=5,'Rate Card'!$AE$119,IF(194&lt;=10,'Rate Card'!$AF$119,IF(194&lt;=15,'Rate Card'!$AG$119,IF(194&lt;=20,'Rate Card'!$AH$119,IF(194&lt;=35,'Rate Card'!$AH$119+(194-20)*'Rate Card'!$AI$119,'Rate Card'!$AK$119+(194-35)*'Rate Card'!$AJ$119)))))))*(1+'Rate Card'!$C$6),2)+ROUND(ROUND((IF(194&lt;=2,'Rate Card'!$AD$119,IF(194&lt;=5,'Rate Card'!$AE$119,IF(194&lt;=10,'Rate Card'!$AF$119,IF(194&lt;=15,'Rate Card'!$AG$119,IF(194&lt;=20,'Rate Card'!$AH$119,IF(194&lt;=35,'Rate Card'!$AH$119+(194-20)*'Rate Card'!$AI$119,'Rate Card'!$AK$119+(194-35)*'Rate Card'!$AJ$119)))))))*(1+'Rate Card'!$C$6),2)*(IF('Rate Card'!$G$6="YES",'Rate Card'!$E$6,0)+IF('Rate Card'!$K$6="YES",'Rate Card'!$I$6,0)),2)</f>
        <v/>
      </c>
      <c r="P198" s="23">
        <f>IF(194&lt;=2,'Rate Card'!$AD$120,IF(194&lt;=5,'Rate Card'!$AE$120,IF(194&lt;=10,'Rate Card'!$AF$120,IF(194&lt;=15,'Rate Card'!$AG$120,IF(194&lt;=20,'Rate Card'!$AH$120,IF(194&lt;=35,'Rate Card'!$AH$120+(194-20)*'Rate Card'!$AI$120,'Rate Card'!$AK$120+(194-35)*'Rate Card'!$AJ$120))))))</f>
        <v/>
      </c>
      <c r="Q198" s="12">
        <f>ROUND((IF(194&lt;=2,'Rate Card'!$AD$120,IF(194&lt;=5,'Rate Card'!$AE$120,IF(194&lt;=10,'Rate Card'!$AF$120,IF(194&lt;=15,'Rate Card'!$AG$120,IF(194&lt;=20,'Rate Card'!$AH$120,IF(194&lt;=35,'Rate Card'!$AH$120+(194-20)*'Rate Card'!$AI$120,'Rate Card'!$AK$120+(194-35)*'Rate Card'!$AJ$120)))))))*(1+'Rate Card'!$C$6),2)+ROUND(ROUND((IF(194&lt;=2,'Rate Card'!$AD$120,IF(194&lt;=5,'Rate Card'!$AE$120,IF(194&lt;=10,'Rate Card'!$AF$120,IF(194&lt;=15,'Rate Card'!$AG$120,IF(194&lt;=20,'Rate Card'!$AH$120,IF(194&lt;=35,'Rate Card'!$AH$120+(194-20)*'Rate Card'!$AI$120,'Rate Card'!$AK$120+(194-35)*'Rate Card'!$AJ$120)))))))*(1+'Rate Card'!$C$6),2)*(IF('Rate Card'!$G$6="YES",'Rate Card'!$E$6,0)+IF('Rate Card'!$K$6="YES",'Rate Card'!$I$6,0)),2)</f>
        <v/>
      </c>
    </row>
    <row r="199">
      <c r="A199" s="75" t="n">
        <v>195</v>
      </c>
      <c r="B199" s="10">
        <f>""</f>
        <v/>
      </c>
      <c r="C199" s="10">
        <f>""</f>
        <v/>
      </c>
      <c r="D199" s="10">
        <f>""</f>
        <v/>
      </c>
      <c r="E199" s="10">
        <f>""</f>
        <v/>
      </c>
      <c r="F199" s="23">
        <f>IF(195&lt;=2,'Rate Card'!$AD$22,IF(195&lt;=5,'Rate Card'!$AE$22,IF(195&lt;=10,'Rate Card'!$AF$22,IF(195&lt;=15,'Rate Card'!$AG$22,IF(195&lt;=20,'Rate Card'!$AH$22,IF(195&lt;=35,'Rate Card'!$AH$22+(195-20)*'Rate Card'!$AI$22,'Rate Card'!$AK$22+(195-35)*'Rate Card'!$AJ$22))))))</f>
        <v/>
      </c>
      <c r="G199" s="23">
        <f>ROUND((IF(195&lt;=2,'Rate Card'!$AD$22,IF(195&lt;=5,'Rate Card'!$AE$22,IF(195&lt;=10,'Rate Card'!$AF$22,IF(195&lt;=15,'Rate Card'!$AG$22,IF(195&lt;=20,'Rate Card'!$AH$22,IF(195&lt;=35,'Rate Card'!$AH$22+(195-20)*'Rate Card'!$AI$22,'Rate Card'!$AK$22+(195-35)*'Rate Card'!$AJ$22)))))))*(1+'Rate Card'!$C$6),2)+ROUND(ROUND((IF(195&lt;=2,'Rate Card'!$AD$22,IF(195&lt;=5,'Rate Card'!$AE$22,IF(195&lt;=10,'Rate Card'!$AF$22,IF(195&lt;=15,'Rate Card'!$AG$22,IF(195&lt;=20,'Rate Card'!$AH$22,IF(195&lt;=35,'Rate Card'!$AH$22+(195-20)*'Rate Card'!$AI$22,'Rate Card'!$AK$22+(195-35)*'Rate Card'!$AJ$22)))))))*(1+'Rate Card'!$C$6),2)*(IF('Rate Card'!$G$6="YES",'Rate Card'!$E$6,0)+IF('Rate Card'!$K$6="YES",'Rate Card'!$I$6,0)),2)</f>
        <v/>
      </c>
      <c r="H199" s="23">
        <f>IF(195&lt;=2,'Rate Card'!$AD$23,IF(195&lt;=5,'Rate Card'!$AE$23,IF(195&lt;=10,'Rate Card'!$AF$23,IF(195&lt;=15,'Rate Card'!$AG$23,IF(195&lt;=20,'Rate Card'!$AH$23,IF(195&lt;=35,'Rate Card'!$AH$23+(195-20)*'Rate Card'!$AI$23,'Rate Card'!$AK$23+(195-35)*'Rate Card'!$AJ$23))))))</f>
        <v/>
      </c>
      <c r="I199" s="23">
        <f>ROUND((IF(195&lt;=2,'Rate Card'!$AD$23,IF(195&lt;=5,'Rate Card'!$AE$23,IF(195&lt;=10,'Rate Card'!$AF$23,IF(195&lt;=15,'Rate Card'!$AG$23,IF(195&lt;=20,'Rate Card'!$AH$23,IF(195&lt;=35,'Rate Card'!$AH$23+(195-20)*'Rate Card'!$AI$23,'Rate Card'!$AK$23+(195-35)*'Rate Card'!$AJ$23)))))))*(1+'Rate Card'!$C$6),2)+ROUND(ROUND((IF(195&lt;=2,'Rate Card'!$AD$23,IF(195&lt;=5,'Rate Card'!$AE$23,IF(195&lt;=10,'Rate Card'!$AF$23,IF(195&lt;=15,'Rate Card'!$AG$23,IF(195&lt;=20,'Rate Card'!$AH$23,IF(195&lt;=35,'Rate Card'!$AH$23+(195-20)*'Rate Card'!$AI$23,'Rate Card'!$AK$23+(195-35)*'Rate Card'!$AJ$23)))))))*(1+'Rate Card'!$C$6),2)*(IF('Rate Card'!$G$6="YES",'Rate Card'!$E$6,0)+IF('Rate Card'!$K$6="YES",'Rate Card'!$I$6,0)),2)</f>
        <v/>
      </c>
      <c r="J199" s="10">
        <f>""</f>
        <v/>
      </c>
      <c r="K199" s="10">
        <f>""</f>
        <v/>
      </c>
      <c r="L199" s="10">
        <f>""</f>
        <v/>
      </c>
      <c r="M199" s="10">
        <f>""</f>
        <v/>
      </c>
      <c r="N199" s="23">
        <f>IF(195&lt;=2,'Rate Card'!$AD$119,IF(195&lt;=5,'Rate Card'!$AE$119,IF(195&lt;=10,'Rate Card'!$AF$119,IF(195&lt;=15,'Rate Card'!$AG$119,IF(195&lt;=20,'Rate Card'!$AH$119,IF(195&lt;=35,'Rate Card'!$AH$119+(195-20)*'Rate Card'!$AI$119,'Rate Card'!$AK$119+(195-35)*'Rate Card'!$AJ$119))))))</f>
        <v/>
      </c>
      <c r="O199" s="23">
        <f>ROUND((IF(195&lt;=2,'Rate Card'!$AD$119,IF(195&lt;=5,'Rate Card'!$AE$119,IF(195&lt;=10,'Rate Card'!$AF$119,IF(195&lt;=15,'Rate Card'!$AG$119,IF(195&lt;=20,'Rate Card'!$AH$119,IF(195&lt;=35,'Rate Card'!$AH$119+(195-20)*'Rate Card'!$AI$119,'Rate Card'!$AK$119+(195-35)*'Rate Card'!$AJ$119)))))))*(1+'Rate Card'!$C$6),2)+ROUND(ROUND((IF(195&lt;=2,'Rate Card'!$AD$119,IF(195&lt;=5,'Rate Card'!$AE$119,IF(195&lt;=10,'Rate Card'!$AF$119,IF(195&lt;=15,'Rate Card'!$AG$119,IF(195&lt;=20,'Rate Card'!$AH$119,IF(195&lt;=35,'Rate Card'!$AH$119+(195-20)*'Rate Card'!$AI$119,'Rate Card'!$AK$119+(195-35)*'Rate Card'!$AJ$119)))))))*(1+'Rate Card'!$C$6),2)*(IF('Rate Card'!$G$6="YES",'Rate Card'!$E$6,0)+IF('Rate Card'!$K$6="YES",'Rate Card'!$I$6,0)),2)</f>
        <v/>
      </c>
      <c r="P199" s="23">
        <f>IF(195&lt;=2,'Rate Card'!$AD$120,IF(195&lt;=5,'Rate Card'!$AE$120,IF(195&lt;=10,'Rate Card'!$AF$120,IF(195&lt;=15,'Rate Card'!$AG$120,IF(195&lt;=20,'Rate Card'!$AH$120,IF(195&lt;=35,'Rate Card'!$AH$120+(195-20)*'Rate Card'!$AI$120,'Rate Card'!$AK$120+(195-35)*'Rate Card'!$AJ$120))))))</f>
        <v/>
      </c>
      <c r="Q199" s="12">
        <f>ROUND((IF(195&lt;=2,'Rate Card'!$AD$120,IF(195&lt;=5,'Rate Card'!$AE$120,IF(195&lt;=10,'Rate Card'!$AF$120,IF(195&lt;=15,'Rate Card'!$AG$120,IF(195&lt;=20,'Rate Card'!$AH$120,IF(195&lt;=35,'Rate Card'!$AH$120+(195-20)*'Rate Card'!$AI$120,'Rate Card'!$AK$120+(195-35)*'Rate Card'!$AJ$120)))))))*(1+'Rate Card'!$C$6),2)+ROUND(ROUND((IF(195&lt;=2,'Rate Card'!$AD$120,IF(195&lt;=5,'Rate Card'!$AE$120,IF(195&lt;=10,'Rate Card'!$AF$120,IF(195&lt;=15,'Rate Card'!$AG$120,IF(195&lt;=20,'Rate Card'!$AH$120,IF(195&lt;=35,'Rate Card'!$AH$120+(195-20)*'Rate Card'!$AI$120,'Rate Card'!$AK$120+(195-35)*'Rate Card'!$AJ$120)))))))*(1+'Rate Card'!$C$6),2)*(IF('Rate Card'!$G$6="YES",'Rate Card'!$E$6,0)+IF('Rate Card'!$K$6="YES",'Rate Card'!$I$6,0)),2)</f>
        <v/>
      </c>
    </row>
    <row r="200">
      <c r="A200" s="75" t="n">
        <v>196</v>
      </c>
      <c r="B200" s="10">
        <f>""</f>
        <v/>
      </c>
      <c r="C200" s="10">
        <f>""</f>
        <v/>
      </c>
      <c r="D200" s="10">
        <f>""</f>
        <v/>
      </c>
      <c r="E200" s="10">
        <f>""</f>
        <v/>
      </c>
      <c r="F200" s="23">
        <f>IF(196&lt;=2,'Rate Card'!$AD$22,IF(196&lt;=5,'Rate Card'!$AE$22,IF(196&lt;=10,'Rate Card'!$AF$22,IF(196&lt;=15,'Rate Card'!$AG$22,IF(196&lt;=20,'Rate Card'!$AH$22,IF(196&lt;=35,'Rate Card'!$AH$22+(196-20)*'Rate Card'!$AI$22,'Rate Card'!$AK$22+(196-35)*'Rate Card'!$AJ$22))))))</f>
        <v/>
      </c>
      <c r="G200" s="23">
        <f>ROUND((IF(196&lt;=2,'Rate Card'!$AD$22,IF(196&lt;=5,'Rate Card'!$AE$22,IF(196&lt;=10,'Rate Card'!$AF$22,IF(196&lt;=15,'Rate Card'!$AG$22,IF(196&lt;=20,'Rate Card'!$AH$22,IF(196&lt;=35,'Rate Card'!$AH$22+(196-20)*'Rate Card'!$AI$22,'Rate Card'!$AK$22+(196-35)*'Rate Card'!$AJ$22)))))))*(1+'Rate Card'!$C$6),2)+ROUND(ROUND((IF(196&lt;=2,'Rate Card'!$AD$22,IF(196&lt;=5,'Rate Card'!$AE$22,IF(196&lt;=10,'Rate Card'!$AF$22,IF(196&lt;=15,'Rate Card'!$AG$22,IF(196&lt;=20,'Rate Card'!$AH$22,IF(196&lt;=35,'Rate Card'!$AH$22+(196-20)*'Rate Card'!$AI$22,'Rate Card'!$AK$22+(196-35)*'Rate Card'!$AJ$22)))))))*(1+'Rate Card'!$C$6),2)*(IF('Rate Card'!$G$6="YES",'Rate Card'!$E$6,0)+IF('Rate Card'!$K$6="YES",'Rate Card'!$I$6,0)),2)</f>
        <v/>
      </c>
      <c r="H200" s="23">
        <f>IF(196&lt;=2,'Rate Card'!$AD$23,IF(196&lt;=5,'Rate Card'!$AE$23,IF(196&lt;=10,'Rate Card'!$AF$23,IF(196&lt;=15,'Rate Card'!$AG$23,IF(196&lt;=20,'Rate Card'!$AH$23,IF(196&lt;=35,'Rate Card'!$AH$23+(196-20)*'Rate Card'!$AI$23,'Rate Card'!$AK$23+(196-35)*'Rate Card'!$AJ$23))))))</f>
        <v/>
      </c>
      <c r="I200" s="23">
        <f>ROUND((IF(196&lt;=2,'Rate Card'!$AD$23,IF(196&lt;=5,'Rate Card'!$AE$23,IF(196&lt;=10,'Rate Card'!$AF$23,IF(196&lt;=15,'Rate Card'!$AG$23,IF(196&lt;=20,'Rate Card'!$AH$23,IF(196&lt;=35,'Rate Card'!$AH$23+(196-20)*'Rate Card'!$AI$23,'Rate Card'!$AK$23+(196-35)*'Rate Card'!$AJ$23)))))))*(1+'Rate Card'!$C$6),2)+ROUND(ROUND((IF(196&lt;=2,'Rate Card'!$AD$23,IF(196&lt;=5,'Rate Card'!$AE$23,IF(196&lt;=10,'Rate Card'!$AF$23,IF(196&lt;=15,'Rate Card'!$AG$23,IF(196&lt;=20,'Rate Card'!$AH$23,IF(196&lt;=35,'Rate Card'!$AH$23+(196-20)*'Rate Card'!$AI$23,'Rate Card'!$AK$23+(196-35)*'Rate Card'!$AJ$23)))))))*(1+'Rate Card'!$C$6),2)*(IF('Rate Card'!$G$6="YES",'Rate Card'!$E$6,0)+IF('Rate Card'!$K$6="YES",'Rate Card'!$I$6,0)),2)</f>
        <v/>
      </c>
      <c r="J200" s="10">
        <f>""</f>
        <v/>
      </c>
      <c r="K200" s="10">
        <f>""</f>
        <v/>
      </c>
      <c r="L200" s="10">
        <f>""</f>
        <v/>
      </c>
      <c r="M200" s="10">
        <f>""</f>
        <v/>
      </c>
      <c r="N200" s="23">
        <f>IF(196&lt;=2,'Rate Card'!$AD$119,IF(196&lt;=5,'Rate Card'!$AE$119,IF(196&lt;=10,'Rate Card'!$AF$119,IF(196&lt;=15,'Rate Card'!$AG$119,IF(196&lt;=20,'Rate Card'!$AH$119,IF(196&lt;=35,'Rate Card'!$AH$119+(196-20)*'Rate Card'!$AI$119,'Rate Card'!$AK$119+(196-35)*'Rate Card'!$AJ$119))))))</f>
        <v/>
      </c>
      <c r="O200" s="23">
        <f>ROUND((IF(196&lt;=2,'Rate Card'!$AD$119,IF(196&lt;=5,'Rate Card'!$AE$119,IF(196&lt;=10,'Rate Card'!$AF$119,IF(196&lt;=15,'Rate Card'!$AG$119,IF(196&lt;=20,'Rate Card'!$AH$119,IF(196&lt;=35,'Rate Card'!$AH$119+(196-20)*'Rate Card'!$AI$119,'Rate Card'!$AK$119+(196-35)*'Rate Card'!$AJ$119)))))))*(1+'Rate Card'!$C$6),2)+ROUND(ROUND((IF(196&lt;=2,'Rate Card'!$AD$119,IF(196&lt;=5,'Rate Card'!$AE$119,IF(196&lt;=10,'Rate Card'!$AF$119,IF(196&lt;=15,'Rate Card'!$AG$119,IF(196&lt;=20,'Rate Card'!$AH$119,IF(196&lt;=35,'Rate Card'!$AH$119+(196-20)*'Rate Card'!$AI$119,'Rate Card'!$AK$119+(196-35)*'Rate Card'!$AJ$119)))))))*(1+'Rate Card'!$C$6),2)*(IF('Rate Card'!$G$6="YES",'Rate Card'!$E$6,0)+IF('Rate Card'!$K$6="YES",'Rate Card'!$I$6,0)),2)</f>
        <v/>
      </c>
      <c r="P200" s="23">
        <f>IF(196&lt;=2,'Rate Card'!$AD$120,IF(196&lt;=5,'Rate Card'!$AE$120,IF(196&lt;=10,'Rate Card'!$AF$120,IF(196&lt;=15,'Rate Card'!$AG$120,IF(196&lt;=20,'Rate Card'!$AH$120,IF(196&lt;=35,'Rate Card'!$AH$120+(196-20)*'Rate Card'!$AI$120,'Rate Card'!$AK$120+(196-35)*'Rate Card'!$AJ$120))))))</f>
        <v/>
      </c>
      <c r="Q200" s="12">
        <f>ROUND((IF(196&lt;=2,'Rate Card'!$AD$120,IF(196&lt;=5,'Rate Card'!$AE$120,IF(196&lt;=10,'Rate Card'!$AF$120,IF(196&lt;=15,'Rate Card'!$AG$120,IF(196&lt;=20,'Rate Card'!$AH$120,IF(196&lt;=35,'Rate Card'!$AH$120+(196-20)*'Rate Card'!$AI$120,'Rate Card'!$AK$120+(196-35)*'Rate Card'!$AJ$120)))))))*(1+'Rate Card'!$C$6),2)+ROUND(ROUND((IF(196&lt;=2,'Rate Card'!$AD$120,IF(196&lt;=5,'Rate Card'!$AE$120,IF(196&lt;=10,'Rate Card'!$AF$120,IF(196&lt;=15,'Rate Card'!$AG$120,IF(196&lt;=20,'Rate Card'!$AH$120,IF(196&lt;=35,'Rate Card'!$AH$120+(196-20)*'Rate Card'!$AI$120,'Rate Card'!$AK$120+(196-35)*'Rate Card'!$AJ$120)))))))*(1+'Rate Card'!$C$6),2)*(IF('Rate Card'!$G$6="YES",'Rate Card'!$E$6,0)+IF('Rate Card'!$K$6="YES",'Rate Card'!$I$6,0)),2)</f>
        <v/>
      </c>
    </row>
    <row r="201">
      <c r="A201" s="75" t="n">
        <v>197</v>
      </c>
      <c r="B201" s="10">
        <f>""</f>
        <v/>
      </c>
      <c r="C201" s="10">
        <f>""</f>
        <v/>
      </c>
      <c r="D201" s="10">
        <f>""</f>
        <v/>
      </c>
      <c r="E201" s="10">
        <f>""</f>
        <v/>
      </c>
      <c r="F201" s="23">
        <f>IF(197&lt;=2,'Rate Card'!$AD$22,IF(197&lt;=5,'Rate Card'!$AE$22,IF(197&lt;=10,'Rate Card'!$AF$22,IF(197&lt;=15,'Rate Card'!$AG$22,IF(197&lt;=20,'Rate Card'!$AH$22,IF(197&lt;=35,'Rate Card'!$AH$22+(197-20)*'Rate Card'!$AI$22,'Rate Card'!$AK$22+(197-35)*'Rate Card'!$AJ$22))))))</f>
        <v/>
      </c>
      <c r="G201" s="23">
        <f>ROUND((IF(197&lt;=2,'Rate Card'!$AD$22,IF(197&lt;=5,'Rate Card'!$AE$22,IF(197&lt;=10,'Rate Card'!$AF$22,IF(197&lt;=15,'Rate Card'!$AG$22,IF(197&lt;=20,'Rate Card'!$AH$22,IF(197&lt;=35,'Rate Card'!$AH$22+(197-20)*'Rate Card'!$AI$22,'Rate Card'!$AK$22+(197-35)*'Rate Card'!$AJ$22)))))))*(1+'Rate Card'!$C$6),2)+ROUND(ROUND((IF(197&lt;=2,'Rate Card'!$AD$22,IF(197&lt;=5,'Rate Card'!$AE$22,IF(197&lt;=10,'Rate Card'!$AF$22,IF(197&lt;=15,'Rate Card'!$AG$22,IF(197&lt;=20,'Rate Card'!$AH$22,IF(197&lt;=35,'Rate Card'!$AH$22+(197-20)*'Rate Card'!$AI$22,'Rate Card'!$AK$22+(197-35)*'Rate Card'!$AJ$22)))))))*(1+'Rate Card'!$C$6),2)*(IF('Rate Card'!$G$6="YES",'Rate Card'!$E$6,0)+IF('Rate Card'!$K$6="YES",'Rate Card'!$I$6,0)),2)</f>
        <v/>
      </c>
      <c r="H201" s="23">
        <f>IF(197&lt;=2,'Rate Card'!$AD$23,IF(197&lt;=5,'Rate Card'!$AE$23,IF(197&lt;=10,'Rate Card'!$AF$23,IF(197&lt;=15,'Rate Card'!$AG$23,IF(197&lt;=20,'Rate Card'!$AH$23,IF(197&lt;=35,'Rate Card'!$AH$23+(197-20)*'Rate Card'!$AI$23,'Rate Card'!$AK$23+(197-35)*'Rate Card'!$AJ$23))))))</f>
        <v/>
      </c>
      <c r="I201" s="23">
        <f>ROUND((IF(197&lt;=2,'Rate Card'!$AD$23,IF(197&lt;=5,'Rate Card'!$AE$23,IF(197&lt;=10,'Rate Card'!$AF$23,IF(197&lt;=15,'Rate Card'!$AG$23,IF(197&lt;=20,'Rate Card'!$AH$23,IF(197&lt;=35,'Rate Card'!$AH$23+(197-20)*'Rate Card'!$AI$23,'Rate Card'!$AK$23+(197-35)*'Rate Card'!$AJ$23)))))))*(1+'Rate Card'!$C$6),2)+ROUND(ROUND((IF(197&lt;=2,'Rate Card'!$AD$23,IF(197&lt;=5,'Rate Card'!$AE$23,IF(197&lt;=10,'Rate Card'!$AF$23,IF(197&lt;=15,'Rate Card'!$AG$23,IF(197&lt;=20,'Rate Card'!$AH$23,IF(197&lt;=35,'Rate Card'!$AH$23+(197-20)*'Rate Card'!$AI$23,'Rate Card'!$AK$23+(197-35)*'Rate Card'!$AJ$23)))))))*(1+'Rate Card'!$C$6),2)*(IF('Rate Card'!$G$6="YES",'Rate Card'!$E$6,0)+IF('Rate Card'!$K$6="YES",'Rate Card'!$I$6,0)),2)</f>
        <v/>
      </c>
      <c r="J201" s="10">
        <f>""</f>
        <v/>
      </c>
      <c r="K201" s="10">
        <f>""</f>
        <v/>
      </c>
      <c r="L201" s="10">
        <f>""</f>
        <v/>
      </c>
      <c r="M201" s="10">
        <f>""</f>
        <v/>
      </c>
      <c r="N201" s="23">
        <f>IF(197&lt;=2,'Rate Card'!$AD$119,IF(197&lt;=5,'Rate Card'!$AE$119,IF(197&lt;=10,'Rate Card'!$AF$119,IF(197&lt;=15,'Rate Card'!$AG$119,IF(197&lt;=20,'Rate Card'!$AH$119,IF(197&lt;=35,'Rate Card'!$AH$119+(197-20)*'Rate Card'!$AI$119,'Rate Card'!$AK$119+(197-35)*'Rate Card'!$AJ$119))))))</f>
        <v/>
      </c>
      <c r="O201" s="23">
        <f>ROUND((IF(197&lt;=2,'Rate Card'!$AD$119,IF(197&lt;=5,'Rate Card'!$AE$119,IF(197&lt;=10,'Rate Card'!$AF$119,IF(197&lt;=15,'Rate Card'!$AG$119,IF(197&lt;=20,'Rate Card'!$AH$119,IF(197&lt;=35,'Rate Card'!$AH$119+(197-20)*'Rate Card'!$AI$119,'Rate Card'!$AK$119+(197-35)*'Rate Card'!$AJ$119)))))))*(1+'Rate Card'!$C$6),2)+ROUND(ROUND((IF(197&lt;=2,'Rate Card'!$AD$119,IF(197&lt;=5,'Rate Card'!$AE$119,IF(197&lt;=10,'Rate Card'!$AF$119,IF(197&lt;=15,'Rate Card'!$AG$119,IF(197&lt;=20,'Rate Card'!$AH$119,IF(197&lt;=35,'Rate Card'!$AH$119+(197-20)*'Rate Card'!$AI$119,'Rate Card'!$AK$119+(197-35)*'Rate Card'!$AJ$119)))))))*(1+'Rate Card'!$C$6),2)*(IF('Rate Card'!$G$6="YES",'Rate Card'!$E$6,0)+IF('Rate Card'!$K$6="YES",'Rate Card'!$I$6,0)),2)</f>
        <v/>
      </c>
      <c r="P201" s="23">
        <f>IF(197&lt;=2,'Rate Card'!$AD$120,IF(197&lt;=5,'Rate Card'!$AE$120,IF(197&lt;=10,'Rate Card'!$AF$120,IF(197&lt;=15,'Rate Card'!$AG$120,IF(197&lt;=20,'Rate Card'!$AH$120,IF(197&lt;=35,'Rate Card'!$AH$120+(197-20)*'Rate Card'!$AI$120,'Rate Card'!$AK$120+(197-35)*'Rate Card'!$AJ$120))))))</f>
        <v/>
      </c>
      <c r="Q201" s="12">
        <f>ROUND((IF(197&lt;=2,'Rate Card'!$AD$120,IF(197&lt;=5,'Rate Card'!$AE$120,IF(197&lt;=10,'Rate Card'!$AF$120,IF(197&lt;=15,'Rate Card'!$AG$120,IF(197&lt;=20,'Rate Card'!$AH$120,IF(197&lt;=35,'Rate Card'!$AH$120+(197-20)*'Rate Card'!$AI$120,'Rate Card'!$AK$120+(197-35)*'Rate Card'!$AJ$120)))))))*(1+'Rate Card'!$C$6),2)+ROUND(ROUND((IF(197&lt;=2,'Rate Card'!$AD$120,IF(197&lt;=5,'Rate Card'!$AE$120,IF(197&lt;=10,'Rate Card'!$AF$120,IF(197&lt;=15,'Rate Card'!$AG$120,IF(197&lt;=20,'Rate Card'!$AH$120,IF(197&lt;=35,'Rate Card'!$AH$120+(197-20)*'Rate Card'!$AI$120,'Rate Card'!$AK$120+(197-35)*'Rate Card'!$AJ$120)))))))*(1+'Rate Card'!$C$6),2)*(IF('Rate Card'!$G$6="YES",'Rate Card'!$E$6,0)+IF('Rate Card'!$K$6="YES",'Rate Card'!$I$6,0)),2)</f>
        <v/>
      </c>
    </row>
    <row r="202">
      <c r="A202" s="75" t="n">
        <v>198</v>
      </c>
      <c r="B202" s="10">
        <f>""</f>
        <v/>
      </c>
      <c r="C202" s="10">
        <f>""</f>
        <v/>
      </c>
      <c r="D202" s="10">
        <f>""</f>
        <v/>
      </c>
      <c r="E202" s="10">
        <f>""</f>
        <v/>
      </c>
      <c r="F202" s="23">
        <f>IF(198&lt;=2,'Rate Card'!$AD$22,IF(198&lt;=5,'Rate Card'!$AE$22,IF(198&lt;=10,'Rate Card'!$AF$22,IF(198&lt;=15,'Rate Card'!$AG$22,IF(198&lt;=20,'Rate Card'!$AH$22,IF(198&lt;=35,'Rate Card'!$AH$22+(198-20)*'Rate Card'!$AI$22,'Rate Card'!$AK$22+(198-35)*'Rate Card'!$AJ$22))))))</f>
        <v/>
      </c>
      <c r="G202" s="23">
        <f>ROUND((IF(198&lt;=2,'Rate Card'!$AD$22,IF(198&lt;=5,'Rate Card'!$AE$22,IF(198&lt;=10,'Rate Card'!$AF$22,IF(198&lt;=15,'Rate Card'!$AG$22,IF(198&lt;=20,'Rate Card'!$AH$22,IF(198&lt;=35,'Rate Card'!$AH$22+(198-20)*'Rate Card'!$AI$22,'Rate Card'!$AK$22+(198-35)*'Rate Card'!$AJ$22)))))))*(1+'Rate Card'!$C$6),2)+ROUND(ROUND((IF(198&lt;=2,'Rate Card'!$AD$22,IF(198&lt;=5,'Rate Card'!$AE$22,IF(198&lt;=10,'Rate Card'!$AF$22,IF(198&lt;=15,'Rate Card'!$AG$22,IF(198&lt;=20,'Rate Card'!$AH$22,IF(198&lt;=35,'Rate Card'!$AH$22+(198-20)*'Rate Card'!$AI$22,'Rate Card'!$AK$22+(198-35)*'Rate Card'!$AJ$22)))))))*(1+'Rate Card'!$C$6),2)*(IF('Rate Card'!$G$6="YES",'Rate Card'!$E$6,0)+IF('Rate Card'!$K$6="YES",'Rate Card'!$I$6,0)),2)</f>
        <v/>
      </c>
      <c r="H202" s="23">
        <f>IF(198&lt;=2,'Rate Card'!$AD$23,IF(198&lt;=5,'Rate Card'!$AE$23,IF(198&lt;=10,'Rate Card'!$AF$23,IF(198&lt;=15,'Rate Card'!$AG$23,IF(198&lt;=20,'Rate Card'!$AH$23,IF(198&lt;=35,'Rate Card'!$AH$23+(198-20)*'Rate Card'!$AI$23,'Rate Card'!$AK$23+(198-35)*'Rate Card'!$AJ$23))))))</f>
        <v/>
      </c>
      <c r="I202" s="23">
        <f>ROUND((IF(198&lt;=2,'Rate Card'!$AD$23,IF(198&lt;=5,'Rate Card'!$AE$23,IF(198&lt;=10,'Rate Card'!$AF$23,IF(198&lt;=15,'Rate Card'!$AG$23,IF(198&lt;=20,'Rate Card'!$AH$23,IF(198&lt;=35,'Rate Card'!$AH$23+(198-20)*'Rate Card'!$AI$23,'Rate Card'!$AK$23+(198-35)*'Rate Card'!$AJ$23)))))))*(1+'Rate Card'!$C$6),2)+ROUND(ROUND((IF(198&lt;=2,'Rate Card'!$AD$23,IF(198&lt;=5,'Rate Card'!$AE$23,IF(198&lt;=10,'Rate Card'!$AF$23,IF(198&lt;=15,'Rate Card'!$AG$23,IF(198&lt;=20,'Rate Card'!$AH$23,IF(198&lt;=35,'Rate Card'!$AH$23+(198-20)*'Rate Card'!$AI$23,'Rate Card'!$AK$23+(198-35)*'Rate Card'!$AJ$23)))))))*(1+'Rate Card'!$C$6),2)*(IF('Rate Card'!$G$6="YES",'Rate Card'!$E$6,0)+IF('Rate Card'!$K$6="YES",'Rate Card'!$I$6,0)),2)</f>
        <v/>
      </c>
      <c r="J202" s="10">
        <f>""</f>
        <v/>
      </c>
      <c r="K202" s="10">
        <f>""</f>
        <v/>
      </c>
      <c r="L202" s="10">
        <f>""</f>
        <v/>
      </c>
      <c r="M202" s="10">
        <f>""</f>
        <v/>
      </c>
      <c r="N202" s="23">
        <f>IF(198&lt;=2,'Rate Card'!$AD$119,IF(198&lt;=5,'Rate Card'!$AE$119,IF(198&lt;=10,'Rate Card'!$AF$119,IF(198&lt;=15,'Rate Card'!$AG$119,IF(198&lt;=20,'Rate Card'!$AH$119,IF(198&lt;=35,'Rate Card'!$AH$119+(198-20)*'Rate Card'!$AI$119,'Rate Card'!$AK$119+(198-35)*'Rate Card'!$AJ$119))))))</f>
        <v/>
      </c>
      <c r="O202" s="23">
        <f>ROUND((IF(198&lt;=2,'Rate Card'!$AD$119,IF(198&lt;=5,'Rate Card'!$AE$119,IF(198&lt;=10,'Rate Card'!$AF$119,IF(198&lt;=15,'Rate Card'!$AG$119,IF(198&lt;=20,'Rate Card'!$AH$119,IF(198&lt;=35,'Rate Card'!$AH$119+(198-20)*'Rate Card'!$AI$119,'Rate Card'!$AK$119+(198-35)*'Rate Card'!$AJ$119)))))))*(1+'Rate Card'!$C$6),2)+ROUND(ROUND((IF(198&lt;=2,'Rate Card'!$AD$119,IF(198&lt;=5,'Rate Card'!$AE$119,IF(198&lt;=10,'Rate Card'!$AF$119,IF(198&lt;=15,'Rate Card'!$AG$119,IF(198&lt;=20,'Rate Card'!$AH$119,IF(198&lt;=35,'Rate Card'!$AH$119+(198-20)*'Rate Card'!$AI$119,'Rate Card'!$AK$119+(198-35)*'Rate Card'!$AJ$119)))))))*(1+'Rate Card'!$C$6),2)*(IF('Rate Card'!$G$6="YES",'Rate Card'!$E$6,0)+IF('Rate Card'!$K$6="YES",'Rate Card'!$I$6,0)),2)</f>
        <v/>
      </c>
      <c r="P202" s="23">
        <f>IF(198&lt;=2,'Rate Card'!$AD$120,IF(198&lt;=5,'Rate Card'!$AE$120,IF(198&lt;=10,'Rate Card'!$AF$120,IF(198&lt;=15,'Rate Card'!$AG$120,IF(198&lt;=20,'Rate Card'!$AH$120,IF(198&lt;=35,'Rate Card'!$AH$120+(198-20)*'Rate Card'!$AI$120,'Rate Card'!$AK$120+(198-35)*'Rate Card'!$AJ$120))))))</f>
        <v/>
      </c>
      <c r="Q202" s="12">
        <f>ROUND((IF(198&lt;=2,'Rate Card'!$AD$120,IF(198&lt;=5,'Rate Card'!$AE$120,IF(198&lt;=10,'Rate Card'!$AF$120,IF(198&lt;=15,'Rate Card'!$AG$120,IF(198&lt;=20,'Rate Card'!$AH$120,IF(198&lt;=35,'Rate Card'!$AH$120+(198-20)*'Rate Card'!$AI$120,'Rate Card'!$AK$120+(198-35)*'Rate Card'!$AJ$120)))))))*(1+'Rate Card'!$C$6),2)+ROUND(ROUND((IF(198&lt;=2,'Rate Card'!$AD$120,IF(198&lt;=5,'Rate Card'!$AE$120,IF(198&lt;=10,'Rate Card'!$AF$120,IF(198&lt;=15,'Rate Card'!$AG$120,IF(198&lt;=20,'Rate Card'!$AH$120,IF(198&lt;=35,'Rate Card'!$AH$120+(198-20)*'Rate Card'!$AI$120,'Rate Card'!$AK$120+(198-35)*'Rate Card'!$AJ$120)))))))*(1+'Rate Card'!$C$6),2)*(IF('Rate Card'!$G$6="YES",'Rate Card'!$E$6,0)+IF('Rate Card'!$K$6="YES",'Rate Card'!$I$6,0)),2)</f>
        <v/>
      </c>
    </row>
    <row r="203">
      <c r="A203" s="75" t="n">
        <v>199</v>
      </c>
      <c r="B203" s="10">
        <f>""</f>
        <v/>
      </c>
      <c r="C203" s="10">
        <f>""</f>
        <v/>
      </c>
      <c r="D203" s="10">
        <f>""</f>
        <v/>
      </c>
      <c r="E203" s="10">
        <f>""</f>
        <v/>
      </c>
      <c r="F203" s="23">
        <f>IF(199&lt;=2,'Rate Card'!$AD$22,IF(199&lt;=5,'Rate Card'!$AE$22,IF(199&lt;=10,'Rate Card'!$AF$22,IF(199&lt;=15,'Rate Card'!$AG$22,IF(199&lt;=20,'Rate Card'!$AH$22,IF(199&lt;=35,'Rate Card'!$AH$22+(199-20)*'Rate Card'!$AI$22,'Rate Card'!$AK$22+(199-35)*'Rate Card'!$AJ$22))))))</f>
        <v/>
      </c>
      <c r="G203" s="23">
        <f>ROUND((IF(199&lt;=2,'Rate Card'!$AD$22,IF(199&lt;=5,'Rate Card'!$AE$22,IF(199&lt;=10,'Rate Card'!$AF$22,IF(199&lt;=15,'Rate Card'!$AG$22,IF(199&lt;=20,'Rate Card'!$AH$22,IF(199&lt;=35,'Rate Card'!$AH$22+(199-20)*'Rate Card'!$AI$22,'Rate Card'!$AK$22+(199-35)*'Rate Card'!$AJ$22)))))))*(1+'Rate Card'!$C$6),2)+ROUND(ROUND((IF(199&lt;=2,'Rate Card'!$AD$22,IF(199&lt;=5,'Rate Card'!$AE$22,IF(199&lt;=10,'Rate Card'!$AF$22,IF(199&lt;=15,'Rate Card'!$AG$22,IF(199&lt;=20,'Rate Card'!$AH$22,IF(199&lt;=35,'Rate Card'!$AH$22+(199-20)*'Rate Card'!$AI$22,'Rate Card'!$AK$22+(199-35)*'Rate Card'!$AJ$22)))))))*(1+'Rate Card'!$C$6),2)*(IF('Rate Card'!$G$6="YES",'Rate Card'!$E$6,0)+IF('Rate Card'!$K$6="YES",'Rate Card'!$I$6,0)),2)</f>
        <v/>
      </c>
      <c r="H203" s="23">
        <f>IF(199&lt;=2,'Rate Card'!$AD$23,IF(199&lt;=5,'Rate Card'!$AE$23,IF(199&lt;=10,'Rate Card'!$AF$23,IF(199&lt;=15,'Rate Card'!$AG$23,IF(199&lt;=20,'Rate Card'!$AH$23,IF(199&lt;=35,'Rate Card'!$AH$23+(199-20)*'Rate Card'!$AI$23,'Rate Card'!$AK$23+(199-35)*'Rate Card'!$AJ$23))))))</f>
        <v/>
      </c>
      <c r="I203" s="23">
        <f>ROUND((IF(199&lt;=2,'Rate Card'!$AD$23,IF(199&lt;=5,'Rate Card'!$AE$23,IF(199&lt;=10,'Rate Card'!$AF$23,IF(199&lt;=15,'Rate Card'!$AG$23,IF(199&lt;=20,'Rate Card'!$AH$23,IF(199&lt;=35,'Rate Card'!$AH$23+(199-20)*'Rate Card'!$AI$23,'Rate Card'!$AK$23+(199-35)*'Rate Card'!$AJ$23)))))))*(1+'Rate Card'!$C$6),2)+ROUND(ROUND((IF(199&lt;=2,'Rate Card'!$AD$23,IF(199&lt;=5,'Rate Card'!$AE$23,IF(199&lt;=10,'Rate Card'!$AF$23,IF(199&lt;=15,'Rate Card'!$AG$23,IF(199&lt;=20,'Rate Card'!$AH$23,IF(199&lt;=35,'Rate Card'!$AH$23+(199-20)*'Rate Card'!$AI$23,'Rate Card'!$AK$23+(199-35)*'Rate Card'!$AJ$23)))))))*(1+'Rate Card'!$C$6),2)*(IF('Rate Card'!$G$6="YES",'Rate Card'!$E$6,0)+IF('Rate Card'!$K$6="YES",'Rate Card'!$I$6,0)),2)</f>
        <v/>
      </c>
      <c r="J203" s="10">
        <f>""</f>
        <v/>
      </c>
      <c r="K203" s="10">
        <f>""</f>
        <v/>
      </c>
      <c r="L203" s="10">
        <f>""</f>
        <v/>
      </c>
      <c r="M203" s="10">
        <f>""</f>
        <v/>
      </c>
      <c r="N203" s="23">
        <f>IF(199&lt;=2,'Rate Card'!$AD$119,IF(199&lt;=5,'Rate Card'!$AE$119,IF(199&lt;=10,'Rate Card'!$AF$119,IF(199&lt;=15,'Rate Card'!$AG$119,IF(199&lt;=20,'Rate Card'!$AH$119,IF(199&lt;=35,'Rate Card'!$AH$119+(199-20)*'Rate Card'!$AI$119,'Rate Card'!$AK$119+(199-35)*'Rate Card'!$AJ$119))))))</f>
        <v/>
      </c>
      <c r="O203" s="23">
        <f>ROUND((IF(199&lt;=2,'Rate Card'!$AD$119,IF(199&lt;=5,'Rate Card'!$AE$119,IF(199&lt;=10,'Rate Card'!$AF$119,IF(199&lt;=15,'Rate Card'!$AG$119,IF(199&lt;=20,'Rate Card'!$AH$119,IF(199&lt;=35,'Rate Card'!$AH$119+(199-20)*'Rate Card'!$AI$119,'Rate Card'!$AK$119+(199-35)*'Rate Card'!$AJ$119)))))))*(1+'Rate Card'!$C$6),2)+ROUND(ROUND((IF(199&lt;=2,'Rate Card'!$AD$119,IF(199&lt;=5,'Rate Card'!$AE$119,IF(199&lt;=10,'Rate Card'!$AF$119,IF(199&lt;=15,'Rate Card'!$AG$119,IF(199&lt;=20,'Rate Card'!$AH$119,IF(199&lt;=35,'Rate Card'!$AH$119+(199-20)*'Rate Card'!$AI$119,'Rate Card'!$AK$119+(199-35)*'Rate Card'!$AJ$119)))))))*(1+'Rate Card'!$C$6),2)*(IF('Rate Card'!$G$6="YES",'Rate Card'!$E$6,0)+IF('Rate Card'!$K$6="YES",'Rate Card'!$I$6,0)),2)</f>
        <v/>
      </c>
      <c r="P203" s="23">
        <f>IF(199&lt;=2,'Rate Card'!$AD$120,IF(199&lt;=5,'Rate Card'!$AE$120,IF(199&lt;=10,'Rate Card'!$AF$120,IF(199&lt;=15,'Rate Card'!$AG$120,IF(199&lt;=20,'Rate Card'!$AH$120,IF(199&lt;=35,'Rate Card'!$AH$120+(199-20)*'Rate Card'!$AI$120,'Rate Card'!$AK$120+(199-35)*'Rate Card'!$AJ$120))))))</f>
        <v/>
      </c>
      <c r="Q203" s="12">
        <f>ROUND((IF(199&lt;=2,'Rate Card'!$AD$120,IF(199&lt;=5,'Rate Card'!$AE$120,IF(199&lt;=10,'Rate Card'!$AF$120,IF(199&lt;=15,'Rate Card'!$AG$120,IF(199&lt;=20,'Rate Card'!$AH$120,IF(199&lt;=35,'Rate Card'!$AH$120+(199-20)*'Rate Card'!$AI$120,'Rate Card'!$AK$120+(199-35)*'Rate Card'!$AJ$120)))))))*(1+'Rate Card'!$C$6),2)+ROUND(ROUND((IF(199&lt;=2,'Rate Card'!$AD$120,IF(199&lt;=5,'Rate Card'!$AE$120,IF(199&lt;=10,'Rate Card'!$AF$120,IF(199&lt;=15,'Rate Card'!$AG$120,IF(199&lt;=20,'Rate Card'!$AH$120,IF(199&lt;=35,'Rate Card'!$AH$120+(199-20)*'Rate Card'!$AI$120,'Rate Card'!$AK$120+(199-35)*'Rate Card'!$AJ$120)))))))*(1+'Rate Card'!$C$6),2)*(IF('Rate Card'!$G$6="YES",'Rate Card'!$E$6,0)+IF('Rate Card'!$K$6="YES",'Rate Card'!$I$6,0)),2)</f>
        <v/>
      </c>
    </row>
    <row r="204">
      <c r="A204" s="76" t="n">
        <v>200</v>
      </c>
      <c r="B204" s="13">
        <f>""</f>
        <v/>
      </c>
      <c r="C204" s="13">
        <f>""</f>
        <v/>
      </c>
      <c r="D204" s="13">
        <f>""</f>
        <v/>
      </c>
      <c r="E204" s="13">
        <f>""</f>
        <v/>
      </c>
      <c r="F204" s="33">
        <f>IF(200&lt;=2,'Rate Card'!$AD$22,IF(200&lt;=5,'Rate Card'!$AE$22,IF(200&lt;=10,'Rate Card'!$AF$22,IF(200&lt;=15,'Rate Card'!$AG$22,IF(200&lt;=20,'Rate Card'!$AH$22,IF(200&lt;=35,'Rate Card'!$AH$22+(200-20)*'Rate Card'!$AI$22,'Rate Card'!$AK$22+(200-35)*'Rate Card'!$AJ$22))))))</f>
        <v/>
      </c>
      <c r="G204" s="33">
        <f>ROUND((IF(200&lt;=2,'Rate Card'!$AD$22,IF(200&lt;=5,'Rate Card'!$AE$22,IF(200&lt;=10,'Rate Card'!$AF$22,IF(200&lt;=15,'Rate Card'!$AG$22,IF(200&lt;=20,'Rate Card'!$AH$22,IF(200&lt;=35,'Rate Card'!$AH$22+(200-20)*'Rate Card'!$AI$22,'Rate Card'!$AK$22+(200-35)*'Rate Card'!$AJ$22)))))))*(1+'Rate Card'!$C$6),2)+ROUND(ROUND((IF(200&lt;=2,'Rate Card'!$AD$22,IF(200&lt;=5,'Rate Card'!$AE$22,IF(200&lt;=10,'Rate Card'!$AF$22,IF(200&lt;=15,'Rate Card'!$AG$22,IF(200&lt;=20,'Rate Card'!$AH$22,IF(200&lt;=35,'Rate Card'!$AH$22+(200-20)*'Rate Card'!$AI$22,'Rate Card'!$AK$22+(200-35)*'Rate Card'!$AJ$22)))))))*(1+'Rate Card'!$C$6),2)*(IF('Rate Card'!$G$6="YES",'Rate Card'!$E$6,0)+IF('Rate Card'!$K$6="YES",'Rate Card'!$I$6,0)),2)</f>
        <v/>
      </c>
      <c r="H204" s="33">
        <f>IF(200&lt;=2,'Rate Card'!$AD$23,IF(200&lt;=5,'Rate Card'!$AE$23,IF(200&lt;=10,'Rate Card'!$AF$23,IF(200&lt;=15,'Rate Card'!$AG$23,IF(200&lt;=20,'Rate Card'!$AH$23,IF(200&lt;=35,'Rate Card'!$AH$23+(200-20)*'Rate Card'!$AI$23,'Rate Card'!$AK$23+(200-35)*'Rate Card'!$AJ$23))))))</f>
        <v/>
      </c>
      <c r="I204" s="33">
        <f>ROUND((IF(200&lt;=2,'Rate Card'!$AD$23,IF(200&lt;=5,'Rate Card'!$AE$23,IF(200&lt;=10,'Rate Card'!$AF$23,IF(200&lt;=15,'Rate Card'!$AG$23,IF(200&lt;=20,'Rate Card'!$AH$23,IF(200&lt;=35,'Rate Card'!$AH$23+(200-20)*'Rate Card'!$AI$23,'Rate Card'!$AK$23+(200-35)*'Rate Card'!$AJ$23)))))))*(1+'Rate Card'!$C$6),2)+ROUND(ROUND((IF(200&lt;=2,'Rate Card'!$AD$23,IF(200&lt;=5,'Rate Card'!$AE$23,IF(200&lt;=10,'Rate Card'!$AF$23,IF(200&lt;=15,'Rate Card'!$AG$23,IF(200&lt;=20,'Rate Card'!$AH$23,IF(200&lt;=35,'Rate Card'!$AH$23+(200-20)*'Rate Card'!$AI$23,'Rate Card'!$AK$23+(200-35)*'Rate Card'!$AJ$23)))))))*(1+'Rate Card'!$C$6),2)*(IF('Rate Card'!$G$6="YES",'Rate Card'!$E$6,0)+IF('Rate Card'!$K$6="YES",'Rate Card'!$I$6,0)),2)</f>
        <v/>
      </c>
      <c r="J204" s="13">
        <f>""</f>
        <v/>
      </c>
      <c r="K204" s="13">
        <f>""</f>
        <v/>
      </c>
      <c r="L204" s="13">
        <f>""</f>
        <v/>
      </c>
      <c r="M204" s="13">
        <f>""</f>
        <v/>
      </c>
      <c r="N204" s="33">
        <f>IF(200&lt;=2,'Rate Card'!$AD$119,IF(200&lt;=5,'Rate Card'!$AE$119,IF(200&lt;=10,'Rate Card'!$AF$119,IF(200&lt;=15,'Rate Card'!$AG$119,IF(200&lt;=20,'Rate Card'!$AH$119,IF(200&lt;=35,'Rate Card'!$AH$119+(200-20)*'Rate Card'!$AI$119,'Rate Card'!$AK$119+(200-35)*'Rate Card'!$AJ$119))))))</f>
        <v/>
      </c>
      <c r="O204" s="33">
        <f>ROUND((IF(200&lt;=2,'Rate Card'!$AD$119,IF(200&lt;=5,'Rate Card'!$AE$119,IF(200&lt;=10,'Rate Card'!$AF$119,IF(200&lt;=15,'Rate Card'!$AG$119,IF(200&lt;=20,'Rate Card'!$AH$119,IF(200&lt;=35,'Rate Card'!$AH$119+(200-20)*'Rate Card'!$AI$119,'Rate Card'!$AK$119+(200-35)*'Rate Card'!$AJ$119)))))))*(1+'Rate Card'!$C$6),2)+ROUND(ROUND((IF(200&lt;=2,'Rate Card'!$AD$119,IF(200&lt;=5,'Rate Card'!$AE$119,IF(200&lt;=10,'Rate Card'!$AF$119,IF(200&lt;=15,'Rate Card'!$AG$119,IF(200&lt;=20,'Rate Card'!$AH$119,IF(200&lt;=35,'Rate Card'!$AH$119+(200-20)*'Rate Card'!$AI$119,'Rate Card'!$AK$119+(200-35)*'Rate Card'!$AJ$119)))))))*(1+'Rate Card'!$C$6),2)*(IF('Rate Card'!$G$6="YES",'Rate Card'!$E$6,0)+IF('Rate Card'!$K$6="YES",'Rate Card'!$I$6,0)),2)</f>
        <v/>
      </c>
      <c r="P204" s="33">
        <f>IF(200&lt;=2,'Rate Card'!$AD$120,IF(200&lt;=5,'Rate Card'!$AE$120,IF(200&lt;=10,'Rate Card'!$AF$120,IF(200&lt;=15,'Rate Card'!$AG$120,IF(200&lt;=20,'Rate Card'!$AH$120,IF(200&lt;=35,'Rate Card'!$AH$120+(200-20)*'Rate Card'!$AI$120,'Rate Card'!$AK$120+(200-35)*'Rate Card'!$AJ$120))))))</f>
        <v/>
      </c>
      <c r="Q204" s="77">
        <f>ROUND((IF(200&lt;=2,'Rate Card'!$AD$120,IF(200&lt;=5,'Rate Card'!$AE$120,IF(200&lt;=10,'Rate Card'!$AF$120,IF(200&lt;=15,'Rate Card'!$AG$120,IF(200&lt;=20,'Rate Card'!$AH$120,IF(200&lt;=35,'Rate Card'!$AH$120+(200-20)*'Rate Card'!$AI$120,'Rate Card'!$AK$120+(200-35)*'Rate Card'!$AJ$120)))))))*(1+'Rate Card'!$C$6),2)+ROUND(ROUND((IF(200&lt;=2,'Rate Card'!$AD$120,IF(200&lt;=5,'Rate Card'!$AE$120,IF(200&lt;=10,'Rate Card'!$AF$120,IF(200&lt;=15,'Rate Card'!$AG$120,IF(200&lt;=20,'Rate Card'!$AH$120,IF(200&lt;=35,'Rate Card'!$AH$120+(200-20)*'Rate Card'!$AI$120,'Rate Card'!$AK$120+(200-35)*'Rate Card'!$AJ$120)))))))*(1+'Rate Card'!$C$6),2)*(IF('Rate Card'!$G$6="YES",'Rate Card'!$E$6,0)+IF('Rate Card'!$K$6="YES",'Rate Card'!$I$6,0)),2)</f>
        <v/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Claude</dc:creator>
  <dc:title xmlns:dc="http://purl.org/dc/elements/1.1/">The Courier Guy - Rate Card</dc:title>
  <dc:description xmlns:dc="http://purl.org/dc/elements/1.1/">Version 1 - National/Default, Ecommerce, Prepaid, Prepaid Online, Prepaid Online 2 rate cards, PUDO lockers, surcharges, and a volumetric/packing calculator.</dc:description>
  <dc:subject xmlns:dc="http://purl.org/dc/elements/1.1/">Courier rate card effective 1 September 2026</dc:subject>
  <dcterms:created xmlns:dcterms="http://purl.org/dc/terms/" xmlns:xsi="http://www.w3.org/2001/XMLSchema-instance" xsi:type="dcterms:W3CDTF">2026-09-01T16:06:53Z</dcterms:created>
  <dcterms:modified xmlns:dcterms="http://purl.org/dc/terms/" xmlns:xsi="http://www.w3.org/2001/XMLSchema-instance" xsi:type="dcterms:W3CDTF">2026-09-04T13:24:35Z</dcterms:modified>
  <cp:lastModifiedBy>PeterBaker</cp:lastModifiedBy>
</cp:coreProperties>
</file>